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06F2CE89-9F60-4DA7-80C6-27933872F304}" xr6:coauthVersionLast="47" xr6:coauthVersionMax="47" xr10:uidLastSave="{00000000-0000-0000-0000-000000000000}"/>
  <bookViews>
    <workbookView xWindow="-120" yWindow="-120" windowWidth="20730" windowHeight="11040" firstSheet="10" activeTab="14" xr2:uid="{00000000-000D-0000-FFFF-FFFF00000000}"/>
  </bookViews>
  <sheets>
    <sheet name="90-90-140(1)" sheetId="6" state="hidden" r:id="rId1"/>
    <sheet name="90-90-140(2)" sheetId="4" state="hidden" r:id="rId2"/>
    <sheet name="90-90-140(3)" sheetId="24" state="hidden" r:id="rId3"/>
    <sheet name="110-110-140(1)" sheetId="7" state="hidden" r:id="rId4"/>
    <sheet name="110-110-140(2)" sheetId="8" state="hidden" r:id="rId5"/>
    <sheet name="90-90-120(1)" sheetId="9" state="hidden" r:id="rId6"/>
    <sheet name="90-90-120 (2)" sheetId="17" state="hidden" r:id="rId7"/>
    <sheet name="80-80-120(1)" sheetId="22" state="hidden" r:id="rId8"/>
    <sheet name="80-80-120 (2)" sheetId="23" state="hidden" r:id="rId9"/>
    <sheet name="110-110-105-4 (2)" sheetId="20" state="hidden" r:id="rId10"/>
    <sheet name="ERG 150" sheetId="26" r:id="rId11"/>
    <sheet name="90-90-150-2" sheetId="27" state="hidden" r:id="rId12"/>
    <sheet name="90-90-100-2 " sheetId="28" state="hidden" r:id="rId13"/>
    <sheet name="Лист7" sheetId="29" state="hidden" r:id="rId14"/>
    <sheet name="ERG 150 с вкл" sheetId="33" r:id="rId15"/>
    <sheet name="ERG 170 " sheetId="32" r:id="rId16"/>
    <sheet name="ERG вкл" sheetId="30" state="hidden" r:id="rId17"/>
    <sheet name="ERG без вкл" sheetId="31" state="hidden" r:id="rId18"/>
    <sheet name="90-90-140 (2)" sheetId="21" state="hidden" r:id="rId19"/>
    <sheet name="Лист2" sheetId="2" state="hidden" r:id="rId20"/>
    <sheet name="Лист3" sheetId="3" state="hidden" r:id="rId21"/>
    <sheet name="90-90-140(4)" sheetId="11" state="hidden" r:id="rId22"/>
    <sheet name="110-110-140(3)" sheetId="12" state="hidden" r:id="rId23"/>
    <sheet name="110-110-140(4)" sheetId="13" state="hidden" r:id="rId24"/>
    <sheet name="90-90-120(2)" sheetId="14" state="hidden" r:id="rId25"/>
    <sheet name="Лист2 (2)" sheetId="15" state="hidden" r:id="rId26"/>
    <sheet name="Лист3 (2)" sheetId="16" state="hidden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33" l="1"/>
  <c r="J15" i="33"/>
  <c r="F13" i="33"/>
  <c r="J13" i="33" s="1"/>
  <c r="F10" i="33"/>
  <c r="J10" i="33" s="1"/>
  <c r="F9" i="33"/>
  <c r="J9" i="33" s="1"/>
  <c r="J8" i="33"/>
  <c r="J7" i="33"/>
  <c r="F7" i="33"/>
  <c r="F12" i="33" s="1"/>
  <c r="J12" i="33" s="1"/>
  <c r="J14" i="32"/>
  <c r="F13" i="32"/>
  <c r="J13" i="32" s="1"/>
  <c r="F10" i="32"/>
  <c r="J10" i="32" s="1"/>
  <c r="F9" i="32"/>
  <c r="J9" i="32" s="1"/>
  <c r="J8" i="32"/>
  <c r="F7" i="32"/>
  <c r="F12" i="32" s="1"/>
  <c r="J12" i="32" s="1"/>
  <c r="F9" i="26"/>
  <c r="J14" i="30"/>
  <c r="J10" i="30"/>
  <c r="J15" i="31"/>
  <c r="F13" i="31"/>
  <c r="J13" i="31" s="1"/>
  <c r="F10" i="31"/>
  <c r="J9" i="31"/>
  <c r="F9" i="31"/>
  <c r="J8" i="31"/>
  <c r="F7" i="31"/>
  <c r="J7" i="31" s="1"/>
  <c r="F12" i="30"/>
  <c r="F9" i="30"/>
  <c r="J9" i="30" s="1"/>
  <c r="J15" i="30"/>
  <c r="F13" i="30"/>
  <c r="J13" i="30" s="1"/>
  <c r="F10" i="30"/>
  <c r="J8" i="30"/>
  <c r="F7" i="30"/>
  <c r="J7" i="30" s="1"/>
  <c r="J8" i="20"/>
  <c r="J9" i="20"/>
  <c r="J10" i="20"/>
  <c r="J15" i="20"/>
  <c r="F19" i="20"/>
  <c r="F11" i="20"/>
  <c r="F8" i="20"/>
  <c r="F7" i="20"/>
  <c r="F13" i="20" s="1"/>
  <c r="F10" i="26"/>
  <c r="J10" i="26" s="1"/>
  <c r="F12" i="26"/>
  <c r="F7" i="26"/>
  <c r="J9" i="27"/>
  <c r="F11" i="27"/>
  <c r="J8" i="27"/>
  <c r="J7" i="27"/>
  <c r="J7" i="32" l="1"/>
  <c r="J15" i="32" s="1"/>
  <c r="J16" i="33"/>
  <c r="F12" i="31"/>
  <c r="J12" i="31" s="1"/>
  <c r="J16" i="31" s="1"/>
  <c r="J12" i="30"/>
  <c r="J16" i="30"/>
  <c r="F13" i="28"/>
  <c r="J13" i="28" s="1"/>
  <c r="J9" i="28"/>
  <c r="F9" i="28"/>
  <c r="J10" i="28"/>
  <c r="F11" i="28"/>
  <c r="J11" i="28" s="1"/>
  <c r="J8" i="28"/>
  <c r="J7" i="28"/>
  <c r="J11" i="27"/>
  <c r="J12" i="27"/>
  <c r="J14" i="28" l="1"/>
  <c r="J13" i="27"/>
  <c r="J14" i="26" l="1"/>
  <c r="F13" i="26"/>
  <c r="J13" i="26" s="1"/>
  <c r="J9" i="26"/>
  <c r="J8" i="26"/>
  <c r="J12" i="26"/>
  <c r="J13" i="20"/>
  <c r="F9" i="22"/>
  <c r="J9" i="22" s="1"/>
  <c r="F9" i="9"/>
  <c r="F9" i="7"/>
  <c r="F9" i="24"/>
  <c r="J9" i="24" s="1"/>
  <c r="J15" i="24"/>
  <c r="J14" i="24"/>
  <c r="J11" i="24"/>
  <c r="F11" i="24"/>
  <c r="J8" i="24"/>
  <c r="J7" i="24"/>
  <c r="K1" i="24"/>
  <c r="K2" i="24" s="1"/>
  <c r="F9" i="6"/>
  <c r="J9" i="6"/>
  <c r="J13" i="23"/>
  <c r="F12" i="23"/>
  <c r="J12" i="23" s="1"/>
  <c r="F9" i="23"/>
  <c r="J9" i="23" s="1"/>
  <c r="J8" i="23"/>
  <c r="F7" i="23"/>
  <c r="F11" i="23" s="1"/>
  <c r="J11" i="23" s="1"/>
  <c r="K2" i="23"/>
  <c r="K1" i="23"/>
  <c r="J13" i="22"/>
  <c r="F12" i="22"/>
  <c r="J12" i="22" s="1"/>
  <c r="F11" i="22"/>
  <c r="J11" i="22" s="1"/>
  <c r="J8" i="22"/>
  <c r="J7" i="22"/>
  <c r="K1" i="22"/>
  <c r="K2" i="22" s="1"/>
  <c r="F7" i="4"/>
  <c r="J7" i="4" s="1"/>
  <c r="F7" i="8"/>
  <c r="F7" i="17"/>
  <c r="F7" i="21"/>
  <c r="F11" i="21" s="1"/>
  <c r="J11" i="21" s="1"/>
  <c r="F12" i="21"/>
  <c r="J13" i="21"/>
  <c r="J12" i="21"/>
  <c r="F9" i="21"/>
  <c r="J9" i="21" s="1"/>
  <c r="J8" i="21"/>
  <c r="K2" i="21"/>
  <c r="K1" i="21"/>
  <c r="J16" i="20"/>
  <c r="J14" i="20"/>
  <c r="F11" i="17"/>
  <c r="J11" i="17" s="1"/>
  <c r="F9" i="17"/>
  <c r="J13" i="17"/>
  <c r="F12" i="17"/>
  <c r="J12" i="17" s="1"/>
  <c r="J8" i="17"/>
  <c r="K1" i="17"/>
  <c r="K2" i="17" s="1"/>
  <c r="J13" i="14"/>
  <c r="F12" i="14"/>
  <c r="J12" i="14" s="1"/>
  <c r="F11" i="14"/>
  <c r="J11" i="14" s="1"/>
  <c r="F9" i="14"/>
  <c r="J9" i="14" s="1"/>
  <c r="J8" i="14"/>
  <c r="J7" i="14"/>
  <c r="K1" i="14"/>
  <c r="K2" i="14" s="1"/>
  <c r="J15" i="13"/>
  <c r="J14" i="13"/>
  <c r="J11" i="13"/>
  <c r="F11" i="13"/>
  <c r="J9" i="13"/>
  <c r="F9" i="13"/>
  <c r="J8" i="13"/>
  <c r="F7" i="13"/>
  <c r="J7" i="13" s="1"/>
  <c r="J16" i="13" s="1"/>
  <c r="K1" i="13"/>
  <c r="K2" i="13" s="1"/>
  <c r="J15" i="12"/>
  <c r="J14" i="12"/>
  <c r="J11" i="12"/>
  <c r="F11" i="12"/>
  <c r="J9" i="12"/>
  <c r="F9" i="12"/>
  <c r="J8" i="12"/>
  <c r="J7" i="12"/>
  <c r="J16" i="12" s="1"/>
  <c r="K2" i="12"/>
  <c r="K1" i="12"/>
  <c r="J15" i="11"/>
  <c r="J14" i="11"/>
  <c r="F11" i="11"/>
  <c r="J11" i="11" s="1"/>
  <c r="F9" i="11"/>
  <c r="J9" i="11" s="1"/>
  <c r="J8" i="11"/>
  <c r="J7" i="11"/>
  <c r="J16" i="11" s="1"/>
  <c r="F7" i="11"/>
  <c r="K2" i="11"/>
  <c r="K1" i="11"/>
  <c r="F11" i="9"/>
  <c r="F12" i="9"/>
  <c r="J12" i="9" s="1"/>
  <c r="J11" i="9"/>
  <c r="F11" i="6"/>
  <c r="J11" i="6" s="1"/>
  <c r="F11" i="4"/>
  <c r="F11" i="8"/>
  <c r="J13" i="9"/>
  <c r="J9" i="9"/>
  <c r="J8" i="9"/>
  <c r="J7" i="9"/>
  <c r="K1" i="9"/>
  <c r="K2" i="9" s="1"/>
  <c r="F9" i="4"/>
  <c r="F9" i="8"/>
  <c r="J9" i="8" s="1"/>
  <c r="J15" i="8"/>
  <c r="J14" i="8"/>
  <c r="J8" i="8"/>
  <c r="K1" i="8"/>
  <c r="K2" i="8" s="1"/>
  <c r="J15" i="7"/>
  <c r="J14" i="7"/>
  <c r="F11" i="7"/>
  <c r="J11" i="7" s="1"/>
  <c r="J9" i="7"/>
  <c r="J8" i="7"/>
  <c r="J7" i="7"/>
  <c r="K2" i="7"/>
  <c r="K1" i="7"/>
  <c r="J15" i="6"/>
  <c r="J14" i="6"/>
  <c r="J8" i="6"/>
  <c r="J7" i="6"/>
  <c r="K1" i="6"/>
  <c r="K2" i="6" s="1"/>
  <c r="K1" i="4"/>
  <c r="K2" i="4" s="1"/>
  <c r="J8" i="4"/>
  <c r="J15" i="4"/>
  <c r="J14" i="4"/>
  <c r="J7" i="26" l="1"/>
  <c r="J15" i="26" s="1"/>
  <c r="J11" i="20"/>
  <c r="J7" i="20"/>
  <c r="J16" i="24"/>
  <c r="J7" i="23"/>
  <c r="J14" i="23" s="1"/>
  <c r="J14" i="22"/>
  <c r="J7" i="21"/>
  <c r="J14" i="21" s="1"/>
  <c r="J9" i="17"/>
  <c r="J7" i="17"/>
  <c r="J14" i="14"/>
  <c r="J11" i="8"/>
  <c r="J11" i="4"/>
  <c r="J16" i="6"/>
  <c r="J14" i="9"/>
  <c r="J7" i="8"/>
  <c r="J16" i="8" s="1"/>
  <c r="J16" i="7"/>
  <c r="J9" i="4"/>
  <c r="J16" i="4"/>
  <c r="J17" i="20" l="1"/>
  <c r="J14" i="17"/>
</calcChain>
</file>

<file path=xl/sharedStrings.xml><?xml version="1.0" encoding="utf-8"?>
<sst xmlns="http://schemas.openxmlformats.org/spreadsheetml/2006/main" count="582" uniqueCount="70">
  <si>
    <t xml:space="preserve">Наименование </t>
  </si>
  <si>
    <t>полотно</t>
  </si>
  <si>
    <t>параметры</t>
  </si>
  <si>
    <t>количество слоев, шт</t>
  </si>
  <si>
    <t>ширина, см</t>
  </si>
  <si>
    <t>длина, см</t>
  </si>
  <si>
    <t>повенрхностная плотность полотна</t>
  </si>
  <si>
    <t>вес, гр</t>
  </si>
  <si>
    <t>дно</t>
  </si>
  <si>
    <t>инф карман а 4</t>
  </si>
  <si>
    <t>нить на пошив</t>
  </si>
  <si>
    <t>юбка</t>
  </si>
  <si>
    <t>итого, вес</t>
  </si>
  <si>
    <t>узкая лента</t>
  </si>
  <si>
    <t>стропа 1\3 2\3</t>
  </si>
  <si>
    <t>высота, см</t>
  </si>
  <si>
    <t>дно, см</t>
  </si>
  <si>
    <t>петля, см</t>
  </si>
  <si>
    <t>загр\выгр люк диаметр, см</t>
  </si>
  <si>
    <t>высота трубы, см</t>
  </si>
  <si>
    <t>МКР габаритные размеры, количество слоев 1</t>
  </si>
  <si>
    <t>МКР габаритные размеры, количество слоев 2</t>
  </si>
  <si>
    <t xml:space="preserve">ВИД рулона </t>
  </si>
  <si>
    <t>Полотно - РППФ 90 см - 140 гр\м2</t>
  </si>
  <si>
    <t>Загр\вгр рукав и крышка РППЛ беж 98см 72 гр\м2+23 гр\м2 лам</t>
  </si>
  <si>
    <t>крышка</t>
  </si>
  <si>
    <t xml:space="preserve">загр рукав </t>
  </si>
  <si>
    <t xml:space="preserve">выгр рукав </t>
  </si>
  <si>
    <t>Полотно - РПП 90 см - 140 гр\м2</t>
  </si>
  <si>
    <t>боковинка</t>
  </si>
  <si>
    <t>Полотно - РППФ 110 см - 140 гр\м2</t>
  </si>
  <si>
    <t>Дно РПП 115 см - 160 гр\м2</t>
  </si>
  <si>
    <t>Полотно - РПП 110 см - 140 гр\м2</t>
  </si>
  <si>
    <t>Дно РПП 95 см - 160 гр\м2</t>
  </si>
  <si>
    <t>МКР габаритные размеры, количество слоев 1 юбка 85 см</t>
  </si>
  <si>
    <t>МКР габаритные размеры, количество слоев 1 юбка 75 см</t>
  </si>
  <si>
    <t>МКР габаритные размеры, количество слоев 2 юбка 75 см</t>
  </si>
  <si>
    <t>МКР габаритные размеры, количество слоев 2 юбка 85 см</t>
  </si>
  <si>
    <t>Полотно - РППФ 80 см - 140 гр\м2</t>
  </si>
  <si>
    <t>Полотно - РППФ 90 см - 180 гр\м2</t>
  </si>
  <si>
    <t>Дно РПП 95 см - 180 гр\м2</t>
  </si>
  <si>
    <t>Полотно - РППФ 110 см - 180 гр\м2</t>
  </si>
  <si>
    <t>Дно РПП 115 см - 180 гр\м2</t>
  </si>
  <si>
    <t>Дно РПП 85 см - 180 гр\м2</t>
  </si>
  <si>
    <t>Полотно - РППФ 80 см - 180 гр\м2</t>
  </si>
  <si>
    <t>2 слоя</t>
  </si>
  <si>
    <t>1 слой</t>
  </si>
  <si>
    <t>ППЛ беж 98см 72 гр\м2+23 гр\м2 лам</t>
  </si>
  <si>
    <t xml:space="preserve">МКР габаритные размеры, </t>
  </si>
  <si>
    <t>Полотно - РППФ 90 см - 140 гр\м2 шахматка</t>
  </si>
  <si>
    <t>обычное плотно</t>
  </si>
  <si>
    <t>шахматное полотно</t>
  </si>
  <si>
    <t>усиление дна полотно</t>
  </si>
  <si>
    <t>усиление дна боковинка</t>
  </si>
  <si>
    <t>лента на усиление дна</t>
  </si>
  <si>
    <t>стропа 1/1</t>
  </si>
  <si>
    <t>ручка</t>
  </si>
  <si>
    <t>Полотно - РППФ 75см - 160 гр\м2 шахматка</t>
  </si>
  <si>
    <t xml:space="preserve">Полотно - РПП 80см - 160 гр\м2 </t>
  </si>
  <si>
    <t>Полотно - РПП 90 см - 180 гр\м2</t>
  </si>
  <si>
    <t>усиление</t>
  </si>
  <si>
    <t>стропа 2\3</t>
  </si>
  <si>
    <t xml:space="preserve">МКР габаритные размеры, количество слоев 2 </t>
  </si>
  <si>
    <t>загр рукав</t>
  </si>
  <si>
    <t>вкладыш пэ</t>
  </si>
  <si>
    <t>стропа 2/3</t>
  </si>
  <si>
    <t>ППЛ беж 98см 58 гр\м2+15 гр\м2 лам</t>
  </si>
  <si>
    <t>Полотно - РПП 90 см - 150 гр\м2</t>
  </si>
  <si>
    <t>Полотно - РПП 90 см - 170 гр\м2</t>
  </si>
  <si>
    <t>вкладыш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</si>
</sst>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31173</xdr:rowOff>
    </xdr:from>
    <xdr:to>
      <xdr:col>2</xdr:col>
      <xdr:colOff>1247775</xdr:colOff>
      <xdr:row>13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6BEF675-8E66-4C56-BA92-0FBAD3867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1173"/>
          <a:ext cx="2295525" cy="30930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31173</xdr:rowOff>
    </xdr:from>
    <xdr:to>
      <xdr:col>2</xdr:col>
      <xdr:colOff>1247775</xdr:colOff>
      <xdr:row>14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37E701E-26DA-A988-91EE-74CE3E88B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1173"/>
          <a:ext cx="2295525" cy="3093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31173</xdr:rowOff>
    </xdr:from>
    <xdr:to>
      <xdr:col>2</xdr:col>
      <xdr:colOff>1247775</xdr:colOff>
      <xdr:row>13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A35B4EF-EE71-41C1-A079-50CB3ED87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1173"/>
          <a:ext cx="2295525" cy="30930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31173</xdr:rowOff>
    </xdr:from>
    <xdr:to>
      <xdr:col>2</xdr:col>
      <xdr:colOff>1247775</xdr:colOff>
      <xdr:row>13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FF3B3A-7DD3-404C-96E6-E2AD5F920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1173"/>
          <a:ext cx="2295525" cy="30930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31173</xdr:rowOff>
    </xdr:from>
    <xdr:to>
      <xdr:col>2</xdr:col>
      <xdr:colOff>1247775</xdr:colOff>
      <xdr:row>14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CB47BED-2ED9-485B-9C5E-859731824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1173"/>
          <a:ext cx="2295525" cy="30930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14</xdr:row>
      <xdr:rowOff>123825</xdr:rowOff>
    </xdr:to>
    <xdr:pic>
      <xdr:nvPicPr>
        <xdr:cNvPr id="3" name="Рисунок 2" descr="Picture background">
          <a:extLst>
            <a:ext uri="{FF2B5EF4-FFF2-40B4-BE49-F238E27FC236}">
              <a16:creationId xmlns:a16="http://schemas.microsoft.com/office/drawing/2014/main" id="{1A18F4EC-3DAB-5180-E1B7-A48D3CEC4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15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id="{D7DA81DB-B7FF-476F-A162-778CB6CF2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14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id="{94DD001D-FD3E-4E89-92A9-B2E7BACC0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15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id="{141AF889-01FD-44FE-BAA1-5AD5BC2E1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1</xdr:row>
      <xdr:rowOff>19050</xdr:rowOff>
    </xdr:from>
    <xdr:to>
      <xdr:col>2</xdr:col>
      <xdr:colOff>1133325</xdr:colOff>
      <xdr:row>13</xdr:row>
      <xdr:rowOff>57149</xdr:rowOff>
    </xdr:to>
    <xdr:pic>
      <xdr:nvPicPr>
        <xdr:cNvPr id="3" name="Рисунок 2" descr="Picture background">
          <a:extLst>
            <a:ext uri="{FF2B5EF4-FFF2-40B4-BE49-F238E27FC236}">
              <a16:creationId xmlns:a16="http://schemas.microsoft.com/office/drawing/2014/main" id="{3B8223EF-0A1D-1E66-416C-A8AD3B948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09550"/>
          <a:ext cx="2038200" cy="2514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16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id="{9C79625D-0432-414A-A4F7-E144398C6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561975</xdr:colOff>
      <xdr:row>9</xdr:row>
      <xdr:rowOff>0</xdr:rowOff>
    </xdr:from>
    <xdr:ext cx="704167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B50BCF-C2DE-103A-BAFA-3B32907811BF}"/>
            </a:ext>
          </a:extLst>
        </xdr:cNvPr>
        <xdr:cNvSpPr txBox="1"/>
      </xdr:nvSpPr>
      <xdr:spPr>
        <a:xfrm>
          <a:off x="561975" y="1905000"/>
          <a:ext cx="7041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ERG</a:t>
          </a:r>
          <a:endParaRPr lang="ru-RU" sz="2400" b="1"/>
        </a:p>
      </xdr:txBody>
    </xdr:sp>
    <xdr:clientData/>
  </xdr:oneCellAnchor>
  <xdr:twoCellAnchor>
    <xdr:from>
      <xdr:col>2</xdr:col>
      <xdr:colOff>177246</xdr:colOff>
      <xdr:row>4</xdr:row>
      <xdr:rowOff>104646</xdr:rowOff>
    </xdr:from>
    <xdr:to>
      <xdr:col>2</xdr:col>
      <xdr:colOff>1064324</xdr:colOff>
      <xdr:row>4</xdr:row>
      <xdr:rowOff>177035</xdr:rowOff>
    </xdr:to>
    <xdr:sp macro="" textlink="">
      <xdr:nvSpPr>
        <xdr:cNvPr id="4" name="Параллелограмм 3">
          <a:extLst>
            <a:ext uri="{FF2B5EF4-FFF2-40B4-BE49-F238E27FC236}">
              <a16:creationId xmlns:a16="http://schemas.microsoft.com/office/drawing/2014/main" id="{50D2F973-73CD-E73F-2489-C15103A57456}"/>
            </a:ext>
          </a:extLst>
        </xdr:cNvPr>
        <xdr:cNvSpPr/>
      </xdr:nvSpPr>
      <xdr:spPr>
        <a:xfrm rot="20479265">
          <a:off x="1396446" y="866646"/>
          <a:ext cx="887078" cy="72389"/>
        </a:xfrm>
        <a:prstGeom prst="parallelogram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38102</xdr:rowOff>
    </xdr:from>
    <xdr:to>
      <xdr:col>2</xdr:col>
      <xdr:colOff>1169192</xdr:colOff>
      <xdr:row>14</xdr:row>
      <xdr:rowOff>9525</xdr:rowOff>
    </xdr:to>
    <xdr:pic>
      <xdr:nvPicPr>
        <xdr:cNvPr id="3" name="Рисунок 2" descr="Picture background">
          <a:extLst>
            <a:ext uri="{FF2B5EF4-FFF2-40B4-BE49-F238E27FC236}">
              <a16:creationId xmlns:a16="http://schemas.microsoft.com/office/drawing/2014/main" id="{5BA8604B-A92F-6B46-DE49-69A79AAE2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38102"/>
          <a:ext cx="2264567" cy="3019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123824</xdr:rowOff>
    </xdr:from>
    <xdr:to>
      <xdr:col>2</xdr:col>
      <xdr:colOff>1092995</xdr:colOff>
      <xdr:row>12</xdr:row>
      <xdr:rowOff>19049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01CD8A6-2674-3F00-58C9-C2B05E916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1" y="123824"/>
          <a:ext cx="1778794" cy="23717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16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id="{8901DDF6-ECCC-4840-AC9C-03DCA8C2A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561975</xdr:colOff>
      <xdr:row>9</xdr:row>
      <xdr:rowOff>0</xdr:rowOff>
    </xdr:from>
    <xdr:ext cx="704167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ABE172-9D96-4973-BF16-C782607296F2}"/>
            </a:ext>
          </a:extLst>
        </xdr:cNvPr>
        <xdr:cNvSpPr txBox="1"/>
      </xdr:nvSpPr>
      <xdr:spPr>
        <a:xfrm>
          <a:off x="561975" y="1905000"/>
          <a:ext cx="7041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ERG</a:t>
          </a:r>
          <a:endParaRPr lang="ru-RU" sz="2400" b="1"/>
        </a:p>
      </xdr:txBody>
    </xdr:sp>
    <xdr:clientData/>
  </xdr:oneCellAnchor>
  <xdr:twoCellAnchor>
    <xdr:from>
      <xdr:col>2</xdr:col>
      <xdr:colOff>177246</xdr:colOff>
      <xdr:row>4</xdr:row>
      <xdr:rowOff>104646</xdr:rowOff>
    </xdr:from>
    <xdr:to>
      <xdr:col>2</xdr:col>
      <xdr:colOff>1064324</xdr:colOff>
      <xdr:row>4</xdr:row>
      <xdr:rowOff>177035</xdr:rowOff>
    </xdr:to>
    <xdr:sp macro="" textlink="">
      <xdr:nvSpPr>
        <xdr:cNvPr id="4" name="Параллелограмм 3">
          <a:extLst>
            <a:ext uri="{FF2B5EF4-FFF2-40B4-BE49-F238E27FC236}">
              <a16:creationId xmlns:a16="http://schemas.microsoft.com/office/drawing/2014/main" id="{A3A4B086-5354-43A4-A9C1-F965C9F0719D}"/>
            </a:ext>
          </a:extLst>
        </xdr:cNvPr>
        <xdr:cNvSpPr/>
      </xdr:nvSpPr>
      <xdr:spPr>
        <a:xfrm rot="20479265">
          <a:off x="1396446" y="866646"/>
          <a:ext cx="887078" cy="72389"/>
        </a:xfrm>
        <a:prstGeom prst="parallelogram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16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id="{31FAE311-4AB9-4623-B33B-2B7FC9929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561975</xdr:colOff>
      <xdr:row>9</xdr:row>
      <xdr:rowOff>0</xdr:rowOff>
    </xdr:from>
    <xdr:ext cx="704167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F9A4D9-9B0E-4B9F-BEF1-E1DADAB29454}"/>
            </a:ext>
          </a:extLst>
        </xdr:cNvPr>
        <xdr:cNvSpPr txBox="1"/>
      </xdr:nvSpPr>
      <xdr:spPr>
        <a:xfrm>
          <a:off x="561975" y="1905000"/>
          <a:ext cx="7041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ERG</a:t>
          </a:r>
          <a:endParaRPr lang="ru-RU" sz="2400" b="1"/>
        </a:p>
      </xdr:txBody>
    </xdr:sp>
    <xdr:clientData/>
  </xdr:oneCellAnchor>
  <xdr:twoCellAnchor>
    <xdr:from>
      <xdr:col>2</xdr:col>
      <xdr:colOff>177246</xdr:colOff>
      <xdr:row>4</xdr:row>
      <xdr:rowOff>104646</xdr:rowOff>
    </xdr:from>
    <xdr:to>
      <xdr:col>2</xdr:col>
      <xdr:colOff>1064324</xdr:colOff>
      <xdr:row>4</xdr:row>
      <xdr:rowOff>177035</xdr:rowOff>
    </xdr:to>
    <xdr:sp macro="" textlink="">
      <xdr:nvSpPr>
        <xdr:cNvPr id="4" name="Параллелограмм 3">
          <a:extLst>
            <a:ext uri="{FF2B5EF4-FFF2-40B4-BE49-F238E27FC236}">
              <a16:creationId xmlns:a16="http://schemas.microsoft.com/office/drawing/2014/main" id="{3CC96D37-3704-475D-9BF5-8E6C5B170058}"/>
            </a:ext>
          </a:extLst>
        </xdr:cNvPr>
        <xdr:cNvSpPr/>
      </xdr:nvSpPr>
      <xdr:spPr>
        <a:xfrm rot="20479265">
          <a:off x="1396446" y="866646"/>
          <a:ext cx="887078" cy="72389"/>
        </a:xfrm>
        <a:prstGeom prst="parallelogram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16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id="{842249E4-2320-4192-BD3F-81D08A713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561975</xdr:colOff>
      <xdr:row>9</xdr:row>
      <xdr:rowOff>0</xdr:rowOff>
    </xdr:from>
    <xdr:ext cx="704167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5EEF9F1-350A-4549-8857-0A7F4AF29EE5}"/>
            </a:ext>
          </a:extLst>
        </xdr:cNvPr>
        <xdr:cNvSpPr txBox="1"/>
      </xdr:nvSpPr>
      <xdr:spPr>
        <a:xfrm>
          <a:off x="561975" y="1905000"/>
          <a:ext cx="7041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ERG</a:t>
          </a:r>
          <a:endParaRPr lang="ru-RU" sz="2400" b="1"/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16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id="{8DB50186-E9E7-45B4-A06D-A7E6349A2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561975</xdr:colOff>
      <xdr:row>9</xdr:row>
      <xdr:rowOff>0</xdr:rowOff>
    </xdr:from>
    <xdr:ext cx="704167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6671A43-C97C-4F8B-8142-E41B58E2C390}"/>
            </a:ext>
          </a:extLst>
        </xdr:cNvPr>
        <xdr:cNvSpPr txBox="1"/>
      </xdr:nvSpPr>
      <xdr:spPr>
        <a:xfrm>
          <a:off x="561975" y="1905000"/>
          <a:ext cx="7041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ERG</a:t>
          </a:r>
          <a:endParaRPr lang="ru-RU" sz="2400" b="1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15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id="{A9A52EC1-F40E-4860-B86C-4BBFBB4B2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31173</xdr:rowOff>
    </xdr:from>
    <xdr:to>
      <xdr:col>2</xdr:col>
      <xdr:colOff>1247775</xdr:colOff>
      <xdr:row>14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3EA004B-FF03-4CB7-A2A5-53D59BF49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1173"/>
          <a:ext cx="2295525" cy="309302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31173</xdr:rowOff>
    </xdr:from>
    <xdr:to>
      <xdr:col>2</xdr:col>
      <xdr:colOff>1247775</xdr:colOff>
      <xdr:row>13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98329F5-8EFB-46F9-A16B-06BF47951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1173"/>
          <a:ext cx="2295525" cy="309302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31173</xdr:rowOff>
    </xdr:from>
    <xdr:to>
      <xdr:col>2</xdr:col>
      <xdr:colOff>1247775</xdr:colOff>
      <xdr:row>14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A92641E-B013-45CC-BFBD-C8F9DB317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1173"/>
          <a:ext cx="2295525" cy="309302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14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id="{60080F2A-9F2F-469B-8E48-7A5E99F52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A55D6-52CD-425D-B9CE-8392BE85C92A}">
  <dimension ref="D1:K16"/>
  <sheetViews>
    <sheetView workbookViewId="0">
      <selection activeCell="H3" sqref="H3:J3"/>
    </sheetView>
  </sheetViews>
  <sheetFormatPr defaultRowHeight="15" x14ac:dyDescent="0.2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4:11" ht="30" x14ac:dyDescent="0.25">
      <c r="D1" s="21" t="s">
        <v>20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4:11" x14ac:dyDescent="0.25">
      <c r="D2" s="21"/>
      <c r="E2" s="6">
        <v>90</v>
      </c>
      <c r="F2" s="6">
        <v>140</v>
      </c>
      <c r="G2" s="6">
        <v>90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4:11" ht="30" x14ac:dyDescent="0.25">
      <c r="D3" s="6" t="s">
        <v>22</v>
      </c>
      <c r="E3" s="22" t="s">
        <v>39</v>
      </c>
      <c r="F3" s="22"/>
      <c r="G3" s="2" t="s">
        <v>40</v>
      </c>
      <c r="H3" s="22" t="s">
        <v>24</v>
      </c>
      <c r="I3" s="22"/>
      <c r="J3" s="22"/>
    </row>
    <row r="5" spans="4:11" x14ac:dyDescent="0.25">
      <c r="D5" s="22" t="s">
        <v>0</v>
      </c>
      <c r="E5" s="18" t="s">
        <v>2</v>
      </c>
      <c r="F5" s="19"/>
      <c r="G5" s="19"/>
      <c r="H5" s="19"/>
      <c r="I5" s="19"/>
      <c r="J5" s="20"/>
    </row>
    <row r="6" spans="4:11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4:11" x14ac:dyDescent="0.25">
      <c r="D7" s="6" t="s">
        <v>1</v>
      </c>
      <c r="E7" s="6">
        <v>90</v>
      </c>
      <c r="F7" s="6">
        <v>140</v>
      </c>
      <c r="G7" s="6">
        <v>4</v>
      </c>
      <c r="H7" s="6">
        <v>1.7999999999999999E-2</v>
      </c>
      <c r="I7" s="6"/>
      <c r="J7" s="5">
        <f>(E7*F7*G7*H7)-I7</f>
        <v>907.19999999999993</v>
      </c>
    </row>
    <row r="8" spans="4:11" x14ac:dyDescent="0.25">
      <c r="D8" s="6" t="s">
        <v>8</v>
      </c>
      <c r="E8" s="6">
        <v>95</v>
      </c>
      <c r="F8" s="6">
        <v>95</v>
      </c>
      <c r="G8" s="6">
        <v>1</v>
      </c>
      <c r="H8" s="6">
        <v>1.7999999999999999E-2</v>
      </c>
      <c r="I8" s="5"/>
      <c r="J8" s="5">
        <f>((E8*F8)-I8)*G8*H8</f>
        <v>162.44999999999999</v>
      </c>
    </row>
    <row r="9" spans="4:11" x14ac:dyDescent="0.25">
      <c r="D9" s="6" t="s">
        <v>14</v>
      </c>
      <c r="E9" s="6">
        <v>5</v>
      </c>
      <c r="F9" s="6">
        <f>F7*1+F7*1+H2*2</f>
        <v>330</v>
      </c>
      <c r="G9" s="6">
        <v>4</v>
      </c>
      <c r="H9" s="6">
        <v>0.35</v>
      </c>
      <c r="I9" s="6"/>
      <c r="J9" s="5">
        <f>F9*G9*H9</f>
        <v>461.99999999999994</v>
      </c>
    </row>
    <row r="10" spans="4:11" x14ac:dyDescent="0.25">
      <c r="D10" s="6" t="s">
        <v>9</v>
      </c>
      <c r="E10" s="6"/>
      <c r="F10" s="6"/>
      <c r="G10" s="6"/>
      <c r="H10" s="6"/>
      <c r="I10" s="6"/>
      <c r="J10" s="5">
        <v>5</v>
      </c>
    </row>
    <row r="11" spans="4:11" x14ac:dyDescent="0.25">
      <c r="D11" s="6" t="s">
        <v>10</v>
      </c>
      <c r="E11" s="6"/>
      <c r="F11" s="8">
        <f>E2*8+F2*4+J2*2+I2*3.14</f>
        <v>1505.6</v>
      </c>
      <c r="G11" s="6"/>
      <c r="H11" s="6">
        <v>7.6999999999999999E-2</v>
      </c>
      <c r="I11" s="6"/>
      <c r="J11" s="5">
        <f>H11*F11</f>
        <v>115.93119999999999</v>
      </c>
    </row>
    <row r="12" spans="4:11" x14ac:dyDescent="0.25">
      <c r="D12" s="6" t="s">
        <v>26</v>
      </c>
      <c r="E12" s="6">
        <v>65</v>
      </c>
      <c r="F12" s="8">
        <v>53</v>
      </c>
      <c r="G12" s="6">
        <v>2</v>
      </c>
      <c r="H12" s="6">
        <v>9.4999999999999998E-3</v>
      </c>
      <c r="I12" s="6"/>
      <c r="J12" s="5"/>
    </row>
    <row r="13" spans="4:11" x14ac:dyDescent="0.25">
      <c r="D13" s="6" t="s">
        <v>27</v>
      </c>
      <c r="E13" s="6">
        <v>65</v>
      </c>
      <c r="F13" s="8">
        <v>53</v>
      </c>
      <c r="G13" s="6">
        <v>2</v>
      </c>
      <c r="H13" s="6">
        <v>9.4999999999999998E-3</v>
      </c>
      <c r="I13" s="6"/>
      <c r="J13" s="5"/>
    </row>
    <row r="14" spans="4:11" x14ac:dyDescent="0.25">
      <c r="D14" s="6" t="s">
        <v>25</v>
      </c>
      <c r="E14" s="6">
        <v>95</v>
      </c>
      <c r="F14" s="6">
        <v>95</v>
      </c>
      <c r="G14" s="6">
        <v>1</v>
      </c>
      <c r="H14" s="6">
        <v>9.4999999999999998E-3</v>
      </c>
      <c r="I14" s="6"/>
      <c r="J14" s="5">
        <f>(E14*F14*G14*H14)-I14</f>
        <v>85.737499999999997</v>
      </c>
    </row>
    <row r="15" spans="4:11" x14ac:dyDescent="0.25">
      <c r="D15" s="6" t="s">
        <v>13</v>
      </c>
      <c r="E15" s="6">
        <v>2</v>
      </c>
      <c r="F15" s="6">
        <v>130</v>
      </c>
      <c r="G15" s="6">
        <v>2</v>
      </c>
      <c r="H15" s="6">
        <v>0.05</v>
      </c>
      <c r="I15" s="6"/>
      <c r="J15" s="5">
        <f>F15*G15*H15</f>
        <v>13</v>
      </c>
    </row>
    <row r="16" spans="4:11" x14ac:dyDescent="0.25">
      <c r="D16" s="18" t="s">
        <v>12</v>
      </c>
      <c r="E16" s="19"/>
      <c r="F16" s="19"/>
      <c r="G16" s="19"/>
      <c r="H16" s="19"/>
      <c r="I16" s="20"/>
      <c r="J16" s="5">
        <f>SUM(J7:J15)</f>
        <v>1751.3186999999998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K16"/>
  <sheetViews>
    <sheetView workbookViewId="0">
      <selection activeCell="F7" sqref="F7"/>
    </sheetView>
  </sheetViews>
  <sheetFormatPr defaultRowHeight="15" x14ac:dyDescent="0.2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4:11" ht="30" x14ac:dyDescent="0.25">
      <c r="D1" s="21" t="s">
        <v>21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4:11" x14ac:dyDescent="0.25">
      <c r="D2" s="21"/>
      <c r="E2" s="6">
        <v>90</v>
      </c>
      <c r="F2" s="6">
        <v>140</v>
      </c>
      <c r="G2" s="6">
        <v>90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4:11" x14ac:dyDescent="0.25">
      <c r="D3" s="6" t="s">
        <v>22</v>
      </c>
      <c r="E3" s="22" t="s">
        <v>28</v>
      </c>
      <c r="F3" s="22"/>
      <c r="G3" s="2"/>
      <c r="H3" s="22" t="s">
        <v>24</v>
      </c>
      <c r="I3" s="22"/>
      <c r="J3" s="22"/>
    </row>
    <row r="5" spans="4:11" x14ac:dyDescent="0.25">
      <c r="D5" s="22" t="s">
        <v>0</v>
      </c>
      <c r="E5" s="18" t="s">
        <v>2</v>
      </c>
      <c r="F5" s="19"/>
      <c r="G5" s="19"/>
      <c r="H5" s="19"/>
      <c r="I5" s="19"/>
      <c r="J5" s="20"/>
    </row>
    <row r="6" spans="4:11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3" t="s">
        <v>7</v>
      </c>
    </row>
    <row r="7" spans="4:11" x14ac:dyDescent="0.25">
      <c r="D7" s="3" t="s">
        <v>1</v>
      </c>
      <c r="E7" s="3">
        <v>90</v>
      </c>
      <c r="F7" s="6">
        <f>E7+F2*2</f>
        <v>370</v>
      </c>
      <c r="G7" s="3">
        <v>2</v>
      </c>
      <c r="H7" s="3">
        <v>1.4E-2</v>
      </c>
      <c r="I7" s="3"/>
      <c r="J7" s="5">
        <f>(E7*F7*G7*H7)-I7</f>
        <v>932.4</v>
      </c>
    </row>
    <row r="8" spans="4:11" x14ac:dyDescent="0.25">
      <c r="D8" s="3" t="s">
        <v>29</v>
      </c>
      <c r="E8" s="3">
        <v>90</v>
      </c>
      <c r="F8" s="3">
        <v>140</v>
      </c>
      <c r="G8" s="3">
        <v>4</v>
      </c>
      <c r="H8" s="3">
        <v>1.6E-2</v>
      </c>
      <c r="I8" s="5"/>
      <c r="J8" s="5">
        <f>((E8*F8)-I8)*G8*H8</f>
        <v>806.4</v>
      </c>
    </row>
    <row r="9" spans="4:11" x14ac:dyDescent="0.25">
      <c r="D9" s="3" t="s">
        <v>14</v>
      </c>
      <c r="E9" s="3">
        <v>5</v>
      </c>
      <c r="F9" s="3">
        <f>F2*0.33+F2*0.67+H2*2</f>
        <v>190</v>
      </c>
      <c r="G9" s="3">
        <v>4</v>
      </c>
      <c r="H9" s="3">
        <v>0.35</v>
      </c>
      <c r="I9" s="3"/>
      <c r="J9" s="5">
        <f>F9*G9*H9</f>
        <v>266</v>
      </c>
    </row>
    <row r="10" spans="4:11" x14ac:dyDescent="0.25">
      <c r="D10" s="3" t="s">
        <v>9</v>
      </c>
      <c r="E10" s="3"/>
      <c r="F10" s="3"/>
      <c r="G10" s="3"/>
      <c r="H10" s="3"/>
      <c r="I10" s="3"/>
      <c r="J10" s="5">
        <v>5</v>
      </c>
    </row>
    <row r="11" spans="4:11" x14ac:dyDescent="0.25">
      <c r="D11" s="3" t="s">
        <v>10</v>
      </c>
      <c r="E11" s="3"/>
      <c r="F11" s="8">
        <f>E2*8+F2*4+J2*2+I2*3.14</f>
        <v>1505.6</v>
      </c>
      <c r="G11" s="3"/>
      <c r="H11" s="3">
        <v>7.6999999999999999E-2</v>
      </c>
      <c r="I11" s="3"/>
      <c r="J11" s="5">
        <f>H11*F11</f>
        <v>115.93119999999999</v>
      </c>
    </row>
    <row r="12" spans="4:11" x14ac:dyDescent="0.25">
      <c r="D12" s="6" t="s">
        <v>26</v>
      </c>
      <c r="E12" s="6">
        <v>65</v>
      </c>
      <c r="F12" s="8">
        <v>53</v>
      </c>
      <c r="G12" s="6">
        <v>2</v>
      </c>
      <c r="H12" s="6">
        <v>9.4999999999999998E-3</v>
      </c>
      <c r="I12" s="6"/>
      <c r="J12" s="5"/>
    </row>
    <row r="13" spans="4:11" x14ac:dyDescent="0.25">
      <c r="D13" s="6" t="s">
        <v>27</v>
      </c>
      <c r="E13" s="6">
        <v>65</v>
      </c>
      <c r="F13" s="8">
        <v>53</v>
      </c>
      <c r="G13" s="6">
        <v>2</v>
      </c>
      <c r="H13" s="6">
        <v>9.4999999999999998E-3</v>
      </c>
      <c r="I13" s="6"/>
      <c r="J13" s="5"/>
    </row>
    <row r="14" spans="4:11" x14ac:dyDescent="0.25">
      <c r="D14" s="3" t="s">
        <v>25</v>
      </c>
      <c r="E14" s="3">
        <v>95</v>
      </c>
      <c r="F14" s="3">
        <v>95</v>
      </c>
      <c r="G14" s="3">
        <v>1</v>
      </c>
      <c r="H14" s="3">
        <v>9.4999999999999998E-3</v>
      </c>
      <c r="I14" s="3"/>
      <c r="J14" s="5">
        <f>(E14*F14*G14*H14)-I14</f>
        <v>85.737499999999997</v>
      </c>
    </row>
    <row r="15" spans="4:11" x14ac:dyDescent="0.25">
      <c r="D15" s="3" t="s">
        <v>13</v>
      </c>
      <c r="E15" s="3">
        <v>2</v>
      </c>
      <c r="F15" s="3">
        <v>130</v>
      </c>
      <c r="G15" s="3">
        <v>2</v>
      </c>
      <c r="H15" s="3">
        <v>0.05</v>
      </c>
      <c r="I15" s="3"/>
      <c r="J15" s="5">
        <f>F15*G15*H15</f>
        <v>13</v>
      </c>
    </row>
    <row r="16" spans="4:11" x14ac:dyDescent="0.25">
      <c r="D16" s="18" t="s">
        <v>12</v>
      </c>
      <c r="E16" s="19"/>
      <c r="F16" s="19"/>
      <c r="G16" s="19"/>
      <c r="H16" s="19"/>
      <c r="I16" s="20"/>
      <c r="J16" s="5">
        <f>SUM(J7:J15)</f>
        <v>2224.4687000000004</v>
      </c>
    </row>
  </sheetData>
  <mergeCells count="6">
    <mergeCell ref="D5:D6"/>
    <mergeCell ref="D16:I16"/>
    <mergeCell ref="D1:D2"/>
    <mergeCell ref="E3:F3"/>
    <mergeCell ref="H3:J3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821D-69D1-435F-8BA0-8909F50A35B9}">
  <dimension ref="D1:K16"/>
  <sheetViews>
    <sheetView workbookViewId="0">
      <selection activeCell="J16" sqref="J16"/>
    </sheetView>
  </sheetViews>
  <sheetFormatPr defaultRowHeight="15" x14ac:dyDescent="0.2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4:11" ht="30" x14ac:dyDescent="0.25">
      <c r="D1" s="21" t="s">
        <v>20</v>
      </c>
      <c r="E1" s="9" t="s">
        <v>4</v>
      </c>
      <c r="F1" s="9" t="s">
        <v>15</v>
      </c>
      <c r="G1" s="9" t="s">
        <v>16</v>
      </c>
      <c r="H1" s="9" t="s">
        <v>17</v>
      </c>
      <c r="I1" s="2" t="s">
        <v>18</v>
      </c>
      <c r="J1" s="9" t="s">
        <v>19</v>
      </c>
      <c r="K1" s="1">
        <f>3.14*40</f>
        <v>125.60000000000001</v>
      </c>
    </row>
    <row r="2" spans="4:11" x14ac:dyDescent="0.25">
      <c r="D2" s="21"/>
      <c r="E2" s="9">
        <v>90</v>
      </c>
      <c r="F2" s="9">
        <v>140</v>
      </c>
      <c r="G2" s="9">
        <v>90</v>
      </c>
      <c r="H2" s="9">
        <v>25</v>
      </c>
      <c r="I2" s="9">
        <v>40</v>
      </c>
      <c r="J2" s="9">
        <v>50</v>
      </c>
      <c r="K2" s="1">
        <f>K1/2</f>
        <v>62.800000000000004</v>
      </c>
    </row>
    <row r="3" spans="4:11" ht="30" x14ac:dyDescent="0.25">
      <c r="D3" s="9" t="s">
        <v>22</v>
      </c>
      <c r="E3" s="22" t="s">
        <v>39</v>
      </c>
      <c r="F3" s="22"/>
      <c r="G3" s="2" t="s">
        <v>40</v>
      </c>
      <c r="H3" s="22" t="s">
        <v>24</v>
      </c>
      <c r="I3" s="22"/>
      <c r="J3" s="22"/>
    </row>
    <row r="5" spans="4:11" x14ac:dyDescent="0.25">
      <c r="D5" s="22" t="s">
        <v>0</v>
      </c>
      <c r="E5" s="18" t="s">
        <v>2</v>
      </c>
      <c r="F5" s="19"/>
      <c r="G5" s="19"/>
      <c r="H5" s="19"/>
      <c r="I5" s="19"/>
      <c r="J5" s="20"/>
    </row>
    <row r="6" spans="4:11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9" t="s">
        <v>7</v>
      </c>
    </row>
    <row r="7" spans="4:11" x14ac:dyDescent="0.25">
      <c r="D7" s="9" t="s">
        <v>1</v>
      </c>
      <c r="E7" s="9">
        <v>90</v>
      </c>
      <c r="F7" s="9">
        <v>140</v>
      </c>
      <c r="G7" s="9">
        <v>4</v>
      </c>
      <c r="H7" s="9">
        <v>1.4E-2</v>
      </c>
      <c r="I7" s="9"/>
      <c r="J7" s="5">
        <f>(E7*F7*G7*H7)-I7</f>
        <v>705.6</v>
      </c>
    </row>
    <row r="8" spans="4:11" x14ac:dyDescent="0.25">
      <c r="D8" s="9" t="s">
        <v>8</v>
      </c>
      <c r="E8" s="9">
        <v>95</v>
      </c>
      <c r="F8" s="9">
        <v>95</v>
      </c>
      <c r="G8" s="9">
        <v>1</v>
      </c>
      <c r="H8" s="9">
        <v>1.6E-2</v>
      </c>
      <c r="I8" s="5"/>
      <c r="J8" s="5">
        <f>((E8*F8)-I8)*G8*H8</f>
        <v>144.4</v>
      </c>
    </row>
    <row r="9" spans="4:11" x14ac:dyDescent="0.25">
      <c r="D9" s="9" t="s">
        <v>14</v>
      </c>
      <c r="E9" s="9">
        <v>5</v>
      </c>
      <c r="F9" s="9">
        <f>F7*0.33+F7*0.67+H2*2</f>
        <v>190</v>
      </c>
      <c r="G9" s="9">
        <v>4</v>
      </c>
      <c r="H9" s="9">
        <v>0.35</v>
      </c>
      <c r="I9" s="9"/>
      <c r="J9" s="5">
        <f>F9*G9*H9</f>
        <v>266</v>
      </c>
    </row>
    <row r="10" spans="4:11" x14ac:dyDescent="0.25">
      <c r="D10" s="9" t="s">
        <v>9</v>
      </c>
      <c r="E10" s="9"/>
      <c r="F10" s="9"/>
      <c r="G10" s="9"/>
      <c r="H10" s="9"/>
      <c r="I10" s="9"/>
      <c r="J10" s="5">
        <v>5</v>
      </c>
    </row>
    <row r="11" spans="4:11" x14ac:dyDescent="0.25">
      <c r="D11" s="9" t="s">
        <v>10</v>
      </c>
      <c r="E11" s="9"/>
      <c r="F11" s="8">
        <f>E2*8+F2*4+J2*2+I2*3.14</f>
        <v>1505.6</v>
      </c>
      <c r="G11" s="9"/>
      <c r="H11" s="9">
        <v>7.6999999999999999E-2</v>
      </c>
      <c r="I11" s="9"/>
      <c r="J11" s="5">
        <f>H11*F11</f>
        <v>115.93119999999999</v>
      </c>
    </row>
    <row r="12" spans="4:11" x14ac:dyDescent="0.25">
      <c r="D12" s="9" t="s">
        <v>26</v>
      </c>
      <c r="E12" s="9">
        <v>65</v>
      </c>
      <c r="F12" s="8">
        <v>53</v>
      </c>
      <c r="G12" s="9">
        <v>2</v>
      </c>
      <c r="H12" s="9">
        <v>9.4999999999999998E-3</v>
      </c>
      <c r="I12" s="9"/>
      <c r="J12" s="5"/>
    </row>
    <row r="13" spans="4:11" x14ac:dyDescent="0.25">
      <c r="D13" s="9" t="s">
        <v>27</v>
      </c>
      <c r="E13" s="9">
        <v>65</v>
      </c>
      <c r="F13" s="8">
        <v>53</v>
      </c>
      <c r="G13" s="9">
        <v>2</v>
      </c>
      <c r="H13" s="9">
        <v>9.4999999999999998E-3</v>
      </c>
      <c r="I13" s="9"/>
      <c r="J13" s="5"/>
    </row>
    <row r="14" spans="4:11" x14ac:dyDescent="0.25">
      <c r="D14" s="9" t="s">
        <v>25</v>
      </c>
      <c r="E14" s="9">
        <v>95</v>
      </c>
      <c r="F14" s="9">
        <v>95</v>
      </c>
      <c r="G14" s="9">
        <v>1</v>
      </c>
      <c r="H14" s="9">
        <v>9.4999999999999998E-3</v>
      </c>
      <c r="I14" s="9"/>
      <c r="J14" s="5">
        <f>(E14*F14*G14*H14)-I14</f>
        <v>85.737499999999997</v>
      </c>
    </row>
    <row r="15" spans="4:11" x14ac:dyDescent="0.25">
      <c r="D15" s="9" t="s">
        <v>13</v>
      </c>
      <c r="E15" s="9">
        <v>2</v>
      </c>
      <c r="F15" s="9">
        <v>130</v>
      </c>
      <c r="G15" s="9">
        <v>2</v>
      </c>
      <c r="H15" s="9">
        <v>0.05</v>
      </c>
      <c r="I15" s="9"/>
      <c r="J15" s="5">
        <f>F15*G15*H15</f>
        <v>13</v>
      </c>
    </row>
    <row r="16" spans="4:11" x14ac:dyDescent="0.25">
      <c r="D16" s="18" t="s">
        <v>12</v>
      </c>
      <c r="E16" s="19"/>
      <c r="F16" s="19"/>
      <c r="G16" s="19"/>
      <c r="H16" s="19"/>
      <c r="I16" s="20"/>
      <c r="J16" s="5">
        <f>SUM(J7:J15)</f>
        <v>1335.6686999999999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08AD-2291-4C19-ACA4-5BD8A42D37BF}">
  <dimension ref="D1:K16"/>
  <sheetViews>
    <sheetView workbookViewId="0">
      <selection activeCell="F9" sqref="F9"/>
    </sheetView>
  </sheetViews>
  <sheetFormatPr defaultRowHeight="15" x14ac:dyDescent="0.2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4:11" ht="30" x14ac:dyDescent="0.25">
      <c r="D1" s="21" t="s">
        <v>20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4:11" x14ac:dyDescent="0.25">
      <c r="D2" s="21"/>
      <c r="E2" s="6">
        <v>110</v>
      </c>
      <c r="F2" s="6">
        <v>140</v>
      </c>
      <c r="G2" s="6">
        <v>110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4:11" ht="30" x14ac:dyDescent="0.25">
      <c r="D3" s="6" t="s">
        <v>22</v>
      </c>
      <c r="E3" s="22" t="s">
        <v>41</v>
      </c>
      <c r="F3" s="22"/>
      <c r="G3" s="2" t="s">
        <v>42</v>
      </c>
      <c r="H3" s="22" t="s">
        <v>24</v>
      </c>
      <c r="I3" s="22"/>
      <c r="J3" s="22"/>
    </row>
    <row r="5" spans="4:11" x14ac:dyDescent="0.25">
      <c r="D5" s="22" t="s">
        <v>0</v>
      </c>
      <c r="E5" s="18" t="s">
        <v>2</v>
      </c>
      <c r="F5" s="19"/>
      <c r="G5" s="19"/>
      <c r="H5" s="19"/>
      <c r="I5" s="19"/>
      <c r="J5" s="20"/>
    </row>
    <row r="6" spans="4:11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4:11" x14ac:dyDescent="0.25">
      <c r="D7" s="6" t="s">
        <v>1</v>
      </c>
      <c r="E7" s="6">
        <v>110</v>
      </c>
      <c r="F7" s="6">
        <v>140</v>
      </c>
      <c r="G7" s="6">
        <v>4</v>
      </c>
      <c r="H7" s="7">
        <v>1.7999999999999999E-2</v>
      </c>
      <c r="I7" s="6"/>
      <c r="J7" s="5">
        <f>(E7*F7*G7*H7)-I7</f>
        <v>1108.8</v>
      </c>
    </row>
    <row r="8" spans="4:11" x14ac:dyDescent="0.25">
      <c r="D8" s="6" t="s">
        <v>8</v>
      </c>
      <c r="E8" s="6">
        <v>115</v>
      </c>
      <c r="F8" s="6">
        <v>115</v>
      </c>
      <c r="G8" s="6">
        <v>1</v>
      </c>
      <c r="H8" s="7">
        <v>1.7999999999999999E-2</v>
      </c>
      <c r="I8" s="5"/>
      <c r="J8" s="5">
        <f>((E8*F8)-I8)*G8*H8</f>
        <v>238.04999999999998</v>
      </c>
    </row>
    <row r="9" spans="4:11" x14ac:dyDescent="0.25">
      <c r="D9" s="6" t="s">
        <v>14</v>
      </c>
      <c r="E9" s="6">
        <v>5</v>
      </c>
      <c r="F9" s="6">
        <f>F7*1+F7*1+H2*2</f>
        <v>330</v>
      </c>
      <c r="G9" s="6">
        <v>4</v>
      </c>
      <c r="H9" s="6">
        <v>0.35</v>
      </c>
      <c r="I9" s="6"/>
      <c r="J9" s="5">
        <f>F9*G9*H9</f>
        <v>461.99999999999994</v>
      </c>
    </row>
    <row r="10" spans="4:11" x14ac:dyDescent="0.25">
      <c r="D10" s="6" t="s">
        <v>9</v>
      </c>
      <c r="E10" s="6"/>
      <c r="F10" s="6"/>
      <c r="G10" s="6"/>
      <c r="H10" s="6"/>
      <c r="I10" s="6"/>
      <c r="J10" s="5">
        <v>5</v>
      </c>
    </row>
    <row r="11" spans="4:11" x14ac:dyDescent="0.25">
      <c r="D11" s="6" t="s">
        <v>10</v>
      </c>
      <c r="E11" s="6"/>
      <c r="F11" s="8">
        <f>E2*8+F7*4+J2*2+I2*3.14</f>
        <v>1665.6</v>
      </c>
      <c r="G11" s="6"/>
      <c r="H11" s="6">
        <v>7.6999999999999999E-2</v>
      </c>
      <c r="I11" s="6"/>
      <c r="J11" s="5">
        <f>H11*F11</f>
        <v>128.25119999999998</v>
      </c>
    </row>
    <row r="12" spans="4:11" x14ac:dyDescent="0.25">
      <c r="D12" s="6" t="s">
        <v>26</v>
      </c>
      <c r="E12" s="6">
        <v>65</v>
      </c>
      <c r="F12" s="8">
        <v>53</v>
      </c>
      <c r="G12" s="6">
        <v>2</v>
      </c>
      <c r="H12" s="6">
        <v>9.4999999999999998E-3</v>
      </c>
      <c r="I12" s="6"/>
      <c r="J12" s="5"/>
    </row>
    <row r="13" spans="4:11" x14ac:dyDescent="0.25">
      <c r="D13" s="6" t="s">
        <v>27</v>
      </c>
      <c r="E13" s="6">
        <v>65</v>
      </c>
      <c r="F13" s="8">
        <v>53</v>
      </c>
      <c r="G13" s="6">
        <v>2</v>
      </c>
      <c r="H13" s="6">
        <v>9.4999999999999998E-3</v>
      </c>
      <c r="I13" s="6"/>
      <c r="J13" s="5"/>
    </row>
    <row r="14" spans="4:11" x14ac:dyDescent="0.25">
      <c r="D14" s="6" t="s">
        <v>25</v>
      </c>
      <c r="E14" s="6">
        <v>115</v>
      </c>
      <c r="F14" s="6">
        <v>115</v>
      </c>
      <c r="G14" s="6">
        <v>1</v>
      </c>
      <c r="H14" s="6">
        <v>9.4999999999999998E-3</v>
      </c>
      <c r="I14" s="6"/>
      <c r="J14" s="5">
        <f>(E14*F14*G14*H14)-I14</f>
        <v>125.6375</v>
      </c>
    </row>
    <row r="15" spans="4:11" x14ac:dyDescent="0.25">
      <c r="D15" s="6" t="s">
        <v>13</v>
      </c>
      <c r="E15" s="6">
        <v>2</v>
      </c>
      <c r="F15" s="6">
        <v>130</v>
      </c>
      <c r="G15" s="6">
        <v>2</v>
      </c>
      <c r="H15" s="6">
        <v>0.05</v>
      </c>
      <c r="I15" s="6"/>
      <c r="J15" s="5">
        <f>F15*G15*H15</f>
        <v>13</v>
      </c>
    </row>
    <row r="16" spans="4:11" x14ac:dyDescent="0.25">
      <c r="D16" s="18" t="s">
        <v>12</v>
      </c>
      <c r="E16" s="19"/>
      <c r="F16" s="19"/>
      <c r="G16" s="19"/>
      <c r="H16" s="19"/>
      <c r="I16" s="20"/>
      <c r="J16" s="5">
        <f>SUM(J7:J15)</f>
        <v>2080.7386999999999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59E0-3800-4A3E-B063-DE4C3CCBBF98}">
  <dimension ref="D1:K16"/>
  <sheetViews>
    <sheetView workbookViewId="0">
      <selection activeCell="E17" sqref="E17"/>
    </sheetView>
  </sheetViews>
  <sheetFormatPr defaultRowHeight="15" x14ac:dyDescent="0.2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4:11" ht="30" x14ac:dyDescent="0.25">
      <c r="D1" s="21" t="s">
        <v>21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4:11" x14ac:dyDescent="0.25">
      <c r="D2" s="21"/>
      <c r="E2" s="6">
        <v>110</v>
      </c>
      <c r="F2" s="6">
        <v>140</v>
      </c>
      <c r="G2" s="6">
        <v>110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4:11" x14ac:dyDescent="0.25">
      <c r="D3" s="6" t="s">
        <v>22</v>
      </c>
      <c r="E3" s="22" t="s">
        <v>32</v>
      </c>
      <c r="F3" s="22"/>
      <c r="G3" s="2"/>
      <c r="H3" s="22" t="s">
        <v>24</v>
      </c>
      <c r="I3" s="22"/>
      <c r="J3" s="22"/>
    </row>
    <row r="5" spans="4:11" x14ac:dyDescent="0.25">
      <c r="D5" s="22" t="s">
        <v>0</v>
      </c>
      <c r="E5" s="18" t="s">
        <v>2</v>
      </c>
      <c r="F5" s="19"/>
      <c r="G5" s="19"/>
      <c r="H5" s="19"/>
      <c r="I5" s="19"/>
      <c r="J5" s="20"/>
    </row>
    <row r="6" spans="4:11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4:11" x14ac:dyDescent="0.25">
      <c r="D7" s="6" t="s">
        <v>1</v>
      </c>
      <c r="E7" s="6">
        <v>110</v>
      </c>
      <c r="F7" s="6">
        <f>E7+F2*2</f>
        <v>390</v>
      </c>
      <c r="G7" s="6">
        <v>2</v>
      </c>
      <c r="H7" s="6">
        <v>1.4E-2</v>
      </c>
      <c r="I7" s="6"/>
      <c r="J7" s="5">
        <f>(E7*F7*G7*H7)-I7</f>
        <v>1201.2</v>
      </c>
    </row>
    <row r="8" spans="4:11" x14ac:dyDescent="0.25">
      <c r="D8" s="6" t="s">
        <v>29</v>
      </c>
      <c r="E8" s="6">
        <v>110</v>
      </c>
      <c r="F8" s="6">
        <v>140</v>
      </c>
      <c r="G8" s="6">
        <v>4</v>
      </c>
      <c r="H8" s="6">
        <v>1.6E-2</v>
      </c>
      <c r="I8" s="5"/>
      <c r="J8" s="5">
        <f>((E8*F8)-I8)*G8*H8</f>
        <v>985.6</v>
      </c>
    </row>
    <row r="9" spans="4:11" x14ac:dyDescent="0.25">
      <c r="D9" s="6" t="s">
        <v>14</v>
      </c>
      <c r="E9" s="6">
        <v>5</v>
      </c>
      <c r="F9" s="6">
        <f>F2*0.33+F2*0.67+H2*2</f>
        <v>190</v>
      </c>
      <c r="G9" s="6">
        <v>4</v>
      </c>
      <c r="H9" s="6">
        <v>0.35</v>
      </c>
      <c r="I9" s="6"/>
      <c r="J9" s="5">
        <f>F9*G9*H9</f>
        <v>266</v>
      </c>
    </row>
    <row r="10" spans="4:11" x14ac:dyDescent="0.25">
      <c r="D10" s="6" t="s">
        <v>9</v>
      </c>
      <c r="E10" s="6"/>
      <c r="F10" s="6"/>
      <c r="G10" s="6"/>
      <c r="H10" s="6"/>
      <c r="I10" s="6"/>
      <c r="J10" s="5">
        <v>5</v>
      </c>
    </row>
    <row r="11" spans="4:11" x14ac:dyDescent="0.25">
      <c r="D11" s="6" t="s">
        <v>10</v>
      </c>
      <c r="E11" s="6"/>
      <c r="F11" s="8">
        <f>E2*8+F2*4+J2*2+I2*3.14</f>
        <v>1665.6</v>
      </c>
      <c r="G11" s="6"/>
      <c r="H11" s="6">
        <v>7.6999999999999999E-2</v>
      </c>
      <c r="I11" s="6"/>
      <c r="J11" s="5">
        <f>H11*F11</f>
        <v>128.25119999999998</v>
      </c>
    </row>
    <row r="12" spans="4:11" x14ac:dyDescent="0.25">
      <c r="D12" s="6" t="s">
        <v>26</v>
      </c>
      <c r="E12" s="6">
        <v>65</v>
      </c>
      <c r="F12" s="8">
        <v>53</v>
      </c>
      <c r="G12" s="6">
        <v>2</v>
      </c>
      <c r="H12" s="6">
        <v>9.4999999999999998E-3</v>
      </c>
      <c r="I12" s="6"/>
      <c r="J12" s="5"/>
    </row>
    <row r="13" spans="4:11" x14ac:dyDescent="0.25">
      <c r="D13" s="6" t="s">
        <v>27</v>
      </c>
      <c r="E13" s="6">
        <v>65</v>
      </c>
      <c r="F13" s="8">
        <v>53</v>
      </c>
      <c r="G13" s="6">
        <v>2</v>
      </c>
      <c r="H13" s="6">
        <v>9.4999999999999998E-3</v>
      </c>
      <c r="I13" s="6"/>
      <c r="J13" s="5"/>
    </row>
    <row r="14" spans="4:11" x14ac:dyDescent="0.25">
      <c r="D14" s="6" t="s">
        <v>25</v>
      </c>
      <c r="E14" s="6">
        <v>115</v>
      </c>
      <c r="F14" s="6">
        <v>115</v>
      </c>
      <c r="G14" s="6">
        <v>1</v>
      </c>
      <c r="H14" s="6">
        <v>9.4999999999999998E-3</v>
      </c>
      <c r="I14" s="6"/>
      <c r="J14" s="5">
        <f>(E14*F14*G14*H14)-I14</f>
        <v>125.6375</v>
      </c>
    </row>
    <row r="15" spans="4:11" x14ac:dyDescent="0.25">
      <c r="D15" s="6" t="s">
        <v>13</v>
      </c>
      <c r="E15" s="6">
        <v>2</v>
      </c>
      <c r="F15" s="6">
        <v>130</v>
      </c>
      <c r="G15" s="6">
        <v>2</v>
      </c>
      <c r="H15" s="6">
        <v>0.05</v>
      </c>
      <c r="I15" s="6"/>
      <c r="J15" s="5">
        <f>F15*G15*H15</f>
        <v>13</v>
      </c>
    </row>
    <row r="16" spans="4:11" x14ac:dyDescent="0.25">
      <c r="D16" s="18" t="s">
        <v>12</v>
      </c>
      <c r="E16" s="19"/>
      <c r="F16" s="19"/>
      <c r="G16" s="19"/>
      <c r="H16" s="19"/>
      <c r="I16" s="20"/>
      <c r="J16" s="5">
        <f>SUM(J7:J15)</f>
        <v>2724.6887000000002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0DC0-4777-46A1-821F-82D3BCE8C9B2}">
  <dimension ref="B1:K14"/>
  <sheetViews>
    <sheetView workbookViewId="0">
      <selection activeCell="F9" sqref="F9"/>
    </sheetView>
  </sheetViews>
  <sheetFormatPr defaultRowHeight="15" x14ac:dyDescent="0.2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1" ht="30" x14ac:dyDescent="0.25">
      <c r="D1" s="21" t="s">
        <v>34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2:11" x14ac:dyDescent="0.25">
      <c r="D2" s="21"/>
      <c r="E2" s="6">
        <v>90</v>
      </c>
      <c r="F2" s="6">
        <v>120</v>
      </c>
      <c r="G2" s="6">
        <v>90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2:11" ht="30" x14ac:dyDescent="0.25">
      <c r="D3" s="6" t="s">
        <v>22</v>
      </c>
      <c r="E3" s="22" t="s">
        <v>39</v>
      </c>
      <c r="F3" s="22"/>
      <c r="G3" s="2" t="s">
        <v>40</v>
      </c>
      <c r="H3" s="22" t="s">
        <v>24</v>
      </c>
      <c r="I3" s="22"/>
      <c r="J3" s="22"/>
    </row>
    <row r="5" spans="2:11" x14ac:dyDescent="0.25">
      <c r="B5"/>
      <c r="D5" s="22" t="s">
        <v>0</v>
      </c>
      <c r="E5" s="18" t="s">
        <v>2</v>
      </c>
      <c r="F5" s="19"/>
      <c r="G5" s="19"/>
      <c r="H5" s="19"/>
      <c r="I5" s="19"/>
      <c r="J5" s="20"/>
    </row>
    <row r="6" spans="2:11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2:11" x14ac:dyDescent="0.25">
      <c r="D7" s="6" t="s">
        <v>1</v>
      </c>
      <c r="E7" s="6">
        <v>90</v>
      </c>
      <c r="F7" s="6">
        <v>120</v>
      </c>
      <c r="G7" s="6">
        <v>4</v>
      </c>
      <c r="H7" s="7">
        <v>1.7999999999999999E-2</v>
      </c>
      <c r="I7" s="6"/>
      <c r="J7" s="5">
        <f>(E7*F7*G7*H7)-I7</f>
        <v>777.59999999999991</v>
      </c>
    </row>
    <row r="8" spans="2:11" x14ac:dyDescent="0.25">
      <c r="D8" s="6" t="s">
        <v>8</v>
      </c>
      <c r="E8" s="6">
        <v>95</v>
      </c>
      <c r="F8" s="6">
        <v>95</v>
      </c>
      <c r="G8" s="6">
        <v>1</v>
      </c>
      <c r="H8" s="7">
        <v>1.7999999999999999E-2</v>
      </c>
      <c r="I8" s="5"/>
      <c r="J8" s="5">
        <f>((E8*F8)-I8)*G8*H8</f>
        <v>162.44999999999999</v>
      </c>
    </row>
    <row r="9" spans="2:11" x14ac:dyDescent="0.25">
      <c r="D9" s="6" t="s">
        <v>14</v>
      </c>
      <c r="E9" s="6">
        <v>5</v>
      </c>
      <c r="F9" s="9">
        <f>F7*1+F7*1+H2*2</f>
        <v>290</v>
      </c>
      <c r="G9" s="6">
        <v>4</v>
      </c>
      <c r="H9" s="6">
        <v>0.35</v>
      </c>
      <c r="I9" s="6"/>
      <c r="J9" s="5">
        <f>F9*G9*H9</f>
        <v>406</v>
      </c>
    </row>
    <row r="10" spans="2:11" x14ac:dyDescent="0.25">
      <c r="D10" s="6" t="s">
        <v>9</v>
      </c>
      <c r="E10" s="6"/>
      <c r="F10" s="6"/>
      <c r="G10" s="6"/>
      <c r="H10" s="6"/>
      <c r="I10" s="6"/>
      <c r="J10" s="5">
        <v>5</v>
      </c>
    </row>
    <row r="11" spans="2:11" x14ac:dyDescent="0.25">
      <c r="D11" s="6" t="s">
        <v>10</v>
      </c>
      <c r="E11" s="6"/>
      <c r="F11" s="8">
        <f>E2*8+E12</f>
        <v>808</v>
      </c>
      <c r="G11" s="6"/>
      <c r="H11" s="6">
        <v>7.6999999999999999E-2</v>
      </c>
      <c r="I11" s="6"/>
      <c r="J11" s="5">
        <f>H11*F11</f>
        <v>62.216000000000001</v>
      </c>
    </row>
    <row r="12" spans="2:11" x14ac:dyDescent="0.25">
      <c r="D12" s="6" t="s">
        <v>11</v>
      </c>
      <c r="E12" s="6">
        <v>88</v>
      </c>
      <c r="F12" s="6">
        <f>E7*4+5</f>
        <v>365</v>
      </c>
      <c r="G12" s="6">
        <v>1</v>
      </c>
      <c r="H12" s="6">
        <v>9.4999999999999998E-3</v>
      </c>
      <c r="I12" s="6"/>
      <c r="J12" s="5">
        <f>(E12*F12*G12*H12)-I12</f>
        <v>305.14</v>
      </c>
    </row>
    <row r="13" spans="2:11" x14ac:dyDescent="0.25">
      <c r="D13" s="6" t="s">
        <v>13</v>
      </c>
      <c r="E13" s="6">
        <v>2</v>
      </c>
      <c r="F13" s="6">
        <v>130</v>
      </c>
      <c r="G13" s="6">
        <v>1</v>
      </c>
      <c r="H13" s="6">
        <v>0.05</v>
      </c>
      <c r="I13" s="6"/>
      <c r="J13" s="5">
        <f>F13*G13*H13</f>
        <v>6.5</v>
      </c>
    </row>
    <row r="14" spans="2:11" x14ac:dyDescent="0.25">
      <c r="D14" s="18" t="s">
        <v>12</v>
      </c>
      <c r="E14" s="19"/>
      <c r="F14" s="19"/>
      <c r="G14" s="19"/>
      <c r="H14" s="19"/>
      <c r="I14" s="20"/>
      <c r="J14" s="5">
        <f>SUM(J7:J13)</f>
        <v>1724.9059999999999</v>
      </c>
    </row>
  </sheetData>
  <mergeCells count="6">
    <mergeCell ref="D14:I14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7BF1-60DD-4367-908A-7D49BFFE5F57}">
  <dimension ref="B1:K14"/>
  <sheetViews>
    <sheetView workbookViewId="0">
      <selection activeCell="E17" sqref="E17"/>
    </sheetView>
  </sheetViews>
  <sheetFormatPr defaultRowHeight="15" x14ac:dyDescent="0.2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1" ht="30" x14ac:dyDescent="0.25">
      <c r="D1" s="21" t="s">
        <v>37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2:11" x14ac:dyDescent="0.25">
      <c r="D2" s="21"/>
      <c r="E2" s="6">
        <v>90</v>
      </c>
      <c r="F2" s="6">
        <v>120</v>
      </c>
      <c r="G2" s="6">
        <v>90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2:11" x14ac:dyDescent="0.25">
      <c r="D3" s="6" t="s">
        <v>22</v>
      </c>
      <c r="E3" s="22" t="s">
        <v>23</v>
      </c>
      <c r="F3" s="22"/>
      <c r="G3" s="2"/>
      <c r="H3" s="22" t="s">
        <v>24</v>
      </c>
      <c r="I3" s="22"/>
      <c r="J3" s="22"/>
    </row>
    <row r="5" spans="2:11" x14ac:dyDescent="0.25">
      <c r="B5"/>
      <c r="D5" s="22" t="s">
        <v>0</v>
      </c>
      <c r="E5" s="18" t="s">
        <v>2</v>
      </c>
      <c r="F5" s="19"/>
      <c r="G5" s="19"/>
      <c r="H5" s="19"/>
      <c r="I5" s="19"/>
      <c r="J5" s="20"/>
    </row>
    <row r="6" spans="2:11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2:11" x14ac:dyDescent="0.25">
      <c r="D7" s="6" t="s">
        <v>1</v>
      </c>
      <c r="E7" s="6">
        <v>90</v>
      </c>
      <c r="F7" s="6">
        <f>E7+F2*2</f>
        <v>330</v>
      </c>
      <c r="G7" s="6">
        <v>2</v>
      </c>
      <c r="H7" s="6">
        <v>1.4E-2</v>
      </c>
      <c r="I7" s="6"/>
      <c r="J7" s="5">
        <f>(E7*F7*G7*H7)-I7</f>
        <v>831.6</v>
      </c>
    </row>
    <row r="8" spans="2:11" x14ac:dyDescent="0.25">
      <c r="D8" s="6" t="s">
        <v>29</v>
      </c>
      <c r="E8" s="6">
        <v>90</v>
      </c>
      <c r="F8" s="6">
        <v>120</v>
      </c>
      <c r="G8" s="6">
        <v>4</v>
      </c>
      <c r="H8" s="6">
        <v>1.6E-2</v>
      </c>
      <c r="I8" s="5"/>
      <c r="J8" s="5">
        <f>((E8*F8)-I8)*G8*H8</f>
        <v>691.2</v>
      </c>
    </row>
    <row r="9" spans="2:11" x14ac:dyDescent="0.25">
      <c r="D9" s="6" t="s">
        <v>14</v>
      </c>
      <c r="E9" s="6">
        <v>5</v>
      </c>
      <c r="F9" s="6">
        <f>F2*0.33+F2*0.67+H2*2</f>
        <v>170</v>
      </c>
      <c r="G9" s="6">
        <v>4</v>
      </c>
      <c r="H9" s="6">
        <v>0.35</v>
      </c>
      <c r="I9" s="6"/>
      <c r="J9" s="5">
        <f>F9*G9*H9</f>
        <v>237.99999999999997</v>
      </c>
    </row>
    <row r="10" spans="2:11" x14ac:dyDescent="0.25">
      <c r="D10" s="6" t="s">
        <v>9</v>
      </c>
      <c r="E10" s="6"/>
      <c r="F10" s="6"/>
      <c r="G10" s="6"/>
      <c r="H10" s="6"/>
      <c r="I10" s="6"/>
      <c r="J10" s="5">
        <v>5</v>
      </c>
    </row>
    <row r="11" spans="2:11" x14ac:dyDescent="0.25">
      <c r="D11" s="6" t="s">
        <v>10</v>
      </c>
      <c r="E11" s="6"/>
      <c r="F11" s="8">
        <f>F7*2+E12</f>
        <v>748</v>
      </c>
      <c r="G11" s="6"/>
      <c r="H11" s="6">
        <v>7.6999999999999999E-2</v>
      </c>
      <c r="I11" s="6"/>
      <c r="J11" s="5">
        <f>H11*F11</f>
        <v>57.595999999999997</v>
      </c>
    </row>
    <row r="12" spans="2:11" x14ac:dyDescent="0.25">
      <c r="D12" s="6" t="s">
        <v>11</v>
      </c>
      <c r="E12" s="6">
        <v>88</v>
      </c>
      <c r="F12" s="6">
        <f>E7*4+5</f>
        <v>365</v>
      </c>
      <c r="G12" s="6">
        <v>1</v>
      </c>
      <c r="H12" s="6">
        <v>9.4999999999999998E-3</v>
      </c>
      <c r="I12" s="6"/>
      <c r="J12" s="5">
        <f>(E12*F12*G12*H12)-I12</f>
        <v>305.14</v>
      </c>
    </row>
    <row r="13" spans="2:11" x14ac:dyDescent="0.25">
      <c r="D13" s="6" t="s">
        <v>13</v>
      </c>
      <c r="E13" s="6">
        <v>2</v>
      </c>
      <c r="F13" s="6">
        <v>130</v>
      </c>
      <c r="G13" s="6">
        <v>1</v>
      </c>
      <c r="H13" s="6">
        <v>0.05</v>
      </c>
      <c r="I13" s="6"/>
      <c r="J13" s="5">
        <f>F13*G13*H13</f>
        <v>6.5</v>
      </c>
    </row>
    <row r="14" spans="2:11" x14ac:dyDescent="0.25">
      <c r="D14" s="18" t="s">
        <v>12</v>
      </c>
      <c r="E14" s="19"/>
      <c r="F14" s="19"/>
      <c r="G14" s="19"/>
      <c r="H14" s="19"/>
      <c r="I14" s="20"/>
      <c r="J14" s="5">
        <f>SUM(J7:J13)</f>
        <v>2135.0360000000001</v>
      </c>
    </row>
  </sheetData>
  <mergeCells count="6">
    <mergeCell ref="D14:I14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8E98-6D3C-411F-AD28-3C553252CFD4}">
  <dimension ref="B1:K14"/>
  <sheetViews>
    <sheetView workbookViewId="0">
      <selection activeCell="F9" sqref="F9"/>
    </sheetView>
  </sheetViews>
  <sheetFormatPr defaultRowHeight="15" x14ac:dyDescent="0.2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1" ht="30" x14ac:dyDescent="0.25">
      <c r="D1" s="21" t="s">
        <v>35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2:11" x14ac:dyDescent="0.25">
      <c r="D2" s="21"/>
      <c r="E2" s="6">
        <v>80</v>
      </c>
      <c r="F2" s="6">
        <v>120</v>
      </c>
      <c r="G2" s="6">
        <v>80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2:11" ht="30" x14ac:dyDescent="0.25">
      <c r="D3" s="6" t="s">
        <v>22</v>
      </c>
      <c r="E3" s="22" t="s">
        <v>44</v>
      </c>
      <c r="F3" s="22"/>
      <c r="G3" s="2" t="s">
        <v>43</v>
      </c>
      <c r="H3" s="22" t="s">
        <v>24</v>
      </c>
      <c r="I3" s="22"/>
      <c r="J3" s="22"/>
    </row>
    <row r="5" spans="2:11" x14ac:dyDescent="0.25">
      <c r="B5"/>
      <c r="D5" s="22" t="s">
        <v>0</v>
      </c>
      <c r="E5" s="18" t="s">
        <v>2</v>
      </c>
      <c r="F5" s="19"/>
      <c r="G5" s="19"/>
      <c r="H5" s="19"/>
      <c r="I5" s="19"/>
      <c r="J5" s="20"/>
    </row>
    <row r="6" spans="2:11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2:11" x14ac:dyDescent="0.25">
      <c r="D7" s="6" t="s">
        <v>1</v>
      </c>
      <c r="E7" s="6">
        <v>80</v>
      </c>
      <c r="F7" s="6">
        <v>120</v>
      </c>
      <c r="G7" s="6">
        <v>4</v>
      </c>
      <c r="H7" s="7">
        <v>1.7999999999999999E-2</v>
      </c>
      <c r="I7" s="6"/>
      <c r="J7" s="5">
        <f>(E7*F7*G7*H7)-I7</f>
        <v>691.19999999999993</v>
      </c>
    </row>
    <row r="8" spans="2:11" x14ac:dyDescent="0.25">
      <c r="D8" s="6" t="s">
        <v>8</v>
      </c>
      <c r="E8" s="6">
        <v>85</v>
      </c>
      <c r="F8" s="6">
        <v>85</v>
      </c>
      <c r="G8" s="6">
        <v>1</v>
      </c>
      <c r="H8" s="7">
        <v>1.7999999999999999E-2</v>
      </c>
      <c r="I8" s="5"/>
      <c r="J8" s="5">
        <f>((E8*F8)-I8)*G8*H8</f>
        <v>130.04999999999998</v>
      </c>
    </row>
    <row r="9" spans="2:11" x14ac:dyDescent="0.25">
      <c r="D9" s="6" t="s">
        <v>14</v>
      </c>
      <c r="E9" s="6">
        <v>5</v>
      </c>
      <c r="F9" s="9">
        <f>F7*1+F7*1+H2*2</f>
        <v>290</v>
      </c>
      <c r="G9" s="6">
        <v>4</v>
      </c>
      <c r="H9" s="6">
        <v>0.35</v>
      </c>
      <c r="I9" s="6"/>
      <c r="J9" s="5">
        <f>F9*G9*H9</f>
        <v>406</v>
      </c>
    </row>
    <row r="10" spans="2:11" x14ac:dyDescent="0.25">
      <c r="D10" s="6" t="s">
        <v>9</v>
      </c>
      <c r="E10" s="6"/>
      <c r="F10" s="6"/>
      <c r="G10" s="6"/>
      <c r="H10" s="6"/>
      <c r="I10" s="6"/>
      <c r="J10" s="5">
        <v>5</v>
      </c>
    </row>
    <row r="11" spans="2:11" x14ac:dyDescent="0.25">
      <c r="D11" s="6" t="s">
        <v>10</v>
      </c>
      <c r="E11" s="6"/>
      <c r="F11" s="8">
        <f>E2*8+E12</f>
        <v>718</v>
      </c>
      <c r="G11" s="6"/>
      <c r="H11" s="6">
        <v>7.6999999999999999E-2</v>
      </c>
      <c r="I11" s="6"/>
      <c r="J11" s="5">
        <f>H11*F11</f>
        <v>55.286000000000001</v>
      </c>
    </row>
    <row r="12" spans="2:11" x14ac:dyDescent="0.25">
      <c r="D12" s="6" t="s">
        <v>11</v>
      </c>
      <c r="E12" s="6">
        <v>78</v>
      </c>
      <c r="F12" s="6">
        <f>E7*4+5</f>
        <v>325</v>
      </c>
      <c r="G12" s="6">
        <v>1</v>
      </c>
      <c r="H12" s="6">
        <v>9.4999999999999998E-3</v>
      </c>
      <c r="I12" s="6"/>
      <c r="J12" s="5">
        <f>(E12*F12*G12*H12)-I12</f>
        <v>240.82499999999999</v>
      </c>
    </row>
    <row r="13" spans="2:11" x14ac:dyDescent="0.25">
      <c r="D13" s="6" t="s">
        <v>13</v>
      </c>
      <c r="E13" s="6">
        <v>2</v>
      </c>
      <c r="F13" s="6">
        <v>130</v>
      </c>
      <c r="G13" s="6">
        <v>1</v>
      </c>
      <c r="H13" s="6">
        <v>0.05</v>
      </c>
      <c r="I13" s="6"/>
      <c r="J13" s="5">
        <f>F13*G13*H13</f>
        <v>6.5</v>
      </c>
    </row>
    <row r="14" spans="2:11" x14ac:dyDescent="0.25">
      <c r="D14" s="18" t="s">
        <v>12</v>
      </c>
      <c r="E14" s="19"/>
      <c r="F14" s="19"/>
      <c r="G14" s="19"/>
      <c r="H14" s="19"/>
      <c r="I14" s="20"/>
      <c r="J14" s="5">
        <f>SUM(J7:J13)</f>
        <v>1534.8610000000001</v>
      </c>
    </row>
  </sheetData>
  <mergeCells count="6">
    <mergeCell ref="D14:I14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408F2-57A2-4CCF-BDC3-42CFDE305973}">
  <dimension ref="B1:K14"/>
  <sheetViews>
    <sheetView workbookViewId="0">
      <selection activeCell="E17" sqref="E17"/>
    </sheetView>
  </sheetViews>
  <sheetFormatPr defaultRowHeight="15" x14ac:dyDescent="0.2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1" ht="30" x14ac:dyDescent="0.25">
      <c r="D1" s="21" t="s">
        <v>36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2:11" x14ac:dyDescent="0.25">
      <c r="D2" s="21"/>
      <c r="E2" s="6">
        <v>80</v>
      </c>
      <c r="F2" s="6">
        <v>120</v>
      </c>
      <c r="G2" s="6">
        <v>80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2:11" x14ac:dyDescent="0.25">
      <c r="D3" s="6" t="s">
        <v>22</v>
      </c>
      <c r="E3" s="22" t="s">
        <v>38</v>
      </c>
      <c r="F3" s="22"/>
      <c r="G3" s="2"/>
      <c r="H3" s="22" t="s">
        <v>24</v>
      </c>
      <c r="I3" s="22"/>
      <c r="J3" s="22"/>
    </row>
    <row r="5" spans="2:11" x14ac:dyDescent="0.25">
      <c r="B5"/>
      <c r="D5" s="22" t="s">
        <v>0</v>
      </c>
      <c r="E5" s="18" t="s">
        <v>2</v>
      </c>
      <c r="F5" s="19"/>
      <c r="G5" s="19"/>
      <c r="H5" s="19"/>
      <c r="I5" s="19"/>
      <c r="J5" s="20"/>
    </row>
    <row r="6" spans="2:11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2:11" x14ac:dyDescent="0.25">
      <c r="D7" s="6" t="s">
        <v>1</v>
      </c>
      <c r="E7" s="6">
        <v>80</v>
      </c>
      <c r="F7" s="6">
        <f>E7+F2*2</f>
        <v>320</v>
      </c>
      <c r="G7" s="6">
        <v>2</v>
      </c>
      <c r="H7" s="6">
        <v>1.4E-2</v>
      </c>
      <c r="I7" s="6"/>
      <c r="J7" s="5">
        <f>(E7*F7*G7*H7)-I7</f>
        <v>716.80000000000007</v>
      </c>
    </row>
    <row r="8" spans="2:11" x14ac:dyDescent="0.25">
      <c r="D8" s="6" t="s">
        <v>29</v>
      </c>
      <c r="E8" s="6">
        <v>80</v>
      </c>
      <c r="F8" s="6">
        <v>120</v>
      </c>
      <c r="G8" s="6">
        <v>4</v>
      </c>
      <c r="H8" s="6">
        <v>1.6E-2</v>
      </c>
      <c r="I8" s="5"/>
      <c r="J8" s="5">
        <f>((E8*F8)-I8)*G8*H8</f>
        <v>614.4</v>
      </c>
    </row>
    <row r="9" spans="2:11" x14ac:dyDescent="0.25">
      <c r="D9" s="6" t="s">
        <v>14</v>
      </c>
      <c r="E9" s="6">
        <v>5</v>
      </c>
      <c r="F9" s="6">
        <f>F2*0.33+F2*0.67+H2*2</f>
        <v>170</v>
      </c>
      <c r="G9" s="6">
        <v>4</v>
      </c>
      <c r="H9" s="6">
        <v>0.35</v>
      </c>
      <c r="I9" s="6"/>
      <c r="J9" s="5">
        <f>F9*G9*H9</f>
        <v>237.99999999999997</v>
      </c>
    </row>
    <row r="10" spans="2:11" x14ac:dyDescent="0.25">
      <c r="D10" s="6" t="s">
        <v>9</v>
      </c>
      <c r="E10" s="6"/>
      <c r="F10" s="6"/>
      <c r="G10" s="6"/>
      <c r="H10" s="6"/>
      <c r="I10" s="6"/>
      <c r="J10" s="5">
        <v>5</v>
      </c>
    </row>
    <row r="11" spans="2:11" x14ac:dyDescent="0.25">
      <c r="D11" s="6" t="s">
        <v>10</v>
      </c>
      <c r="E11" s="6"/>
      <c r="F11" s="8">
        <f>F7*2+E12</f>
        <v>718</v>
      </c>
      <c r="G11" s="6"/>
      <c r="H11" s="6">
        <v>7.6999999999999999E-2</v>
      </c>
      <c r="I11" s="6"/>
      <c r="J11" s="5">
        <f>H11*F11</f>
        <v>55.286000000000001</v>
      </c>
    </row>
    <row r="12" spans="2:11" x14ac:dyDescent="0.25">
      <c r="D12" s="6" t="s">
        <v>11</v>
      </c>
      <c r="E12" s="6">
        <v>78</v>
      </c>
      <c r="F12" s="6">
        <f>E7*4+5</f>
        <v>325</v>
      </c>
      <c r="G12" s="6">
        <v>1</v>
      </c>
      <c r="H12" s="6">
        <v>9.4999999999999998E-3</v>
      </c>
      <c r="I12" s="6"/>
      <c r="J12" s="5">
        <f>(E12*F12*G12*H12)-I12</f>
        <v>240.82499999999999</v>
      </c>
    </row>
    <row r="13" spans="2:11" x14ac:dyDescent="0.25">
      <c r="D13" s="6" t="s">
        <v>13</v>
      </c>
      <c r="E13" s="6">
        <v>2</v>
      </c>
      <c r="F13" s="6">
        <v>130</v>
      </c>
      <c r="G13" s="6">
        <v>1</v>
      </c>
      <c r="H13" s="6">
        <v>0.05</v>
      </c>
      <c r="I13" s="6"/>
      <c r="J13" s="5">
        <f>F13*G13*H13</f>
        <v>6.5</v>
      </c>
    </row>
    <row r="14" spans="2:11" x14ac:dyDescent="0.25">
      <c r="D14" s="18" t="s">
        <v>12</v>
      </c>
      <c r="E14" s="19"/>
      <c r="F14" s="19"/>
      <c r="G14" s="19"/>
      <c r="H14" s="19"/>
      <c r="I14" s="20"/>
      <c r="J14" s="5">
        <f>SUM(J7:J13)</f>
        <v>1876.8110000000001</v>
      </c>
    </row>
  </sheetData>
  <mergeCells count="6">
    <mergeCell ref="D14:I14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07AE-0D0D-4D5D-AD64-7ECA987A94CE}">
  <sheetPr>
    <tabColor theme="0" tint="-0.34998626667073579"/>
  </sheetPr>
  <dimension ref="B1:J21"/>
  <sheetViews>
    <sheetView workbookViewId="0">
      <selection activeCell="E4" sqref="E4"/>
    </sheetView>
  </sheetViews>
  <sheetFormatPr defaultRowHeight="15" x14ac:dyDescent="0.25"/>
  <cols>
    <col min="1" max="2" width="9.140625" style="1"/>
    <col min="3" max="3" width="20" style="1" customWidth="1"/>
    <col min="4" max="4" width="29.85546875" style="1" customWidth="1"/>
    <col min="5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 x14ac:dyDescent="0.25">
      <c r="D1" s="21" t="s">
        <v>62</v>
      </c>
      <c r="E1" s="6" t="s">
        <v>4</v>
      </c>
      <c r="F1" s="6" t="s">
        <v>15</v>
      </c>
      <c r="G1" s="6" t="s">
        <v>16</v>
      </c>
      <c r="H1" s="6" t="s">
        <v>17</v>
      </c>
      <c r="I1" s="2"/>
      <c r="J1" s="6"/>
    </row>
    <row r="2" spans="2:10" x14ac:dyDescent="0.25">
      <c r="D2" s="21"/>
      <c r="E2" s="6">
        <v>90</v>
      </c>
      <c r="F2" s="6">
        <v>125</v>
      </c>
      <c r="G2" s="6">
        <v>90</v>
      </c>
      <c r="H2" s="6">
        <v>35</v>
      </c>
      <c r="I2" s="6"/>
      <c r="J2" s="6"/>
    </row>
    <row r="3" spans="2:10" x14ac:dyDescent="0.25">
      <c r="D3" s="6" t="s">
        <v>22</v>
      </c>
      <c r="E3" s="22" t="s">
        <v>59</v>
      </c>
      <c r="F3" s="22"/>
      <c r="G3" s="2"/>
      <c r="H3" s="22" t="s">
        <v>47</v>
      </c>
      <c r="I3" s="22"/>
      <c r="J3" s="22"/>
    </row>
    <row r="5" spans="2:10" x14ac:dyDescent="0.25">
      <c r="B5"/>
      <c r="D5" s="22" t="s">
        <v>0</v>
      </c>
      <c r="E5" s="18" t="s">
        <v>2</v>
      </c>
      <c r="F5" s="19"/>
      <c r="G5" s="19"/>
      <c r="H5" s="19"/>
      <c r="I5" s="19"/>
      <c r="J5" s="20"/>
    </row>
    <row r="6" spans="2:10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2:10" x14ac:dyDescent="0.25">
      <c r="D7" s="6" t="s">
        <v>1</v>
      </c>
      <c r="E7" s="6">
        <v>90</v>
      </c>
      <c r="F7" s="6">
        <f>90+125+125</f>
        <v>340</v>
      </c>
      <c r="G7" s="6">
        <v>1</v>
      </c>
      <c r="H7" s="7">
        <v>1.7999999999999999E-2</v>
      </c>
      <c r="I7" s="6"/>
      <c r="J7" s="5">
        <f>(E7*F7*G7*H7)-I7</f>
        <v>550.79999999999995</v>
      </c>
    </row>
    <row r="8" spans="2:10" x14ac:dyDescent="0.25">
      <c r="D8" s="14" t="s">
        <v>1</v>
      </c>
      <c r="E8" s="14">
        <v>90</v>
      </c>
      <c r="F8" s="14">
        <f>90+125+125</f>
        <v>340</v>
      </c>
      <c r="G8" s="14">
        <v>1</v>
      </c>
      <c r="H8" s="14">
        <v>2.0299999999999999E-2</v>
      </c>
      <c r="I8" s="14"/>
      <c r="J8" s="5">
        <f t="shared" ref="J8:J10" si="0">(E8*F8*G8*H8)-I8</f>
        <v>621.17999999999995</v>
      </c>
    </row>
    <row r="9" spans="2:10" x14ac:dyDescent="0.25">
      <c r="D9" s="6" t="s">
        <v>29</v>
      </c>
      <c r="E9" s="6">
        <v>90</v>
      </c>
      <c r="F9" s="6">
        <v>125</v>
      </c>
      <c r="G9" s="6">
        <v>2</v>
      </c>
      <c r="H9" s="14">
        <v>1.7999999999999999E-2</v>
      </c>
      <c r="I9" s="5"/>
      <c r="J9" s="5">
        <f t="shared" si="0"/>
        <v>404.99999999999994</v>
      </c>
    </row>
    <row r="10" spans="2:10" x14ac:dyDescent="0.25">
      <c r="D10" s="14" t="s">
        <v>29</v>
      </c>
      <c r="E10" s="14">
        <v>90</v>
      </c>
      <c r="F10" s="14">
        <v>125</v>
      </c>
      <c r="G10" s="14">
        <v>2</v>
      </c>
      <c r="H10" s="14">
        <v>2.0299999999999999E-2</v>
      </c>
      <c r="I10" s="5"/>
      <c r="J10" s="5">
        <f t="shared" si="0"/>
        <v>456.74999999999994</v>
      </c>
    </row>
    <row r="11" spans="2:10" x14ac:dyDescent="0.25">
      <c r="D11" s="6" t="s">
        <v>61</v>
      </c>
      <c r="E11" s="6">
        <v>5</v>
      </c>
      <c r="F11" s="5">
        <f>125/3*2*2+70</f>
        <v>236.66666666666666</v>
      </c>
      <c r="G11" s="6">
        <v>4</v>
      </c>
      <c r="H11"/>
      <c r="I11" s="6"/>
      <c r="J11" s="5">
        <f>F11*G11*H11</f>
        <v>0</v>
      </c>
    </row>
    <row r="12" spans="2:10" x14ac:dyDescent="0.25">
      <c r="D12" s="6" t="s">
        <v>9</v>
      </c>
      <c r="E12" s="6"/>
      <c r="F12" s="6"/>
      <c r="G12" s="6"/>
      <c r="H12" s="6"/>
      <c r="I12" s="6"/>
      <c r="J12" s="5">
        <v>5</v>
      </c>
    </row>
    <row r="13" spans="2:10" x14ac:dyDescent="0.25">
      <c r="D13" s="6" t="s">
        <v>10</v>
      </c>
      <c r="E13" s="6"/>
      <c r="F13" s="8">
        <f>E2*4+E14+F7*2</f>
        <v>1090</v>
      </c>
      <c r="G13" s="6"/>
      <c r="H13" s="6">
        <v>7.6999999999999999E-2</v>
      </c>
      <c r="I13" s="6"/>
      <c r="J13" s="5">
        <f>H13*F13</f>
        <v>83.929999999999993</v>
      </c>
    </row>
    <row r="14" spans="2:10" x14ac:dyDescent="0.25">
      <c r="D14" s="6" t="s">
        <v>63</v>
      </c>
      <c r="E14" s="6">
        <v>50</v>
      </c>
      <c r="F14" s="6">
        <v>130</v>
      </c>
      <c r="G14" s="6">
        <v>1</v>
      </c>
      <c r="H14" s="6">
        <v>9.4999999999999998E-3</v>
      </c>
      <c r="I14" s="6"/>
      <c r="J14" s="5">
        <f>(E14*F14*G14*H14)-I14</f>
        <v>61.75</v>
      </c>
    </row>
    <row r="15" spans="2:10" x14ac:dyDescent="0.25">
      <c r="D15" s="14" t="s">
        <v>25</v>
      </c>
      <c r="E15" s="14">
        <v>95</v>
      </c>
      <c r="F15" s="14">
        <v>95</v>
      </c>
      <c r="G15" s="14">
        <v>1</v>
      </c>
      <c r="H15" s="14">
        <v>9.4999999999999998E-3</v>
      </c>
      <c r="I15" s="14"/>
      <c r="J15" s="5">
        <f>(E15*F15*G15*H15)-I15</f>
        <v>85.737499999999997</v>
      </c>
    </row>
    <row r="16" spans="2:10" x14ac:dyDescent="0.25">
      <c r="D16" s="6" t="s">
        <v>13</v>
      </c>
      <c r="E16" s="6">
        <v>1</v>
      </c>
      <c r="F16" s="6">
        <v>130</v>
      </c>
      <c r="G16" s="6">
        <v>1</v>
      </c>
      <c r="H16" s="6">
        <v>0.05</v>
      </c>
      <c r="I16" s="6"/>
      <c r="J16" s="5">
        <f>F16*G16*H16</f>
        <v>6.5</v>
      </c>
    </row>
    <row r="17" spans="2:10" x14ac:dyDescent="0.25">
      <c r="D17" s="18" t="s">
        <v>12</v>
      </c>
      <c r="E17" s="19"/>
      <c r="F17" s="19"/>
      <c r="G17" s="19"/>
      <c r="H17" s="19"/>
      <c r="I17" s="20"/>
      <c r="J17" s="5">
        <f>SUM(J7:J16)</f>
        <v>2276.6475</v>
      </c>
    </row>
    <row r="19" spans="2:10" x14ac:dyDescent="0.25">
      <c r="F19" s="1">
        <f>40*3.14</f>
        <v>125.60000000000001</v>
      </c>
    </row>
    <row r="20" spans="2:10" x14ac:dyDescent="0.25">
      <c r="B20" s="1" t="s">
        <v>45</v>
      </c>
    </row>
    <row r="21" spans="2:10" x14ac:dyDescent="0.25">
      <c r="B21" s="1" t="s">
        <v>45</v>
      </c>
    </row>
  </sheetData>
  <mergeCells count="6">
    <mergeCell ref="D17:I17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9D73-A3E6-46F1-B6A8-F02DA30EB7E7}">
  <sheetPr>
    <tabColor theme="0" tint="-0.34998626667073579"/>
  </sheetPr>
  <dimension ref="B1:J18"/>
  <sheetViews>
    <sheetView workbookViewId="0">
      <selection activeCell="D19" sqref="D19"/>
    </sheetView>
  </sheetViews>
  <sheetFormatPr defaultRowHeight="15" x14ac:dyDescent="0.25"/>
  <cols>
    <col min="1" max="2" width="9.140625" style="1"/>
    <col min="3" max="3" width="20" style="1" customWidth="1"/>
    <col min="4" max="4" width="26.85546875" style="1" customWidth="1"/>
    <col min="5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 x14ac:dyDescent="0.25">
      <c r="D1" s="21" t="s">
        <v>37</v>
      </c>
      <c r="E1" s="10" t="s">
        <v>4</v>
      </c>
      <c r="F1" s="10" t="s">
        <v>15</v>
      </c>
      <c r="G1" s="10" t="s">
        <v>16</v>
      </c>
      <c r="H1" s="10" t="s">
        <v>17</v>
      </c>
      <c r="I1" s="2"/>
      <c r="J1" s="10"/>
    </row>
    <row r="2" spans="2:10" x14ac:dyDescent="0.25">
      <c r="D2" s="21"/>
      <c r="E2" s="10">
        <v>90</v>
      </c>
      <c r="F2" s="10">
        <v>65</v>
      </c>
      <c r="G2" s="10">
        <v>90</v>
      </c>
      <c r="H2" s="10">
        <v>20</v>
      </c>
      <c r="I2" s="10"/>
      <c r="J2" s="10"/>
    </row>
    <row r="3" spans="2:10" x14ac:dyDescent="0.25">
      <c r="D3" s="10" t="s">
        <v>22</v>
      </c>
      <c r="E3" s="22" t="s">
        <v>67</v>
      </c>
      <c r="F3" s="22"/>
      <c r="G3" s="2"/>
      <c r="H3" s="22" t="s">
        <v>66</v>
      </c>
      <c r="I3" s="22"/>
      <c r="J3" s="22"/>
    </row>
    <row r="5" spans="2:10" x14ac:dyDescent="0.25">
      <c r="B5"/>
      <c r="D5" s="22" t="s">
        <v>0</v>
      </c>
      <c r="E5" s="18" t="s">
        <v>2</v>
      </c>
      <c r="F5" s="19"/>
      <c r="G5" s="19"/>
      <c r="H5" s="19"/>
      <c r="I5" s="19"/>
      <c r="J5" s="20"/>
    </row>
    <row r="6" spans="2:10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10" t="s">
        <v>7</v>
      </c>
    </row>
    <row r="7" spans="2:10" x14ac:dyDescent="0.25">
      <c r="D7" s="10" t="s">
        <v>1</v>
      </c>
      <c r="E7" s="10">
        <v>90</v>
      </c>
      <c r="F7" s="10">
        <f>90+65+90</f>
        <v>245</v>
      </c>
      <c r="G7" s="10">
        <v>2</v>
      </c>
      <c r="H7" s="10">
        <v>1.4999999999999999E-2</v>
      </c>
      <c r="I7" s="10"/>
      <c r="J7" s="5">
        <f>(E7*F7*G7*H7)-I7</f>
        <v>661.5</v>
      </c>
    </row>
    <row r="8" spans="2:10" x14ac:dyDescent="0.25">
      <c r="D8" s="10" t="s">
        <v>8</v>
      </c>
      <c r="E8" s="10">
        <v>90</v>
      </c>
      <c r="F8" s="10">
        <v>65</v>
      </c>
      <c r="G8" s="10">
        <v>4</v>
      </c>
      <c r="H8" s="10">
        <v>1.4999999999999999E-2</v>
      </c>
      <c r="I8" s="5"/>
      <c r="J8" s="5">
        <f>((E8*F8)-I8)*G8*H8</f>
        <v>351</v>
      </c>
    </row>
    <row r="9" spans="2:10" x14ac:dyDescent="0.25">
      <c r="D9" s="10" t="s">
        <v>65</v>
      </c>
      <c r="E9" s="10">
        <v>5</v>
      </c>
      <c r="F9" s="5">
        <f>(F8/3*2+F8/3*2+H2*2)</f>
        <v>126.66666666666667</v>
      </c>
      <c r="G9" s="10">
        <v>4</v>
      </c>
      <c r="H9" s="10">
        <v>0.35</v>
      </c>
      <c r="I9" s="10"/>
      <c r="J9" s="5">
        <f>F9*G9*H9</f>
        <v>177.33333333333334</v>
      </c>
    </row>
    <row r="10" spans="2:10" x14ac:dyDescent="0.25">
      <c r="D10" s="12" t="s">
        <v>60</v>
      </c>
      <c r="E10" s="12">
        <v>5</v>
      </c>
      <c r="F10" s="12">
        <f>180</f>
        <v>180</v>
      </c>
      <c r="G10" s="12">
        <v>2</v>
      </c>
      <c r="H10" s="13">
        <v>0.35</v>
      </c>
      <c r="I10" s="12"/>
      <c r="J10" s="5">
        <f>F10*G10*H10</f>
        <v>125.99999999999999</v>
      </c>
    </row>
    <row r="11" spans="2:10" x14ac:dyDescent="0.25">
      <c r="D11" s="10" t="s">
        <v>9</v>
      </c>
      <c r="E11" s="10"/>
      <c r="F11" s="10"/>
      <c r="G11" s="10"/>
      <c r="H11" s="10"/>
      <c r="I11" s="10"/>
      <c r="J11" s="5">
        <v>5</v>
      </c>
    </row>
    <row r="12" spans="2:10" x14ac:dyDescent="0.25">
      <c r="D12" s="10" t="s">
        <v>10</v>
      </c>
      <c r="E12" s="10"/>
      <c r="F12" s="8">
        <f>E2*4+E13+F7*2</f>
        <v>938</v>
      </c>
      <c r="G12" s="10"/>
      <c r="H12" s="10">
        <v>7.6999999999999999E-2</v>
      </c>
      <c r="I12" s="10"/>
      <c r="J12" s="5">
        <f>H12*F12</f>
        <v>72.225999999999999</v>
      </c>
    </row>
    <row r="13" spans="2:10" x14ac:dyDescent="0.25">
      <c r="D13" s="10" t="s">
        <v>11</v>
      </c>
      <c r="E13" s="10">
        <v>88</v>
      </c>
      <c r="F13" s="10">
        <f>E7*4+5</f>
        <v>365</v>
      </c>
      <c r="G13" s="10">
        <v>1</v>
      </c>
      <c r="H13" s="10">
        <v>7.3000000000000001E-3</v>
      </c>
      <c r="I13" s="10"/>
      <c r="J13" s="5">
        <f>(E13*F13*G13*H13)-I13</f>
        <v>234.476</v>
      </c>
    </row>
    <row r="14" spans="2:10" x14ac:dyDescent="0.25">
      <c r="D14" s="10" t="s">
        <v>13</v>
      </c>
      <c r="E14" s="10">
        <v>1</v>
      </c>
      <c r="F14" s="10">
        <v>130</v>
      </c>
      <c r="G14" s="10">
        <v>1</v>
      </c>
      <c r="H14" s="10">
        <v>0.05</v>
      </c>
      <c r="I14" s="10"/>
      <c r="J14" s="5">
        <f>F14*G14*H14</f>
        <v>6.5</v>
      </c>
    </row>
    <row r="15" spans="2:10" x14ac:dyDescent="0.25">
      <c r="D15" s="18" t="s">
        <v>12</v>
      </c>
      <c r="E15" s="19"/>
      <c r="F15" s="19"/>
      <c r="G15" s="19"/>
      <c r="H15" s="19"/>
      <c r="I15" s="20"/>
      <c r="J15" s="5">
        <f>SUM(J7:J14)</f>
        <v>1634.0353333333333</v>
      </c>
    </row>
    <row r="17" spans="2:4" x14ac:dyDescent="0.25">
      <c r="D17" s="1" t="s">
        <v>50</v>
      </c>
    </row>
    <row r="18" spans="2:4" x14ac:dyDescent="0.25">
      <c r="B18" s="1" t="s">
        <v>45</v>
      </c>
    </row>
  </sheetData>
  <mergeCells count="6">
    <mergeCell ref="D15:I15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8558-44FC-4EB4-B160-E92A4B4C0C51}">
  <sheetPr>
    <tabColor theme="3" tint="-0.249977111117893"/>
  </sheetPr>
  <dimension ref="B1:J17"/>
  <sheetViews>
    <sheetView workbookViewId="0">
      <selection activeCell="D9" sqref="D9"/>
    </sheetView>
  </sheetViews>
  <sheetFormatPr defaultRowHeight="15" x14ac:dyDescent="0.25"/>
  <cols>
    <col min="1" max="2" width="9.140625" style="1"/>
    <col min="3" max="5" width="20" style="1" customWidth="1"/>
    <col min="6" max="6" width="24.140625" style="1" customWidth="1"/>
    <col min="7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 x14ac:dyDescent="0.25">
      <c r="D1" s="21" t="s">
        <v>48</v>
      </c>
      <c r="E1" s="10" t="s">
        <v>4</v>
      </c>
      <c r="F1" s="10" t="s">
        <v>15</v>
      </c>
      <c r="G1" s="10" t="s">
        <v>16</v>
      </c>
      <c r="H1" s="10" t="s">
        <v>17</v>
      </c>
      <c r="I1" s="2"/>
      <c r="J1" s="10"/>
    </row>
    <row r="2" spans="2:10" x14ac:dyDescent="0.25">
      <c r="D2" s="21"/>
      <c r="E2" s="10">
        <v>75</v>
      </c>
      <c r="F2" s="10">
        <v>135</v>
      </c>
      <c r="G2" s="10">
        <v>75</v>
      </c>
      <c r="H2" s="10">
        <v>45</v>
      </c>
      <c r="I2" s="10"/>
      <c r="J2" s="10"/>
    </row>
    <row r="3" spans="2:10" ht="30" x14ac:dyDescent="0.25">
      <c r="D3" s="10" t="s">
        <v>22</v>
      </c>
      <c r="E3" s="22" t="s">
        <v>57</v>
      </c>
      <c r="F3" s="22"/>
      <c r="G3" s="2" t="s">
        <v>58</v>
      </c>
      <c r="H3" s="22"/>
      <c r="I3" s="22"/>
      <c r="J3" s="22"/>
    </row>
    <row r="5" spans="2:10" x14ac:dyDescent="0.25">
      <c r="B5"/>
      <c r="D5" s="22" t="s">
        <v>0</v>
      </c>
      <c r="E5" s="18" t="s">
        <v>2</v>
      </c>
      <c r="F5" s="19"/>
      <c r="G5" s="19"/>
      <c r="H5" s="19"/>
      <c r="I5" s="19"/>
      <c r="J5" s="20"/>
    </row>
    <row r="6" spans="2:10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10" t="s">
        <v>7</v>
      </c>
    </row>
    <row r="7" spans="2:10" x14ac:dyDescent="0.25">
      <c r="D7" s="10" t="s">
        <v>1</v>
      </c>
      <c r="E7" s="10">
        <v>75</v>
      </c>
      <c r="F7" s="10">
        <v>200</v>
      </c>
      <c r="G7" s="10">
        <v>4</v>
      </c>
      <c r="H7" s="10">
        <v>1.6E-2</v>
      </c>
      <c r="I7" s="10"/>
      <c r="J7" s="5">
        <f>E7*F7*G7*H7</f>
        <v>960</v>
      </c>
    </row>
    <row r="8" spans="2:10" x14ac:dyDescent="0.25">
      <c r="D8" s="10" t="s">
        <v>8</v>
      </c>
      <c r="E8" s="10">
        <v>80</v>
      </c>
      <c r="F8" s="10">
        <v>80</v>
      </c>
      <c r="G8" s="10">
        <v>2</v>
      </c>
      <c r="H8" s="11">
        <v>1.6E-2</v>
      </c>
      <c r="I8" s="5"/>
      <c r="J8" s="5">
        <f>E8*F8*G8*H8</f>
        <v>204.8</v>
      </c>
    </row>
    <row r="9" spans="2:10" x14ac:dyDescent="0.25">
      <c r="D9" s="11" t="s">
        <v>56</v>
      </c>
      <c r="E9" s="11">
        <v>30</v>
      </c>
      <c r="F9" s="11">
        <v>30</v>
      </c>
      <c r="G9" s="11">
        <v>2</v>
      </c>
      <c r="H9" s="11">
        <v>9.4999999999999998E-3</v>
      </c>
      <c r="I9" s="5"/>
      <c r="J9" s="5">
        <f>E9*F9*G9*H9</f>
        <v>17.099999999999998</v>
      </c>
    </row>
    <row r="10" spans="2:10" x14ac:dyDescent="0.25">
      <c r="D10" s="10" t="s">
        <v>9</v>
      </c>
      <c r="E10" s="10"/>
      <c r="F10" s="10"/>
      <c r="G10" s="10"/>
      <c r="H10" s="10"/>
      <c r="I10" s="10"/>
      <c r="J10" s="5">
        <v>5</v>
      </c>
    </row>
    <row r="11" spans="2:10" x14ac:dyDescent="0.25">
      <c r="D11" s="10" t="s">
        <v>10</v>
      </c>
      <c r="E11" s="10"/>
      <c r="F11" s="8">
        <f>80*4+20*4</f>
        <v>400</v>
      </c>
      <c r="G11" s="10"/>
      <c r="H11" s="10">
        <v>7.6999999999999999E-2</v>
      </c>
      <c r="I11" s="10"/>
      <c r="J11" s="5">
        <f>H11*F11</f>
        <v>30.8</v>
      </c>
    </row>
    <row r="12" spans="2:10" x14ac:dyDescent="0.25">
      <c r="D12" s="10" t="s">
        <v>13</v>
      </c>
      <c r="E12" s="10">
        <v>1</v>
      </c>
      <c r="F12" s="10">
        <v>130</v>
      </c>
      <c r="G12" s="10">
        <v>1</v>
      </c>
      <c r="H12" s="10">
        <v>0.05</v>
      </c>
      <c r="I12" s="10"/>
      <c r="J12" s="5">
        <f>F12*G12*H12</f>
        <v>6.5</v>
      </c>
    </row>
    <row r="13" spans="2:10" x14ac:dyDescent="0.25">
      <c r="D13" s="18" t="s">
        <v>12</v>
      </c>
      <c r="E13" s="19"/>
      <c r="F13" s="19"/>
      <c r="G13" s="19"/>
      <c r="H13" s="19"/>
      <c r="I13" s="20"/>
      <c r="J13" s="5">
        <f>SUM(J7:J12)</f>
        <v>1224.1999999999998</v>
      </c>
    </row>
    <row r="16" spans="2:10" x14ac:dyDescent="0.25">
      <c r="D16" s="1" t="s">
        <v>51</v>
      </c>
    </row>
    <row r="17" spans="2:5" x14ac:dyDescent="0.25">
      <c r="B17" s="1" t="s">
        <v>46</v>
      </c>
      <c r="E17"/>
    </row>
  </sheetData>
  <mergeCells count="6">
    <mergeCell ref="D13:I13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E693-4088-4DEB-9542-3030CDDE6986}">
  <sheetPr>
    <tabColor theme="5" tint="-0.249977111117893"/>
  </sheetPr>
  <dimension ref="B1:J18"/>
  <sheetViews>
    <sheetView workbookViewId="0">
      <selection activeCell="E18" sqref="E18"/>
    </sheetView>
  </sheetViews>
  <sheetFormatPr defaultRowHeight="15" x14ac:dyDescent="0.25"/>
  <cols>
    <col min="1" max="2" width="9.140625" style="1"/>
    <col min="3" max="3" width="18.140625" style="1" customWidth="1"/>
    <col min="4" max="4" width="24.28515625" style="1" customWidth="1"/>
    <col min="5" max="5" width="20" style="1" customWidth="1"/>
    <col min="6" max="6" width="24.140625" style="1" customWidth="1"/>
    <col min="7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 x14ac:dyDescent="0.25">
      <c r="D1" s="21" t="s">
        <v>48</v>
      </c>
      <c r="E1" s="10" t="s">
        <v>4</v>
      </c>
      <c r="F1" s="10" t="s">
        <v>15</v>
      </c>
      <c r="G1" s="10" t="s">
        <v>16</v>
      </c>
      <c r="H1" s="10" t="s">
        <v>17</v>
      </c>
      <c r="I1" s="2"/>
      <c r="J1" s="10"/>
    </row>
    <row r="2" spans="2:10" x14ac:dyDescent="0.25">
      <c r="D2" s="21"/>
      <c r="E2" s="10">
        <v>90</v>
      </c>
      <c r="F2" s="10">
        <v>100</v>
      </c>
      <c r="G2" s="10">
        <v>90</v>
      </c>
      <c r="H2" s="10">
        <v>50</v>
      </c>
      <c r="I2" s="10"/>
      <c r="J2" s="10"/>
    </row>
    <row r="3" spans="2:10" x14ac:dyDescent="0.25">
      <c r="D3" s="10" t="s">
        <v>22</v>
      </c>
      <c r="E3" s="22" t="s">
        <v>49</v>
      </c>
      <c r="F3" s="22"/>
      <c r="G3" s="2"/>
      <c r="H3" s="22"/>
      <c r="I3" s="22"/>
      <c r="J3" s="22"/>
    </row>
    <row r="5" spans="2:10" x14ac:dyDescent="0.25">
      <c r="B5"/>
      <c r="D5" s="22" t="s">
        <v>0</v>
      </c>
      <c r="E5" s="18" t="s">
        <v>2</v>
      </c>
      <c r="F5" s="19"/>
      <c r="G5" s="19"/>
      <c r="H5" s="19"/>
      <c r="I5" s="19"/>
      <c r="J5" s="20"/>
    </row>
    <row r="6" spans="2:10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10" t="s">
        <v>7</v>
      </c>
    </row>
    <row r="7" spans="2:10" x14ac:dyDescent="0.25">
      <c r="D7" s="10" t="s">
        <v>1</v>
      </c>
      <c r="E7" s="10">
        <v>90</v>
      </c>
      <c r="F7" s="10">
        <v>165</v>
      </c>
      <c r="G7" s="10">
        <v>4</v>
      </c>
      <c r="H7" s="10">
        <v>0.02</v>
      </c>
      <c r="I7" s="10"/>
      <c r="J7" s="5">
        <f>E7*F7*G7*H7</f>
        <v>1188</v>
      </c>
    </row>
    <row r="8" spans="2:10" x14ac:dyDescent="0.25">
      <c r="D8" s="10" t="s">
        <v>8</v>
      </c>
      <c r="E8" s="10">
        <v>95</v>
      </c>
      <c r="F8" s="10">
        <v>95</v>
      </c>
      <c r="G8" s="10">
        <v>2</v>
      </c>
      <c r="H8" s="10">
        <v>0.02</v>
      </c>
      <c r="I8" s="5"/>
      <c r="J8" s="5">
        <f>E8*F8*G8*H8</f>
        <v>361</v>
      </c>
    </row>
    <row r="9" spans="2:10" x14ac:dyDescent="0.25">
      <c r="D9" s="10" t="s">
        <v>52</v>
      </c>
      <c r="E9" s="10">
        <v>95</v>
      </c>
      <c r="F9" s="10">
        <f>45+95+45</f>
        <v>185</v>
      </c>
      <c r="G9" s="10">
        <v>2</v>
      </c>
      <c r="H9" s="10">
        <v>1.4E-2</v>
      </c>
      <c r="I9" s="5"/>
      <c r="J9" s="5">
        <f>E9*F9*G9*H9</f>
        <v>492.1</v>
      </c>
    </row>
    <row r="10" spans="2:10" x14ac:dyDescent="0.25">
      <c r="D10" s="10" t="s">
        <v>53</v>
      </c>
      <c r="E10" s="10">
        <v>95</v>
      </c>
      <c r="F10" s="10">
        <v>45</v>
      </c>
      <c r="G10" s="10">
        <v>4</v>
      </c>
      <c r="H10" s="10">
        <v>1.4E-2</v>
      </c>
      <c r="I10" s="5"/>
      <c r="J10" s="5">
        <f t="shared" ref="J10" si="0">E10*F10*G10*H10</f>
        <v>239.4</v>
      </c>
    </row>
    <row r="11" spans="2:10" x14ac:dyDescent="0.25">
      <c r="D11" s="10" t="s">
        <v>54</v>
      </c>
      <c r="E11" s="10">
        <v>5</v>
      </c>
      <c r="F11" s="10">
        <f>95*4</f>
        <v>380</v>
      </c>
      <c r="G11" s="10">
        <v>1</v>
      </c>
      <c r="H11" s="10">
        <v>0.35</v>
      </c>
      <c r="I11" s="5"/>
      <c r="J11" s="5">
        <f>F11*G11*H11</f>
        <v>133</v>
      </c>
    </row>
    <row r="12" spans="2:10" x14ac:dyDescent="0.25">
      <c r="D12" s="10" t="s">
        <v>9</v>
      </c>
      <c r="E12" s="10"/>
      <c r="F12" s="10"/>
      <c r="G12" s="10"/>
      <c r="H12" s="10"/>
      <c r="I12" s="10"/>
      <c r="J12" s="5">
        <v>5</v>
      </c>
    </row>
    <row r="13" spans="2:10" x14ac:dyDescent="0.25">
      <c r="D13" s="10" t="s">
        <v>10</v>
      </c>
      <c r="E13" s="10"/>
      <c r="F13" s="8">
        <f>E7*4+F9*2+95*4+41*4</f>
        <v>1274</v>
      </c>
      <c r="G13" s="10"/>
      <c r="H13" s="10">
        <v>7.6999999999999999E-2</v>
      </c>
      <c r="I13" s="10"/>
      <c r="J13" s="5">
        <f>H13*F13</f>
        <v>98.097999999999999</v>
      </c>
    </row>
    <row r="14" spans="2:10" x14ac:dyDescent="0.25">
      <c r="D14" s="18" t="s">
        <v>12</v>
      </c>
      <c r="E14" s="19"/>
      <c r="F14" s="19"/>
      <c r="G14" s="19"/>
      <c r="H14" s="19"/>
      <c r="I14" s="20"/>
      <c r="J14" s="5">
        <f>SUM(J7:J13)</f>
        <v>2516.598</v>
      </c>
    </row>
    <row r="17" spans="2:5" x14ac:dyDescent="0.25">
      <c r="D17" s="1" t="s">
        <v>51</v>
      </c>
    </row>
    <row r="18" spans="2:5" x14ac:dyDescent="0.25">
      <c r="B18" s="1" t="s">
        <v>46</v>
      </c>
      <c r="E18"/>
    </row>
  </sheetData>
  <mergeCells count="6">
    <mergeCell ref="D14:I14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DFC0-B911-45E1-838D-300DAFAC620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2BF2-2AB9-44DB-97FA-6186FC5F4E96}">
  <sheetPr>
    <tabColor theme="0" tint="-0.34998626667073579"/>
  </sheetPr>
  <dimension ref="B1:J19"/>
  <sheetViews>
    <sheetView tabSelected="1" workbookViewId="0">
      <selection activeCell="F7" sqref="F7"/>
    </sheetView>
  </sheetViews>
  <sheetFormatPr defaultRowHeight="15" x14ac:dyDescent="0.25"/>
  <cols>
    <col min="1" max="2" width="9.140625" style="1"/>
    <col min="3" max="3" width="20" style="1" customWidth="1"/>
    <col min="4" max="4" width="26.85546875" style="1" customWidth="1"/>
    <col min="5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 x14ac:dyDescent="0.25">
      <c r="D1" s="21" t="s">
        <v>37</v>
      </c>
      <c r="E1" s="17" t="s">
        <v>4</v>
      </c>
      <c r="F1" s="17" t="s">
        <v>15</v>
      </c>
      <c r="G1" s="17" t="s">
        <v>16</v>
      </c>
      <c r="H1" s="17" t="s">
        <v>17</v>
      </c>
      <c r="I1" s="2"/>
      <c r="J1" s="17"/>
    </row>
    <row r="2" spans="2:10" x14ac:dyDescent="0.25">
      <c r="D2" s="21"/>
      <c r="E2" s="17">
        <v>90</v>
      </c>
      <c r="F2" s="17">
        <v>65</v>
      </c>
      <c r="G2" s="17">
        <v>90</v>
      </c>
      <c r="H2" s="17">
        <v>20</v>
      </c>
      <c r="I2" s="17"/>
      <c r="J2" s="17"/>
    </row>
    <row r="3" spans="2:10" x14ac:dyDescent="0.25">
      <c r="D3" s="17" t="s">
        <v>22</v>
      </c>
      <c r="E3" s="22" t="s">
        <v>67</v>
      </c>
      <c r="F3" s="22"/>
      <c r="G3" s="2"/>
      <c r="H3" s="22" t="s">
        <v>66</v>
      </c>
      <c r="I3" s="22"/>
      <c r="J3" s="22"/>
    </row>
    <row r="5" spans="2:10" x14ac:dyDescent="0.25">
      <c r="B5"/>
      <c r="D5" s="22" t="s">
        <v>0</v>
      </c>
      <c r="E5" s="18" t="s">
        <v>2</v>
      </c>
      <c r="F5" s="19"/>
      <c r="G5" s="19"/>
      <c r="H5" s="19"/>
      <c r="I5" s="19"/>
      <c r="J5" s="20"/>
    </row>
    <row r="6" spans="2:10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17" t="s">
        <v>7</v>
      </c>
    </row>
    <row r="7" spans="2:10" x14ac:dyDescent="0.25">
      <c r="D7" s="17" t="s">
        <v>1</v>
      </c>
      <c r="E7" s="17">
        <v>90</v>
      </c>
      <c r="F7" s="17">
        <f>90+65+90</f>
        <v>245</v>
      </c>
      <c r="G7" s="17">
        <v>2</v>
      </c>
      <c r="H7" s="17">
        <v>1.4999999999999999E-2</v>
      </c>
      <c r="I7" s="17"/>
      <c r="J7" s="5">
        <f>(E7*F7*G7*H7)-I7</f>
        <v>661.5</v>
      </c>
    </row>
    <row r="8" spans="2:10" x14ac:dyDescent="0.25">
      <c r="D8" s="17" t="s">
        <v>8</v>
      </c>
      <c r="E8" s="17">
        <v>90</v>
      </c>
      <c r="F8" s="17">
        <v>65</v>
      </c>
      <c r="G8" s="17">
        <v>4</v>
      </c>
      <c r="H8" s="17">
        <v>1.4999999999999999E-2</v>
      </c>
      <c r="I8" s="5"/>
      <c r="J8" s="5">
        <f>((E8*F8)-I8)*G8*H8</f>
        <v>351</v>
      </c>
    </row>
    <row r="9" spans="2:10" x14ac:dyDescent="0.25">
      <c r="D9" s="17" t="s">
        <v>65</v>
      </c>
      <c r="E9" s="17">
        <v>5</v>
      </c>
      <c r="F9" s="5">
        <f>(F8/3*2+F8/3*2+H2*2)</f>
        <v>126.66666666666667</v>
      </c>
      <c r="G9" s="17">
        <v>4</v>
      </c>
      <c r="H9" s="17">
        <v>0.35</v>
      </c>
      <c r="I9" s="17"/>
      <c r="J9" s="5">
        <f>F9*G9*H9</f>
        <v>177.33333333333334</v>
      </c>
    </row>
    <row r="10" spans="2:10" x14ac:dyDescent="0.25">
      <c r="D10" s="17" t="s">
        <v>60</v>
      </c>
      <c r="E10" s="17">
        <v>5</v>
      </c>
      <c r="F10" s="17">
        <f>180</f>
        <v>180</v>
      </c>
      <c r="G10" s="17">
        <v>2</v>
      </c>
      <c r="H10" s="17">
        <v>0.35</v>
      </c>
      <c r="I10" s="17"/>
      <c r="J10" s="5">
        <f>F10*G10*H10</f>
        <v>125.99999999999999</v>
      </c>
    </row>
    <row r="11" spans="2:10" x14ac:dyDescent="0.25">
      <c r="D11" s="17" t="s">
        <v>9</v>
      </c>
      <c r="E11" s="17"/>
      <c r="F11" s="17"/>
      <c r="G11" s="17"/>
      <c r="H11" s="17"/>
      <c r="I11" s="17"/>
      <c r="J11" s="5">
        <v>5</v>
      </c>
    </row>
    <row r="12" spans="2:10" x14ac:dyDescent="0.25">
      <c r="D12" s="17" t="s">
        <v>10</v>
      </c>
      <c r="E12" s="17"/>
      <c r="F12" s="8">
        <f>E2*4+E13+F7*2</f>
        <v>938</v>
      </c>
      <c r="G12" s="17"/>
      <c r="H12" s="17">
        <v>7.6999999999999999E-2</v>
      </c>
      <c r="I12" s="17"/>
      <c r="J12" s="5">
        <f>H12*F12</f>
        <v>72.225999999999999</v>
      </c>
    </row>
    <row r="13" spans="2:10" x14ac:dyDescent="0.25">
      <c r="D13" s="17" t="s">
        <v>11</v>
      </c>
      <c r="E13" s="17">
        <v>88</v>
      </c>
      <c r="F13" s="17">
        <f>E7*4+5</f>
        <v>365</v>
      </c>
      <c r="G13" s="17">
        <v>1</v>
      </c>
      <c r="H13" s="17">
        <v>7.3000000000000001E-3</v>
      </c>
      <c r="I13" s="17"/>
      <c r="J13" s="5">
        <f>(E13*F13*G13*H13)-I13</f>
        <v>234.476</v>
      </c>
    </row>
    <row r="14" spans="2:10" x14ac:dyDescent="0.25">
      <c r="D14" s="17" t="s">
        <v>69</v>
      </c>
      <c r="E14" s="17">
        <v>173</v>
      </c>
      <c r="F14" s="17">
        <v>241</v>
      </c>
      <c r="G14" s="17">
        <v>2</v>
      </c>
      <c r="H14" s="17">
        <v>7.0000000000000001E-3</v>
      </c>
      <c r="I14" s="17">
        <v>0.95</v>
      </c>
      <c r="J14" s="5">
        <f>(E14*F14*G14*H14)*I14</f>
        <v>554.51689999999996</v>
      </c>
    </row>
    <row r="15" spans="2:10" x14ac:dyDescent="0.25">
      <c r="D15" s="17" t="s">
        <v>13</v>
      </c>
      <c r="E15" s="17">
        <v>1</v>
      </c>
      <c r="F15" s="17">
        <v>130</v>
      </c>
      <c r="G15" s="17">
        <v>1</v>
      </c>
      <c r="H15" s="17">
        <v>0.05</v>
      </c>
      <c r="I15" s="17"/>
      <c r="J15" s="5">
        <f>F15*G15*H15</f>
        <v>6.5</v>
      </c>
    </row>
    <row r="16" spans="2:10" x14ac:dyDescent="0.25">
      <c r="D16" s="18" t="s">
        <v>12</v>
      </c>
      <c r="E16" s="19"/>
      <c r="F16" s="19"/>
      <c r="G16" s="19"/>
      <c r="H16" s="19"/>
      <c r="I16" s="20"/>
      <c r="J16" s="5">
        <f>SUM(J7:J15)</f>
        <v>2188.5522333333333</v>
      </c>
    </row>
    <row r="18" spans="2:4" x14ac:dyDescent="0.25">
      <c r="D18" s="1" t="s">
        <v>50</v>
      </c>
    </row>
    <row r="19" spans="2:4" x14ac:dyDescent="0.25">
      <c r="B19" s="1" t="s">
        <v>45</v>
      </c>
    </row>
  </sheetData>
  <mergeCells count="6">
    <mergeCell ref="D1:D2"/>
    <mergeCell ref="E3:F3"/>
    <mergeCell ref="H3:J3"/>
    <mergeCell ref="D5:D6"/>
    <mergeCell ref="E5:J5"/>
    <mergeCell ref="D16:I16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4595-EDBE-43AE-83DA-92A32B4F00C9}">
  <sheetPr>
    <tabColor theme="0" tint="-0.34998626667073579"/>
  </sheetPr>
  <dimension ref="B1:J18"/>
  <sheetViews>
    <sheetView workbookViewId="0">
      <selection activeCell="E4" sqref="E4"/>
    </sheetView>
  </sheetViews>
  <sheetFormatPr defaultRowHeight="15" x14ac:dyDescent="0.25"/>
  <cols>
    <col min="1" max="2" width="9.140625" style="1"/>
    <col min="3" max="3" width="20" style="1" customWidth="1"/>
    <col min="4" max="4" width="26.85546875" style="1" customWidth="1"/>
    <col min="5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 x14ac:dyDescent="0.25">
      <c r="D1" s="21" t="s">
        <v>37</v>
      </c>
      <c r="E1" s="17" t="s">
        <v>4</v>
      </c>
      <c r="F1" s="17" t="s">
        <v>15</v>
      </c>
      <c r="G1" s="17" t="s">
        <v>16</v>
      </c>
      <c r="H1" s="17" t="s">
        <v>17</v>
      </c>
      <c r="I1" s="2"/>
      <c r="J1" s="17"/>
    </row>
    <row r="2" spans="2:10" x14ac:dyDescent="0.25">
      <c r="D2" s="21"/>
      <c r="E2" s="17">
        <v>90</v>
      </c>
      <c r="F2" s="17">
        <v>65</v>
      </c>
      <c r="G2" s="17">
        <v>90</v>
      </c>
      <c r="H2" s="17">
        <v>20</v>
      </c>
      <c r="I2" s="17"/>
      <c r="J2" s="17"/>
    </row>
    <row r="3" spans="2:10" x14ac:dyDescent="0.25">
      <c r="D3" s="17" t="s">
        <v>22</v>
      </c>
      <c r="E3" s="22" t="s">
        <v>68</v>
      </c>
      <c r="F3" s="22"/>
      <c r="G3" s="2"/>
      <c r="H3" s="22" t="s">
        <v>66</v>
      </c>
      <c r="I3" s="22"/>
      <c r="J3" s="22"/>
    </row>
    <row r="5" spans="2:10" x14ac:dyDescent="0.25">
      <c r="B5"/>
      <c r="D5" s="22" t="s">
        <v>0</v>
      </c>
      <c r="E5" s="18" t="s">
        <v>2</v>
      </c>
      <c r="F5" s="19"/>
      <c r="G5" s="19"/>
      <c r="H5" s="19"/>
      <c r="I5" s="19"/>
      <c r="J5" s="20"/>
    </row>
    <row r="6" spans="2:10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17" t="s">
        <v>7</v>
      </c>
    </row>
    <row r="7" spans="2:10" x14ac:dyDescent="0.25">
      <c r="D7" s="17" t="s">
        <v>1</v>
      </c>
      <c r="E7" s="17">
        <v>90</v>
      </c>
      <c r="F7" s="17">
        <f>90+65+90</f>
        <v>245</v>
      </c>
      <c r="G7" s="17">
        <v>2</v>
      </c>
      <c r="H7" s="17">
        <v>1.7000000000000001E-2</v>
      </c>
      <c r="I7" s="17"/>
      <c r="J7" s="5">
        <f>(E7*F7*G7*H7)-I7</f>
        <v>749.7</v>
      </c>
    </row>
    <row r="8" spans="2:10" x14ac:dyDescent="0.25">
      <c r="D8" s="17" t="s">
        <v>8</v>
      </c>
      <c r="E8" s="17">
        <v>90</v>
      </c>
      <c r="F8" s="17">
        <v>65</v>
      </c>
      <c r="G8" s="17">
        <v>4</v>
      </c>
      <c r="H8" s="17">
        <v>1.7000000000000001E-2</v>
      </c>
      <c r="I8" s="5"/>
      <c r="J8" s="5">
        <f>((E8*F8)-I8)*G8*H8</f>
        <v>397.8</v>
      </c>
    </row>
    <row r="9" spans="2:10" x14ac:dyDescent="0.25">
      <c r="D9" s="17" t="s">
        <v>65</v>
      </c>
      <c r="E9" s="17">
        <v>5</v>
      </c>
      <c r="F9" s="5">
        <f>(F8/3*2+F8/3*2+H2*2)</f>
        <v>126.66666666666667</v>
      </c>
      <c r="G9" s="17">
        <v>4</v>
      </c>
      <c r="H9" s="17">
        <v>0.35</v>
      </c>
      <c r="I9" s="17"/>
      <c r="J9" s="5">
        <f>F9*G9*H9</f>
        <v>177.33333333333334</v>
      </c>
    </row>
    <row r="10" spans="2:10" x14ac:dyDescent="0.25">
      <c r="D10" s="17" t="s">
        <v>60</v>
      </c>
      <c r="E10" s="17">
        <v>5</v>
      </c>
      <c r="F10" s="17">
        <f>180</f>
        <v>180</v>
      </c>
      <c r="G10" s="17">
        <v>2</v>
      </c>
      <c r="H10" s="17">
        <v>0.35</v>
      </c>
      <c r="I10" s="17"/>
      <c r="J10" s="5">
        <f>F10*G10*H10</f>
        <v>125.99999999999999</v>
      </c>
    </row>
    <row r="11" spans="2:10" x14ac:dyDescent="0.25">
      <c r="D11" s="17" t="s">
        <v>9</v>
      </c>
      <c r="E11" s="17"/>
      <c r="F11" s="17"/>
      <c r="G11" s="17"/>
      <c r="H11" s="17"/>
      <c r="I11" s="17"/>
      <c r="J11" s="5">
        <v>5</v>
      </c>
    </row>
    <row r="12" spans="2:10" x14ac:dyDescent="0.25">
      <c r="D12" s="17" t="s">
        <v>10</v>
      </c>
      <c r="E12" s="17"/>
      <c r="F12" s="8">
        <f>E2*4+E13+F7*2</f>
        <v>938</v>
      </c>
      <c r="G12" s="17"/>
      <c r="H12" s="17">
        <v>7.6999999999999999E-2</v>
      </c>
      <c r="I12" s="17"/>
      <c r="J12" s="5">
        <f>H12*F12</f>
        <v>72.225999999999999</v>
      </c>
    </row>
    <row r="13" spans="2:10" x14ac:dyDescent="0.25">
      <c r="D13" s="17" t="s">
        <v>11</v>
      </c>
      <c r="E13" s="17">
        <v>88</v>
      </c>
      <c r="F13" s="17">
        <f>E7*4+5</f>
        <v>365</v>
      </c>
      <c r="G13" s="17">
        <v>1</v>
      </c>
      <c r="H13" s="17">
        <v>7.3000000000000001E-3</v>
      </c>
      <c r="I13" s="17"/>
      <c r="J13" s="5">
        <f>(E13*F13*G13*H13)-I13</f>
        <v>234.476</v>
      </c>
    </row>
    <row r="14" spans="2:10" x14ac:dyDescent="0.25">
      <c r="D14" s="17" t="s">
        <v>13</v>
      </c>
      <c r="E14" s="17">
        <v>1</v>
      </c>
      <c r="F14" s="17">
        <v>130</v>
      </c>
      <c r="G14" s="17">
        <v>1</v>
      </c>
      <c r="H14" s="17">
        <v>0.05</v>
      </c>
      <c r="I14" s="17"/>
      <c r="J14" s="5">
        <f>F14*G14*H14</f>
        <v>6.5</v>
      </c>
    </row>
    <row r="15" spans="2:10" x14ac:dyDescent="0.25">
      <c r="D15" s="18" t="s">
        <v>12</v>
      </c>
      <c r="E15" s="19"/>
      <c r="F15" s="19"/>
      <c r="G15" s="19"/>
      <c r="H15" s="19"/>
      <c r="I15" s="20"/>
      <c r="J15" s="5">
        <f>SUM(J7:J14)</f>
        <v>1769.0353333333333</v>
      </c>
    </row>
    <row r="17" spans="2:4" x14ac:dyDescent="0.25">
      <c r="D17" s="1" t="s">
        <v>50</v>
      </c>
    </row>
    <row r="18" spans="2:4" x14ac:dyDescent="0.25">
      <c r="B18" s="1" t="s">
        <v>45</v>
      </c>
    </row>
  </sheetData>
  <mergeCells count="6">
    <mergeCell ref="D1:D2"/>
    <mergeCell ref="E3:F3"/>
    <mergeCell ref="H3:J3"/>
    <mergeCell ref="D5:D6"/>
    <mergeCell ref="E5:J5"/>
    <mergeCell ref="D15:I1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696E-B698-4109-8FD0-C4614000C9E9}">
  <sheetPr>
    <tabColor theme="0" tint="-0.34998626667073579"/>
  </sheetPr>
  <dimension ref="B1:J19"/>
  <sheetViews>
    <sheetView workbookViewId="0">
      <selection activeCell="J15" sqref="J15"/>
    </sheetView>
  </sheetViews>
  <sheetFormatPr defaultRowHeight="15" x14ac:dyDescent="0.25"/>
  <cols>
    <col min="1" max="2" width="9.140625" style="1"/>
    <col min="3" max="3" width="20" style="1" customWidth="1"/>
    <col min="4" max="4" width="26.85546875" style="1" customWidth="1"/>
    <col min="5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 x14ac:dyDescent="0.25">
      <c r="D1" s="21" t="s">
        <v>37</v>
      </c>
      <c r="E1" s="15" t="s">
        <v>4</v>
      </c>
      <c r="F1" s="15" t="s">
        <v>15</v>
      </c>
      <c r="G1" s="15" t="s">
        <v>16</v>
      </c>
      <c r="H1" s="15" t="s">
        <v>17</v>
      </c>
      <c r="I1" s="2"/>
      <c r="J1" s="15"/>
    </row>
    <row r="2" spans="2:10" x14ac:dyDescent="0.25">
      <c r="D2" s="21"/>
      <c r="E2" s="15">
        <v>90</v>
      </c>
      <c r="F2" s="15">
        <v>65</v>
      </c>
      <c r="G2" s="15">
        <v>90</v>
      </c>
      <c r="H2" s="15">
        <v>20</v>
      </c>
      <c r="I2" s="15"/>
      <c r="J2" s="15"/>
    </row>
    <row r="3" spans="2:10" x14ac:dyDescent="0.25">
      <c r="D3" s="15" t="s">
        <v>22</v>
      </c>
      <c r="E3" s="22" t="s">
        <v>59</v>
      </c>
      <c r="F3" s="22"/>
      <c r="G3" s="2"/>
      <c r="H3" s="22" t="s">
        <v>47</v>
      </c>
      <c r="I3" s="22"/>
      <c r="J3" s="22"/>
    </row>
    <row r="5" spans="2:10" x14ac:dyDescent="0.25">
      <c r="B5"/>
      <c r="D5" s="22" t="s">
        <v>0</v>
      </c>
      <c r="E5" s="18" t="s">
        <v>2</v>
      </c>
      <c r="F5" s="19"/>
      <c r="G5" s="19"/>
      <c r="H5" s="19"/>
      <c r="I5" s="19"/>
      <c r="J5" s="20"/>
    </row>
    <row r="6" spans="2:10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15" t="s">
        <v>7</v>
      </c>
    </row>
    <row r="7" spans="2:10" x14ac:dyDescent="0.25">
      <c r="D7" s="15" t="s">
        <v>1</v>
      </c>
      <c r="E7" s="15">
        <v>90</v>
      </c>
      <c r="F7" s="15">
        <f>90+65+90</f>
        <v>245</v>
      </c>
      <c r="G7" s="15">
        <v>2</v>
      </c>
      <c r="H7" s="15">
        <v>1.6E-2</v>
      </c>
      <c r="I7" s="15"/>
      <c r="J7" s="5">
        <f>(E7*F7*G7*H7)-I7</f>
        <v>705.6</v>
      </c>
    </row>
    <row r="8" spans="2:10" x14ac:dyDescent="0.25">
      <c r="D8" s="15" t="s">
        <v>8</v>
      </c>
      <c r="E8" s="15">
        <v>90</v>
      </c>
      <c r="F8" s="15">
        <v>65</v>
      </c>
      <c r="G8" s="15">
        <v>4</v>
      </c>
      <c r="H8" s="15">
        <v>1.6E-2</v>
      </c>
      <c r="I8" s="5"/>
      <c r="J8" s="5">
        <f>((E8*F8)-I8)*G8*H8</f>
        <v>374.40000000000003</v>
      </c>
    </row>
    <row r="9" spans="2:10" x14ac:dyDescent="0.25">
      <c r="D9" s="15" t="s">
        <v>55</v>
      </c>
      <c r="E9" s="15">
        <v>5</v>
      </c>
      <c r="F9" s="15">
        <f>(F8+F8+H2*2)</f>
        <v>170</v>
      </c>
      <c r="G9" s="15">
        <v>4</v>
      </c>
      <c r="H9" s="15">
        <v>0.35</v>
      </c>
      <c r="I9" s="15"/>
      <c r="J9" s="5">
        <f>F9*G9*H9</f>
        <v>237.99999999999997</v>
      </c>
    </row>
    <row r="10" spans="2:10" x14ac:dyDescent="0.25">
      <c r="D10" s="15" t="s">
        <v>60</v>
      </c>
      <c r="E10" s="15">
        <v>5</v>
      </c>
      <c r="F10" s="15">
        <f>180</f>
        <v>180</v>
      </c>
      <c r="G10" s="15">
        <v>2</v>
      </c>
      <c r="H10" s="15">
        <v>0.35</v>
      </c>
      <c r="I10" s="15"/>
      <c r="J10" s="5">
        <f>F10*G10*H10</f>
        <v>125.99999999999999</v>
      </c>
    </row>
    <row r="11" spans="2:10" x14ac:dyDescent="0.25">
      <c r="D11" s="15" t="s">
        <v>9</v>
      </c>
      <c r="E11" s="15"/>
      <c r="F11" s="15"/>
      <c r="G11" s="15"/>
      <c r="H11" s="15"/>
      <c r="I11" s="15"/>
      <c r="J11" s="5">
        <v>5</v>
      </c>
    </row>
    <row r="12" spans="2:10" x14ac:dyDescent="0.25">
      <c r="D12" s="15" t="s">
        <v>10</v>
      </c>
      <c r="E12" s="15"/>
      <c r="F12" s="8">
        <f>E2*4+E13+F7*2</f>
        <v>938</v>
      </c>
      <c r="G12" s="15"/>
      <c r="H12" s="15">
        <v>7.6999999999999999E-2</v>
      </c>
      <c r="I12" s="15"/>
      <c r="J12" s="5">
        <f>H12*F12</f>
        <v>72.225999999999999</v>
      </c>
    </row>
    <row r="13" spans="2:10" x14ac:dyDescent="0.25">
      <c r="D13" s="15" t="s">
        <v>11</v>
      </c>
      <c r="E13" s="15">
        <v>88</v>
      </c>
      <c r="F13" s="15">
        <f>E7*4+5</f>
        <v>365</v>
      </c>
      <c r="G13" s="15">
        <v>1</v>
      </c>
      <c r="H13" s="15">
        <v>7.7999999999999996E-3</v>
      </c>
      <c r="I13" s="15"/>
      <c r="J13" s="5">
        <f>(E13*F13*G13*H13)-I13</f>
        <v>250.536</v>
      </c>
    </row>
    <row r="14" spans="2:10" x14ac:dyDescent="0.25">
      <c r="D14" s="15" t="s">
        <v>64</v>
      </c>
      <c r="E14" s="15">
        <v>173</v>
      </c>
      <c r="F14" s="15">
        <v>241</v>
      </c>
      <c r="G14" s="15">
        <v>2</v>
      </c>
      <c r="H14" s="15">
        <v>7.0000000000000001E-3</v>
      </c>
      <c r="I14" s="15">
        <v>0.95</v>
      </c>
      <c r="J14" s="5">
        <f>(E14*F14*G14*H14*I14)</f>
        <v>554.51689999999996</v>
      </c>
    </row>
    <row r="15" spans="2:10" x14ac:dyDescent="0.25">
      <c r="D15" s="15" t="s">
        <v>13</v>
      </c>
      <c r="E15" s="15">
        <v>1</v>
      </c>
      <c r="F15" s="15">
        <v>130</v>
      </c>
      <c r="G15" s="15">
        <v>1</v>
      </c>
      <c r="H15" s="15">
        <v>0.05</v>
      </c>
      <c r="I15" s="15"/>
      <c r="J15" s="5">
        <f>F15*G15*H15</f>
        <v>6.5</v>
      </c>
    </row>
    <row r="16" spans="2:10" x14ac:dyDescent="0.25">
      <c r="D16" s="18" t="s">
        <v>12</v>
      </c>
      <c r="E16" s="19"/>
      <c r="F16" s="19"/>
      <c r="G16" s="19"/>
      <c r="H16" s="19"/>
      <c r="I16" s="20"/>
      <c r="J16" s="5">
        <f>SUM(J7:J15)</f>
        <v>2332.7789000000002</v>
      </c>
    </row>
    <row r="18" spans="2:4" x14ac:dyDescent="0.25">
      <c r="D18" s="1" t="s">
        <v>50</v>
      </c>
    </row>
    <row r="19" spans="2:4" x14ac:dyDescent="0.25">
      <c r="B19" s="1" t="s">
        <v>45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40F0-858D-4B19-8012-27E02B31670D}">
  <sheetPr>
    <tabColor theme="0" tint="-0.34998626667073579"/>
  </sheetPr>
  <dimension ref="B1:J19"/>
  <sheetViews>
    <sheetView workbookViewId="0">
      <selection activeCell="J19" sqref="J19"/>
    </sheetView>
  </sheetViews>
  <sheetFormatPr defaultRowHeight="15" x14ac:dyDescent="0.25"/>
  <cols>
    <col min="1" max="2" width="9.140625" style="1"/>
    <col min="3" max="3" width="20" style="1" customWidth="1"/>
    <col min="4" max="4" width="26.85546875" style="1" customWidth="1"/>
    <col min="5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 x14ac:dyDescent="0.25">
      <c r="D1" s="21" t="s">
        <v>37</v>
      </c>
      <c r="E1" s="16" t="s">
        <v>4</v>
      </c>
      <c r="F1" s="16" t="s">
        <v>15</v>
      </c>
      <c r="G1" s="16" t="s">
        <v>16</v>
      </c>
      <c r="H1" s="16" t="s">
        <v>17</v>
      </c>
      <c r="I1" s="2"/>
      <c r="J1" s="16"/>
    </row>
    <row r="2" spans="2:10" x14ac:dyDescent="0.25">
      <c r="D2" s="21"/>
      <c r="E2" s="16">
        <v>90</v>
      </c>
      <c r="F2" s="16">
        <v>65</v>
      </c>
      <c r="G2" s="16">
        <v>90</v>
      </c>
      <c r="H2" s="16">
        <v>20</v>
      </c>
      <c r="I2" s="16"/>
      <c r="J2" s="16"/>
    </row>
    <row r="3" spans="2:10" x14ac:dyDescent="0.25">
      <c r="D3" s="16" t="s">
        <v>22</v>
      </c>
      <c r="E3" s="22" t="s">
        <v>59</v>
      </c>
      <c r="F3" s="22"/>
      <c r="G3" s="2"/>
      <c r="H3" s="22" t="s">
        <v>47</v>
      </c>
      <c r="I3" s="22"/>
      <c r="J3" s="22"/>
    </row>
    <row r="5" spans="2:10" x14ac:dyDescent="0.25">
      <c r="B5"/>
      <c r="D5" s="22" t="s">
        <v>0</v>
      </c>
      <c r="E5" s="18" t="s">
        <v>2</v>
      </c>
      <c r="F5" s="19"/>
      <c r="G5" s="19"/>
      <c r="H5" s="19"/>
      <c r="I5" s="19"/>
      <c r="J5" s="20"/>
    </row>
    <row r="6" spans="2:10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16" t="s">
        <v>7</v>
      </c>
    </row>
    <row r="7" spans="2:10" x14ac:dyDescent="0.25">
      <c r="D7" s="16" t="s">
        <v>1</v>
      </c>
      <c r="E7" s="16">
        <v>90</v>
      </c>
      <c r="F7" s="16">
        <f>90+65+90</f>
        <v>245</v>
      </c>
      <c r="G7" s="16">
        <v>2</v>
      </c>
      <c r="H7" s="16">
        <v>1.6E-2</v>
      </c>
      <c r="I7" s="16"/>
      <c r="J7" s="5">
        <f>(E7*F7*G7*H7)-I7</f>
        <v>705.6</v>
      </c>
    </row>
    <row r="8" spans="2:10" x14ac:dyDescent="0.25">
      <c r="D8" s="16" t="s">
        <v>8</v>
      </c>
      <c r="E8" s="16">
        <v>90</v>
      </c>
      <c r="F8" s="16">
        <v>65</v>
      </c>
      <c r="G8" s="16">
        <v>4</v>
      </c>
      <c r="H8" s="16">
        <v>1.6E-2</v>
      </c>
      <c r="I8" s="5"/>
      <c r="J8" s="5">
        <f>((E8*F8)-I8)*G8*H8</f>
        <v>374.40000000000003</v>
      </c>
    </row>
    <row r="9" spans="2:10" x14ac:dyDescent="0.25">
      <c r="D9" s="16" t="s">
        <v>55</v>
      </c>
      <c r="E9" s="16">
        <v>5</v>
      </c>
      <c r="F9" s="16">
        <f>(F8+F8+H2*2)</f>
        <v>170</v>
      </c>
      <c r="G9" s="16">
        <v>4</v>
      </c>
      <c r="H9" s="16">
        <v>0.35</v>
      </c>
      <c r="I9" s="16"/>
      <c r="J9" s="5">
        <f>F9*G9*H9</f>
        <v>237.99999999999997</v>
      </c>
    </row>
    <row r="10" spans="2:10" x14ac:dyDescent="0.25">
      <c r="D10" s="16" t="s">
        <v>60</v>
      </c>
      <c r="E10" s="16">
        <v>5</v>
      </c>
      <c r="F10" s="16">
        <f>180</f>
        <v>180</v>
      </c>
      <c r="G10" s="16">
        <v>2</v>
      </c>
      <c r="H10" s="16">
        <v>0.35</v>
      </c>
      <c r="I10" s="16"/>
      <c r="J10" s="5"/>
    </row>
    <row r="11" spans="2:10" x14ac:dyDescent="0.25">
      <c r="D11" s="16" t="s">
        <v>9</v>
      </c>
      <c r="E11" s="16"/>
      <c r="F11" s="16"/>
      <c r="G11" s="16"/>
      <c r="H11" s="16"/>
      <c r="I11" s="16"/>
      <c r="J11" s="5">
        <v>5</v>
      </c>
    </row>
    <row r="12" spans="2:10" x14ac:dyDescent="0.25">
      <c r="D12" s="16" t="s">
        <v>10</v>
      </c>
      <c r="E12" s="16"/>
      <c r="F12" s="8">
        <f>E2*4+E13+F7*2</f>
        <v>938</v>
      </c>
      <c r="G12" s="16"/>
      <c r="H12" s="16">
        <v>7.6999999999999999E-2</v>
      </c>
      <c r="I12" s="16"/>
      <c r="J12" s="5">
        <f>H12*F12</f>
        <v>72.225999999999999</v>
      </c>
    </row>
    <row r="13" spans="2:10" x14ac:dyDescent="0.25">
      <c r="D13" s="16" t="s">
        <v>11</v>
      </c>
      <c r="E13" s="16">
        <v>88</v>
      </c>
      <c r="F13" s="16">
        <f>E7*4+5</f>
        <v>365</v>
      </c>
      <c r="G13" s="16">
        <v>1</v>
      </c>
      <c r="H13" s="16">
        <v>7.7999999999999996E-3</v>
      </c>
      <c r="I13" s="16"/>
      <c r="J13" s="5">
        <f>(E13*F13*G13*H13)-I13</f>
        <v>250.536</v>
      </c>
    </row>
    <row r="14" spans="2:10" x14ac:dyDescent="0.25">
      <c r="D14" s="16" t="s">
        <v>64</v>
      </c>
      <c r="E14" s="16">
        <v>173</v>
      </c>
      <c r="F14" s="16">
        <v>241</v>
      </c>
      <c r="G14" s="16">
        <v>2</v>
      </c>
      <c r="H14" s="16">
        <v>7.0000000000000001E-3</v>
      </c>
      <c r="I14" s="16">
        <v>0.95</v>
      </c>
      <c r="J14" s="5"/>
    </row>
    <row r="15" spans="2:10" x14ac:dyDescent="0.25">
      <c r="D15" s="16" t="s">
        <v>13</v>
      </c>
      <c r="E15" s="16">
        <v>1</v>
      </c>
      <c r="F15" s="16">
        <v>130</v>
      </c>
      <c r="G15" s="16">
        <v>1</v>
      </c>
      <c r="H15" s="16">
        <v>0.05</v>
      </c>
      <c r="I15" s="16"/>
      <c r="J15" s="5">
        <f>F15*G15*H15</f>
        <v>6.5</v>
      </c>
    </row>
    <row r="16" spans="2:10" x14ac:dyDescent="0.25">
      <c r="D16" s="18" t="s">
        <v>12</v>
      </c>
      <c r="E16" s="19"/>
      <c r="F16" s="19"/>
      <c r="G16" s="19"/>
      <c r="H16" s="19"/>
      <c r="I16" s="20"/>
      <c r="J16" s="5">
        <f>SUM(J7:J15)</f>
        <v>1652.2620000000002</v>
      </c>
    </row>
    <row r="18" spans="2:4" x14ac:dyDescent="0.25">
      <c r="D18" s="1" t="s">
        <v>50</v>
      </c>
    </row>
    <row r="19" spans="2:4" x14ac:dyDescent="0.25">
      <c r="B19" s="1" t="s">
        <v>45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565F-4970-4D41-B8EC-81D4C60F9480}">
  <dimension ref="B1:K14"/>
  <sheetViews>
    <sheetView workbookViewId="0">
      <selection activeCell="E17" sqref="E17"/>
    </sheetView>
  </sheetViews>
  <sheetFormatPr defaultRowHeight="15" x14ac:dyDescent="0.2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1" ht="30" x14ac:dyDescent="0.25">
      <c r="D1" s="21" t="s">
        <v>36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2:11" x14ac:dyDescent="0.25">
      <c r="D2" s="21"/>
      <c r="E2" s="6">
        <v>90</v>
      </c>
      <c r="F2" s="6">
        <v>140</v>
      </c>
      <c r="G2" s="6">
        <v>90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2:11" x14ac:dyDescent="0.25">
      <c r="D3" s="6" t="s">
        <v>22</v>
      </c>
      <c r="E3" s="22" t="s">
        <v>23</v>
      </c>
      <c r="F3" s="22"/>
      <c r="G3" s="2"/>
      <c r="H3" s="22" t="s">
        <v>24</v>
      </c>
      <c r="I3" s="22"/>
      <c r="J3" s="22"/>
    </row>
    <row r="5" spans="2:11" x14ac:dyDescent="0.25">
      <c r="B5"/>
      <c r="D5" s="22" t="s">
        <v>0</v>
      </c>
      <c r="E5" s="18" t="s">
        <v>2</v>
      </c>
      <c r="F5" s="19"/>
      <c r="G5" s="19"/>
      <c r="H5" s="19"/>
      <c r="I5" s="19"/>
      <c r="J5" s="20"/>
    </row>
    <row r="6" spans="2:11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2:11" x14ac:dyDescent="0.25">
      <c r="D7" s="6" t="s">
        <v>1</v>
      </c>
      <c r="E7" s="6">
        <v>90</v>
      </c>
      <c r="F7" s="6">
        <f>E7+F2*2</f>
        <v>370</v>
      </c>
      <c r="G7" s="6">
        <v>2</v>
      </c>
      <c r="H7" s="6">
        <v>1.4E-2</v>
      </c>
      <c r="I7" s="6"/>
      <c r="J7" s="5">
        <f>(E7*F7*G7*H7)-I7</f>
        <v>932.4</v>
      </c>
    </row>
    <row r="8" spans="2:11" x14ac:dyDescent="0.25">
      <c r="D8" s="6" t="s">
        <v>29</v>
      </c>
      <c r="E8" s="6">
        <v>90</v>
      </c>
      <c r="F8" s="6">
        <v>140</v>
      </c>
      <c r="G8" s="6">
        <v>4</v>
      </c>
      <c r="H8" s="6">
        <v>1.6E-2</v>
      </c>
      <c r="I8" s="5"/>
      <c r="J8" s="5">
        <f>((E8*F8)-I8)*G8*H8</f>
        <v>806.4</v>
      </c>
    </row>
    <row r="9" spans="2:11" x14ac:dyDescent="0.25">
      <c r="D9" s="6" t="s">
        <v>14</v>
      </c>
      <c r="E9" s="6">
        <v>5</v>
      </c>
      <c r="F9" s="6">
        <f>F2*0.33+F2*0.67+H2*2</f>
        <v>190</v>
      </c>
      <c r="G9" s="6">
        <v>4</v>
      </c>
      <c r="H9" s="6">
        <v>0.35</v>
      </c>
      <c r="I9" s="6"/>
      <c r="J9" s="5">
        <f>F9*G9*H9</f>
        <v>266</v>
      </c>
    </row>
    <row r="10" spans="2:11" x14ac:dyDescent="0.25">
      <c r="D10" s="6" t="s">
        <v>9</v>
      </c>
      <c r="E10" s="6"/>
      <c r="F10" s="6"/>
      <c r="G10" s="6"/>
      <c r="H10" s="6"/>
      <c r="I10" s="6"/>
      <c r="J10" s="5">
        <v>5</v>
      </c>
    </row>
    <row r="11" spans="2:11" x14ac:dyDescent="0.25">
      <c r="D11" s="6" t="s">
        <v>10</v>
      </c>
      <c r="E11" s="6"/>
      <c r="F11" s="8">
        <f>F7*2+E12</f>
        <v>818</v>
      </c>
      <c r="G11" s="6"/>
      <c r="H11" s="6">
        <v>7.6999999999999999E-2</v>
      </c>
      <c r="I11" s="6"/>
      <c r="J11" s="5">
        <f>H11*F11</f>
        <v>62.985999999999997</v>
      </c>
    </row>
    <row r="12" spans="2:11" x14ac:dyDescent="0.25">
      <c r="D12" s="6" t="s">
        <v>11</v>
      </c>
      <c r="E12" s="6">
        <v>78</v>
      </c>
      <c r="F12" s="6">
        <f>E7*4+5</f>
        <v>365</v>
      </c>
      <c r="G12" s="6">
        <v>1</v>
      </c>
      <c r="H12" s="6">
        <v>9.4999999999999998E-3</v>
      </c>
      <c r="I12" s="6"/>
      <c r="J12" s="5">
        <f>(E12*F12*G12*H12)-I12</f>
        <v>270.46499999999997</v>
      </c>
    </row>
    <row r="13" spans="2:11" x14ac:dyDescent="0.25">
      <c r="D13" s="6" t="s">
        <v>13</v>
      </c>
      <c r="E13" s="6">
        <v>2</v>
      </c>
      <c r="F13" s="6">
        <v>130</v>
      </c>
      <c r="G13" s="6">
        <v>1</v>
      </c>
      <c r="H13" s="6">
        <v>0.05</v>
      </c>
      <c r="I13" s="6"/>
      <c r="J13" s="5">
        <f>F13*G13*H13</f>
        <v>6.5</v>
      </c>
    </row>
    <row r="14" spans="2:11" x14ac:dyDescent="0.25">
      <c r="D14" s="18" t="s">
        <v>12</v>
      </c>
      <c r="E14" s="19"/>
      <c r="F14" s="19"/>
      <c r="G14" s="19"/>
      <c r="H14" s="19"/>
      <c r="I14" s="20"/>
      <c r="J14" s="5">
        <f>SUM(J7:J13)</f>
        <v>2349.7510000000002</v>
      </c>
    </row>
  </sheetData>
  <mergeCells count="6">
    <mergeCell ref="D14:I14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17" sqref="E17"/>
    </sheetView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E17" sqref="E17"/>
    </sheetView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46E3-28A9-4858-BAE3-EF8FE863A70E}">
  <dimension ref="D1:K16"/>
  <sheetViews>
    <sheetView workbookViewId="0">
      <selection activeCell="E17" sqref="E17"/>
    </sheetView>
  </sheetViews>
  <sheetFormatPr defaultRowHeight="15" x14ac:dyDescent="0.2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4:11" ht="30" x14ac:dyDescent="0.25">
      <c r="D1" s="21" t="s">
        <v>21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4:11" x14ac:dyDescent="0.25">
      <c r="D2" s="21"/>
      <c r="E2" s="6">
        <v>90</v>
      </c>
      <c r="F2" s="6">
        <v>140</v>
      </c>
      <c r="G2" s="6">
        <v>90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4:11" x14ac:dyDescent="0.25">
      <c r="D3" s="6" t="s">
        <v>22</v>
      </c>
      <c r="E3" s="22" t="s">
        <v>28</v>
      </c>
      <c r="F3" s="22"/>
      <c r="G3" s="2"/>
      <c r="H3" s="22" t="s">
        <v>24</v>
      </c>
      <c r="I3" s="22"/>
      <c r="J3" s="22"/>
    </row>
    <row r="5" spans="4:11" x14ac:dyDescent="0.25">
      <c r="D5" s="22" t="s">
        <v>0</v>
      </c>
      <c r="E5" s="18" t="s">
        <v>2</v>
      </c>
      <c r="F5" s="19"/>
      <c r="G5" s="19"/>
      <c r="H5" s="19"/>
      <c r="I5" s="19"/>
      <c r="J5" s="20"/>
    </row>
    <row r="6" spans="4:11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4:11" x14ac:dyDescent="0.25">
      <c r="D7" s="6" t="s">
        <v>1</v>
      </c>
      <c r="E7" s="6">
        <v>90</v>
      </c>
      <c r="F7" s="6">
        <f>140*2+90</f>
        <v>370</v>
      </c>
      <c r="G7" s="6">
        <v>4</v>
      </c>
      <c r="H7" s="6">
        <v>1.4E-2</v>
      </c>
      <c r="I7" s="6"/>
      <c r="J7" s="5">
        <f>(E7*F7*G7*H7)-I7</f>
        <v>1864.8</v>
      </c>
    </row>
    <row r="8" spans="4:11" x14ac:dyDescent="0.25">
      <c r="D8" s="6" t="s">
        <v>29</v>
      </c>
      <c r="E8" s="6">
        <v>90</v>
      </c>
      <c r="F8" s="6">
        <v>140</v>
      </c>
      <c r="G8" s="6">
        <v>1</v>
      </c>
      <c r="H8" s="6">
        <v>1.6E-2</v>
      </c>
      <c r="I8" s="5"/>
      <c r="J8" s="5">
        <f>((E8*F8)-I8)*G8*H8</f>
        <v>201.6</v>
      </c>
    </row>
    <row r="9" spans="4:11" x14ac:dyDescent="0.25">
      <c r="D9" s="6" t="s">
        <v>14</v>
      </c>
      <c r="E9" s="6">
        <v>5</v>
      </c>
      <c r="F9" s="6">
        <f>F2*0.33+F2*0.67+H2*2</f>
        <v>190</v>
      </c>
      <c r="G9" s="6">
        <v>4</v>
      </c>
      <c r="H9" s="6">
        <v>0.35</v>
      </c>
      <c r="I9" s="6"/>
      <c r="J9" s="5">
        <f>F9*G9*H9</f>
        <v>266</v>
      </c>
    </row>
    <row r="10" spans="4:11" x14ac:dyDescent="0.25">
      <c r="D10" s="6" t="s">
        <v>9</v>
      </c>
      <c r="E10" s="6"/>
      <c r="F10" s="6"/>
      <c r="G10" s="6"/>
      <c r="H10" s="6"/>
      <c r="I10" s="6"/>
      <c r="J10" s="5">
        <v>5</v>
      </c>
    </row>
    <row r="11" spans="4:11" x14ac:dyDescent="0.25">
      <c r="D11" s="6" t="s">
        <v>10</v>
      </c>
      <c r="E11" s="6"/>
      <c r="F11" s="8">
        <f>E2*8+F2*4+J2*2+I2*3.14</f>
        <v>1505.6</v>
      </c>
      <c r="G11" s="6"/>
      <c r="H11" s="6">
        <v>7.6999999999999999E-2</v>
      </c>
      <c r="I11" s="6"/>
      <c r="J11" s="5">
        <f>H11*F11</f>
        <v>115.93119999999999</v>
      </c>
    </row>
    <row r="12" spans="4:11" x14ac:dyDescent="0.25">
      <c r="D12" s="6" t="s">
        <v>26</v>
      </c>
      <c r="E12" s="6">
        <v>65</v>
      </c>
      <c r="F12" s="8">
        <v>53</v>
      </c>
      <c r="G12" s="6">
        <v>2</v>
      </c>
      <c r="H12" s="6">
        <v>9.4999999999999998E-3</v>
      </c>
      <c r="I12" s="6"/>
      <c r="J12" s="5"/>
    </row>
    <row r="13" spans="4:11" x14ac:dyDescent="0.25">
      <c r="D13" s="6" t="s">
        <v>27</v>
      </c>
      <c r="E13" s="6">
        <v>65</v>
      </c>
      <c r="F13" s="8">
        <v>53</v>
      </c>
      <c r="G13" s="6">
        <v>2</v>
      </c>
      <c r="H13" s="6">
        <v>9.4999999999999998E-3</v>
      </c>
      <c r="I13" s="6"/>
      <c r="J13" s="5"/>
    </row>
    <row r="14" spans="4:11" x14ac:dyDescent="0.25">
      <c r="D14" s="6" t="s">
        <v>25</v>
      </c>
      <c r="E14" s="6">
        <v>95</v>
      </c>
      <c r="F14" s="6">
        <v>95</v>
      </c>
      <c r="G14" s="6">
        <v>1</v>
      </c>
      <c r="H14" s="6">
        <v>9.4999999999999998E-3</v>
      </c>
      <c r="I14" s="6"/>
      <c r="J14" s="5">
        <f>(E14*F14*G14*H14)-I14</f>
        <v>85.737499999999997</v>
      </c>
    </row>
    <row r="15" spans="4:11" x14ac:dyDescent="0.25">
      <c r="D15" s="6" t="s">
        <v>13</v>
      </c>
      <c r="E15" s="6">
        <v>2</v>
      </c>
      <c r="F15" s="6">
        <v>130</v>
      </c>
      <c r="G15" s="6">
        <v>2</v>
      </c>
      <c r="H15" s="6">
        <v>0.05</v>
      </c>
      <c r="I15" s="6"/>
      <c r="J15" s="5">
        <f>F15*G15*H15</f>
        <v>13</v>
      </c>
    </row>
    <row r="16" spans="4:11" x14ac:dyDescent="0.25">
      <c r="D16" s="18" t="s">
        <v>12</v>
      </c>
      <c r="E16" s="19"/>
      <c r="F16" s="19"/>
      <c r="G16" s="19"/>
      <c r="H16" s="19"/>
      <c r="I16" s="20"/>
      <c r="J16" s="5">
        <f>SUM(J7:J15)</f>
        <v>2552.0687000000003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F8E6-9756-4A68-A72E-598FE026DA4C}">
  <dimension ref="D1:K16"/>
  <sheetViews>
    <sheetView workbookViewId="0">
      <selection activeCell="E17" sqref="E17"/>
    </sheetView>
  </sheetViews>
  <sheetFormatPr defaultRowHeight="15" x14ac:dyDescent="0.2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4:11" ht="30" x14ac:dyDescent="0.25">
      <c r="D1" s="21" t="s">
        <v>20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4:11" x14ac:dyDescent="0.25">
      <c r="D2" s="21"/>
      <c r="E2" s="6">
        <v>110</v>
      </c>
      <c r="F2" s="6">
        <v>140</v>
      </c>
      <c r="G2" s="6">
        <v>110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4:11" ht="30" x14ac:dyDescent="0.25">
      <c r="D3" s="6" t="s">
        <v>22</v>
      </c>
      <c r="E3" s="22" t="s">
        <v>30</v>
      </c>
      <c r="F3" s="22"/>
      <c r="G3" s="2" t="s">
        <v>31</v>
      </c>
      <c r="H3" s="22" t="s">
        <v>24</v>
      </c>
      <c r="I3" s="22"/>
      <c r="J3" s="22"/>
    </row>
    <row r="5" spans="4:11" x14ac:dyDescent="0.25">
      <c r="D5" s="22" t="s">
        <v>0</v>
      </c>
      <c r="E5" s="18" t="s">
        <v>2</v>
      </c>
      <c r="F5" s="19"/>
      <c r="G5" s="19"/>
      <c r="H5" s="19"/>
      <c r="I5" s="19"/>
      <c r="J5" s="20"/>
    </row>
    <row r="6" spans="4:11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4:11" x14ac:dyDescent="0.25">
      <c r="D7" s="6" t="s">
        <v>1</v>
      </c>
      <c r="E7" s="6">
        <v>110</v>
      </c>
      <c r="F7" s="6">
        <v>140</v>
      </c>
      <c r="G7" s="6">
        <v>4</v>
      </c>
      <c r="H7" s="6">
        <v>1.4E-2</v>
      </c>
      <c r="I7" s="6"/>
      <c r="J7" s="5">
        <f>(E7*F7*G7*H7)-I7</f>
        <v>862.4</v>
      </c>
    </row>
    <row r="8" spans="4:11" x14ac:dyDescent="0.25">
      <c r="D8" s="6" t="s">
        <v>8</v>
      </c>
      <c r="E8" s="6">
        <v>115</v>
      </c>
      <c r="F8" s="6">
        <v>115</v>
      </c>
      <c r="G8" s="6">
        <v>1</v>
      </c>
      <c r="H8" s="6">
        <v>1.6E-2</v>
      </c>
      <c r="I8" s="5"/>
      <c r="J8" s="5">
        <f>((E8*F8)-I8)*G8*H8</f>
        <v>211.6</v>
      </c>
    </row>
    <row r="9" spans="4:11" x14ac:dyDescent="0.25">
      <c r="D9" s="6" t="s">
        <v>14</v>
      </c>
      <c r="E9" s="6">
        <v>5</v>
      </c>
      <c r="F9" s="6">
        <f>F7*0.33+F7*0.67+H2*2</f>
        <v>190</v>
      </c>
      <c r="G9" s="6">
        <v>4</v>
      </c>
      <c r="H9" s="6">
        <v>0.35</v>
      </c>
      <c r="I9" s="6"/>
      <c r="J9" s="5">
        <f>F9*G9*H9</f>
        <v>266</v>
      </c>
    </row>
    <row r="10" spans="4:11" x14ac:dyDescent="0.25">
      <c r="D10" s="6" t="s">
        <v>9</v>
      </c>
      <c r="E10" s="6"/>
      <c r="F10" s="6"/>
      <c r="G10" s="6"/>
      <c r="H10" s="6"/>
      <c r="I10" s="6"/>
      <c r="J10" s="5">
        <v>5</v>
      </c>
    </row>
    <row r="11" spans="4:11" x14ac:dyDescent="0.25">
      <c r="D11" s="6" t="s">
        <v>10</v>
      </c>
      <c r="E11" s="6"/>
      <c r="F11" s="8">
        <f>E2*8+F7*4+J2*2+I2*3.14</f>
        <v>1665.6</v>
      </c>
      <c r="G11" s="6"/>
      <c r="H11" s="6">
        <v>7.6999999999999999E-2</v>
      </c>
      <c r="I11" s="6"/>
      <c r="J11" s="5">
        <f>H11*F11</f>
        <v>128.25119999999998</v>
      </c>
    </row>
    <row r="12" spans="4:11" x14ac:dyDescent="0.25">
      <c r="D12" s="6" t="s">
        <v>26</v>
      </c>
      <c r="E12" s="6">
        <v>65</v>
      </c>
      <c r="F12" s="8">
        <v>53</v>
      </c>
      <c r="G12" s="6">
        <v>2</v>
      </c>
      <c r="H12" s="6">
        <v>9.4999999999999998E-3</v>
      </c>
      <c r="I12" s="6"/>
      <c r="J12" s="5"/>
    </row>
    <row r="13" spans="4:11" x14ac:dyDescent="0.25">
      <c r="D13" s="6" t="s">
        <v>27</v>
      </c>
      <c r="E13" s="6">
        <v>65</v>
      </c>
      <c r="F13" s="8">
        <v>53</v>
      </c>
      <c r="G13" s="6">
        <v>2</v>
      </c>
      <c r="H13" s="6">
        <v>9.4999999999999998E-3</v>
      </c>
      <c r="I13" s="6"/>
      <c r="J13" s="5"/>
    </row>
    <row r="14" spans="4:11" x14ac:dyDescent="0.25">
      <c r="D14" s="6" t="s">
        <v>25</v>
      </c>
      <c r="E14" s="6">
        <v>115</v>
      </c>
      <c r="F14" s="6">
        <v>115</v>
      </c>
      <c r="G14" s="6">
        <v>1</v>
      </c>
      <c r="H14" s="6">
        <v>9.4999999999999998E-3</v>
      </c>
      <c r="I14" s="6"/>
      <c r="J14" s="5">
        <f>(E14*F14*G14*H14)-I14</f>
        <v>125.6375</v>
      </c>
    </row>
    <row r="15" spans="4:11" x14ac:dyDescent="0.25">
      <c r="D15" s="6" t="s">
        <v>13</v>
      </c>
      <c r="E15" s="6">
        <v>2</v>
      </c>
      <c r="F15" s="6">
        <v>130</v>
      </c>
      <c r="G15" s="6">
        <v>2</v>
      </c>
      <c r="H15" s="6">
        <v>0.05</v>
      </c>
      <c r="I15" s="6"/>
      <c r="J15" s="5">
        <f>F15*G15*H15</f>
        <v>13</v>
      </c>
    </row>
    <row r="16" spans="4:11" x14ac:dyDescent="0.25">
      <c r="D16" s="18" t="s">
        <v>12</v>
      </c>
      <c r="E16" s="19"/>
      <c r="F16" s="19"/>
      <c r="G16" s="19"/>
      <c r="H16" s="19"/>
      <c r="I16" s="20"/>
      <c r="J16" s="5">
        <f>SUM(J7:J15)</f>
        <v>1611.8887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95925-5FF2-4F6B-87C5-0CCC095E88A5}">
  <dimension ref="D1:K16"/>
  <sheetViews>
    <sheetView workbookViewId="0">
      <selection activeCell="E17" sqref="E17"/>
    </sheetView>
  </sheetViews>
  <sheetFormatPr defaultRowHeight="15" x14ac:dyDescent="0.2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4:11" ht="30" x14ac:dyDescent="0.25">
      <c r="D1" s="21" t="s">
        <v>21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4:11" x14ac:dyDescent="0.25">
      <c r="D2" s="21"/>
      <c r="E2" s="6">
        <v>110</v>
      </c>
      <c r="F2" s="6">
        <v>140</v>
      </c>
      <c r="G2" s="6">
        <v>110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4:11" x14ac:dyDescent="0.25">
      <c r="D3" s="6" t="s">
        <v>22</v>
      </c>
      <c r="E3" s="22" t="s">
        <v>32</v>
      </c>
      <c r="F3" s="22"/>
      <c r="G3" s="2"/>
      <c r="H3" s="22" t="s">
        <v>24</v>
      </c>
      <c r="I3" s="22"/>
      <c r="J3" s="22"/>
    </row>
    <row r="5" spans="4:11" x14ac:dyDescent="0.25">
      <c r="D5" s="22" t="s">
        <v>0</v>
      </c>
      <c r="E5" s="18" t="s">
        <v>2</v>
      </c>
      <c r="F5" s="19"/>
      <c r="G5" s="19"/>
      <c r="H5" s="19"/>
      <c r="I5" s="19"/>
      <c r="J5" s="20"/>
    </row>
    <row r="6" spans="4:11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4:11" x14ac:dyDescent="0.25">
      <c r="D7" s="6" t="s">
        <v>1</v>
      </c>
      <c r="E7" s="6">
        <v>110</v>
      </c>
      <c r="F7" s="6">
        <f>140*2+E7</f>
        <v>390</v>
      </c>
      <c r="G7" s="6">
        <v>4</v>
      </c>
      <c r="H7" s="6">
        <v>1.4E-2</v>
      </c>
      <c r="I7" s="6"/>
      <c r="J7" s="5">
        <f>(E7*F7*G7*H7)-I7</f>
        <v>2402.4</v>
      </c>
    </row>
    <row r="8" spans="4:11" x14ac:dyDescent="0.25">
      <c r="D8" s="6" t="s">
        <v>29</v>
      </c>
      <c r="E8" s="6">
        <v>110</v>
      </c>
      <c r="F8" s="6">
        <v>140</v>
      </c>
      <c r="G8" s="6">
        <v>1</v>
      </c>
      <c r="H8" s="6">
        <v>1.6E-2</v>
      </c>
      <c r="I8" s="5"/>
      <c r="J8" s="5">
        <f>((E8*F8)-I8)*G8*H8</f>
        <v>246.4</v>
      </c>
    </row>
    <row r="9" spans="4:11" x14ac:dyDescent="0.25">
      <c r="D9" s="6" t="s">
        <v>14</v>
      </c>
      <c r="E9" s="6">
        <v>5</v>
      </c>
      <c r="F9" s="6">
        <f>F2*0.33+F2*0.67+H2*2</f>
        <v>190</v>
      </c>
      <c r="G9" s="6">
        <v>4</v>
      </c>
      <c r="H9" s="6">
        <v>0.35</v>
      </c>
      <c r="I9" s="6"/>
      <c r="J9" s="5">
        <f>F9*G9*H9</f>
        <v>266</v>
      </c>
    </row>
    <row r="10" spans="4:11" x14ac:dyDescent="0.25">
      <c r="D10" s="6" t="s">
        <v>9</v>
      </c>
      <c r="E10" s="6"/>
      <c r="F10" s="6"/>
      <c r="G10" s="6"/>
      <c r="H10" s="6"/>
      <c r="I10" s="6"/>
      <c r="J10" s="5">
        <v>5</v>
      </c>
    </row>
    <row r="11" spans="4:11" x14ac:dyDescent="0.25">
      <c r="D11" s="6" t="s">
        <v>10</v>
      </c>
      <c r="E11" s="6"/>
      <c r="F11" s="8">
        <f>E2*8+F2*4+J2*2+I2*3.14</f>
        <v>1665.6</v>
      </c>
      <c r="G11" s="6"/>
      <c r="H11" s="6">
        <v>7.6999999999999999E-2</v>
      </c>
      <c r="I11" s="6"/>
      <c r="J11" s="5">
        <f>H11*F11</f>
        <v>128.25119999999998</v>
      </c>
    </row>
    <row r="12" spans="4:11" x14ac:dyDescent="0.25">
      <c r="D12" s="6" t="s">
        <v>26</v>
      </c>
      <c r="E12" s="6">
        <v>65</v>
      </c>
      <c r="F12" s="8">
        <v>53</v>
      </c>
      <c r="G12" s="6">
        <v>2</v>
      </c>
      <c r="H12" s="6">
        <v>9.4999999999999998E-3</v>
      </c>
      <c r="I12" s="6"/>
      <c r="J12" s="5"/>
    </row>
    <row r="13" spans="4:11" x14ac:dyDescent="0.25">
      <c r="D13" s="6" t="s">
        <v>27</v>
      </c>
      <c r="E13" s="6">
        <v>65</v>
      </c>
      <c r="F13" s="8">
        <v>53</v>
      </c>
      <c r="G13" s="6">
        <v>2</v>
      </c>
      <c r="H13" s="6">
        <v>9.4999999999999998E-3</v>
      </c>
      <c r="I13" s="6"/>
      <c r="J13" s="5"/>
    </row>
    <row r="14" spans="4:11" x14ac:dyDescent="0.25">
      <c r="D14" s="6" t="s">
        <v>25</v>
      </c>
      <c r="E14" s="6">
        <v>115</v>
      </c>
      <c r="F14" s="6">
        <v>115</v>
      </c>
      <c r="G14" s="6">
        <v>1</v>
      </c>
      <c r="H14" s="6">
        <v>9.4999999999999998E-3</v>
      </c>
      <c r="I14" s="6"/>
      <c r="J14" s="5">
        <f>(E14*F14*G14*H14)-I14</f>
        <v>125.6375</v>
      </c>
    </row>
    <row r="15" spans="4:11" x14ac:dyDescent="0.25">
      <c r="D15" s="6" t="s">
        <v>13</v>
      </c>
      <c r="E15" s="6">
        <v>2</v>
      </c>
      <c r="F15" s="6">
        <v>130</v>
      </c>
      <c r="G15" s="6">
        <v>2</v>
      </c>
      <c r="H15" s="6">
        <v>0.05</v>
      </c>
      <c r="I15" s="6"/>
      <c r="J15" s="5">
        <f>F15*G15*H15</f>
        <v>13</v>
      </c>
    </row>
    <row r="16" spans="4:11" x14ac:dyDescent="0.25">
      <c r="D16" s="18" t="s">
        <v>12</v>
      </c>
      <c r="E16" s="19"/>
      <c r="F16" s="19"/>
      <c r="G16" s="19"/>
      <c r="H16" s="19"/>
      <c r="I16" s="20"/>
      <c r="J16" s="5">
        <f>SUM(J7:J15)</f>
        <v>3186.6887000000002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D635-CD55-4B16-B402-093026EED0E3}">
  <dimension ref="B1:K14"/>
  <sheetViews>
    <sheetView workbookViewId="0">
      <selection activeCell="E17" sqref="E17"/>
    </sheetView>
  </sheetViews>
  <sheetFormatPr defaultRowHeight="15" x14ac:dyDescent="0.2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1" ht="30" x14ac:dyDescent="0.25">
      <c r="D1" s="21" t="s">
        <v>34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2:11" x14ac:dyDescent="0.25">
      <c r="D2" s="21"/>
      <c r="E2" s="6">
        <v>90</v>
      </c>
      <c r="F2" s="6">
        <v>120</v>
      </c>
      <c r="G2" s="6">
        <v>90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2:11" ht="30" x14ac:dyDescent="0.25">
      <c r="D3" s="6" t="s">
        <v>22</v>
      </c>
      <c r="E3" s="22" t="s">
        <v>23</v>
      </c>
      <c r="F3" s="22"/>
      <c r="G3" s="2" t="s">
        <v>33</v>
      </c>
      <c r="H3" s="22" t="s">
        <v>24</v>
      </c>
      <c r="I3" s="22"/>
      <c r="J3" s="22"/>
    </row>
    <row r="5" spans="2:11" x14ac:dyDescent="0.25">
      <c r="B5"/>
      <c r="D5" s="22" t="s">
        <v>0</v>
      </c>
      <c r="E5" s="18" t="s">
        <v>2</v>
      </c>
      <c r="F5" s="19"/>
      <c r="G5" s="19"/>
      <c r="H5" s="19"/>
      <c r="I5" s="19"/>
      <c r="J5" s="20"/>
    </row>
    <row r="6" spans="2:11" ht="30" x14ac:dyDescent="0.25">
      <c r="D6" s="22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2:11" x14ac:dyDescent="0.25">
      <c r="D7" s="6" t="s">
        <v>1</v>
      </c>
      <c r="E7" s="6">
        <v>90</v>
      </c>
      <c r="F7" s="6">
        <v>120</v>
      </c>
      <c r="G7" s="6">
        <v>4</v>
      </c>
      <c r="H7" s="6">
        <v>1.4E-2</v>
      </c>
      <c r="I7" s="6"/>
      <c r="J7" s="6">
        <f>(E7*F7*G7*H7)-I7</f>
        <v>604.80000000000007</v>
      </c>
    </row>
    <row r="8" spans="2:11" x14ac:dyDescent="0.25">
      <c r="D8" s="6" t="s">
        <v>8</v>
      </c>
      <c r="E8" s="6">
        <v>95</v>
      </c>
      <c r="F8" s="6">
        <v>95</v>
      </c>
      <c r="G8" s="6">
        <v>1</v>
      </c>
      <c r="H8" s="6">
        <v>1.6E-2</v>
      </c>
      <c r="I8" s="5"/>
      <c r="J8" s="4">
        <f>((E8*F8)-I8)*G8*H8</f>
        <v>144.4</v>
      </c>
    </row>
    <row r="9" spans="2:11" x14ac:dyDescent="0.25">
      <c r="D9" s="6" t="s">
        <v>14</v>
      </c>
      <c r="E9" s="6">
        <v>5</v>
      </c>
      <c r="F9" s="6">
        <f>F7*0.33+F7*0.67+H2*2</f>
        <v>170</v>
      </c>
      <c r="G9" s="6">
        <v>4</v>
      </c>
      <c r="H9" s="6">
        <v>0.35</v>
      </c>
      <c r="I9" s="6"/>
      <c r="J9" s="6">
        <f>F9*G9*H9</f>
        <v>237.99999999999997</v>
      </c>
    </row>
    <row r="10" spans="2:11" x14ac:dyDescent="0.25">
      <c r="D10" s="6" t="s">
        <v>9</v>
      </c>
      <c r="E10" s="6"/>
      <c r="F10" s="6"/>
      <c r="G10" s="6"/>
      <c r="H10" s="6"/>
      <c r="I10" s="6"/>
      <c r="J10" s="6">
        <v>5</v>
      </c>
    </row>
    <row r="11" spans="2:11" x14ac:dyDescent="0.25">
      <c r="D11" s="6" t="s">
        <v>10</v>
      </c>
      <c r="E11" s="6"/>
      <c r="F11" s="8">
        <f>E2*8+E12</f>
        <v>808</v>
      </c>
      <c r="G11" s="6"/>
      <c r="H11" s="6">
        <v>7.6999999999999999E-2</v>
      </c>
      <c r="I11" s="6"/>
      <c r="J11" s="6">
        <f>H11*F11</f>
        <v>62.216000000000001</v>
      </c>
    </row>
    <row r="12" spans="2:11" x14ac:dyDescent="0.25">
      <c r="D12" s="6" t="s">
        <v>11</v>
      </c>
      <c r="E12" s="6">
        <v>88</v>
      </c>
      <c r="F12" s="6">
        <f>E7*4+5</f>
        <v>365</v>
      </c>
      <c r="G12" s="6">
        <v>1</v>
      </c>
      <c r="H12" s="6">
        <v>9.4999999999999998E-3</v>
      </c>
      <c r="I12" s="6"/>
      <c r="J12" s="4">
        <f>(E12*F12*G12*H12)-I12</f>
        <v>305.14</v>
      </c>
    </row>
    <row r="13" spans="2:11" x14ac:dyDescent="0.25">
      <c r="D13" s="6" t="s">
        <v>13</v>
      </c>
      <c r="E13" s="6">
        <v>2</v>
      </c>
      <c r="F13" s="6">
        <v>130</v>
      </c>
      <c r="G13" s="6">
        <v>1</v>
      </c>
      <c r="H13" s="6">
        <v>0.05</v>
      </c>
      <c r="I13" s="6"/>
      <c r="J13" s="6">
        <f>F13*G13*H13</f>
        <v>6.5</v>
      </c>
    </row>
    <row r="14" spans="2:11" x14ac:dyDescent="0.25">
      <c r="D14" s="18" t="s">
        <v>12</v>
      </c>
      <c r="E14" s="19"/>
      <c r="F14" s="19"/>
      <c r="G14" s="19"/>
      <c r="H14" s="19"/>
      <c r="I14" s="20"/>
      <c r="J14" s="5">
        <f>SUM(J7:J13)</f>
        <v>1366.056</v>
      </c>
    </row>
  </sheetData>
  <mergeCells count="6">
    <mergeCell ref="D14:I14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B646E-CC4D-4747-BA47-E9DBC8BF64D5}">
  <dimension ref="A1"/>
  <sheetViews>
    <sheetView workbookViewId="0">
      <selection activeCell="E17" sqref="E17"/>
    </sheetView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AAE2-C7F7-4C4E-BFDA-490F8671ADD2}">
  <dimension ref="A1"/>
  <sheetViews>
    <sheetView workbookViewId="0">
      <selection activeCell="E17" sqref="E17"/>
    </sheetView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90-90-140(1)</vt:lpstr>
      <vt:lpstr>90-90-140(2)</vt:lpstr>
      <vt:lpstr>90-90-140(3)</vt:lpstr>
      <vt:lpstr>110-110-140(1)</vt:lpstr>
      <vt:lpstr>110-110-140(2)</vt:lpstr>
      <vt:lpstr>90-90-120(1)</vt:lpstr>
      <vt:lpstr>90-90-120 (2)</vt:lpstr>
      <vt:lpstr>80-80-120(1)</vt:lpstr>
      <vt:lpstr>80-80-120 (2)</vt:lpstr>
      <vt:lpstr>110-110-105-4 (2)</vt:lpstr>
      <vt:lpstr>ERG 150</vt:lpstr>
      <vt:lpstr>90-90-150-2</vt:lpstr>
      <vt:lpstr>90-90-100-2 </vt:lpstr>
      <vt:lpstr>Лист7</vt:lpstr>
      <vt:lpstr>ERG 150 с вкл</vt:lpstr>
      <vt:lpstr>ERG 170 </vt:lpstr>
      <vt:lpstr>ERG вкл</vt:lpstr>
      <vt:lpstr>ERG без вкл</vt:lpstr>
      <vt:lpstr>90-90-140 (2)</vt:lpstr>
      <vt:lpstr>Лист2</vt:lpstr>
      <vt:lpstr>Лист3</vt:lpstr>
      <vt:lpstr>90-90-140(4)</vt:lpstr>
      <vt:lpstr>110-110-140(3)</vt:lpstr>
      <vt:lpstr>110-110-140(4)</vt:lpstr>
      <vt:lpstr>90-90-120(2)</vt:lpstr>
      <vt:lpstr>Лист2 (2)</vt:lpstr>
      <vt:lpstr>Лист3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2026-02-13T06:08:21Z</dcterms:modified>
</cp:coreProperties>
</file>