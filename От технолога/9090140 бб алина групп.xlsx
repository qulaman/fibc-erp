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65" yWindow="180" windowWidth="15120" windowHeight="8010" firstSheet="3" activeTab="8"/>
  </bookViews>
  <sheets>
    <sheet name="план продаж" sheetId="1" r:id="rId1"/>
    <sheet name="сырье" sheetId="6" r:id="rId2"/>
    <sheet name="план производства" sheetId="2" r:id="rId3"/>
    <sheet name="МФН нити прошивочные" sheetId="5" r:id="rId4"/>
    <sheet name="лента" sheetId="3" r:id="rId5"/>
    <sheet name="чехол стропа" sheetId="4" r:id="rId6"/>
    <sheet name="ткацкий" sheetId="7" r:id="rId7"/>
    <sheet name="экструзия" sheetId="8" r:id="rId8"/>
    <sheet name="расчет веса" sheetId="9" r:id="rId9"/>
    <sheet name="зк" sheetId="10" r:id="rId10"/>
  </sheets>
  <externalReferences>
    <externalReference r:id="rId11"/>
  </externalReferences>
  <calcPr calcId="124519"/>
</workbook>
</file>

<file path=xl/calcChain.xml><?xml version="1.0" encoding="utf-8"?>
<calcChain xmlns="http://schemas.openxmlformats.org/spreadsheetml/2006/main">
  <c r="F7" i="9"/>
  <c r="E7"/>
  <c r="J2"/>
  <c r="F13" s="1"/>
  <c r="I2"/>
  <c r="E13" s="1"/>
  <c r="H2"/>
  <c r="G2"/>
  <c r="F2"/>
  <c r="F9" s="1"/>
  <c r="J9" s="1"/>
  <c r="E2"/>
  <c r="T2" i="5"/>
  <c r="R2" i="3"/>
  <c r="V2" i="7"/>
  <c r="V3"/>
  <c r="J14" i="9"/>
  <c r="J8"/>
  <c r="F11" l="1"/>
  <c r="J11" s="1"/>
  <c r="J13"/>
  <c r="J7"/>
  <c r="J15" l="1"/>
  <c r="F3" i="8" l="1"/>
  <c r="K3"/>
  <c r="I2"/>
  <c r="H3"/>
  <c r="E3"/>
  <c r="D3"/>
  <c r="C3"/>
  <c r="B3"/>
  <c r="A3"/>
  <c r="K2" l="1"/>
  <c r="J2"/>
  <c r="F2"/>
  <c r="E2"/>
  <c r="D2"/>
  <c r="C2"/>
  <c r="B2"/>
  <c r="A2"/>
  <c r="R3" i="3"/>
  <c r="L3"/>
  <c r="K3"/>
  <c r="J3"/>
  <c r="W3" i="7"/>
  <c r="G3" i="8" s="1"/>
  <c r="Y3" s="1"/>
  <c r="P3" i="7"/>
  <c r="L3"/>
  <c r="M3"/>
  <c r="N3"/>
  <c r="O3"/>
  <c r="F3"/>
  <c r="S2"/>
  <c r="S3" s="1"/>
  <c r="R2"/>
  <c r="R3" s="1"/>
  <c r="H2"/>
  <c r="H3" s="1"/>
  <c r="I2"/>
  <c r="I3" s="1"/>
  <c r="J2"/>
  <c r="J3" s="1"/>
  <c r="K2"/>
  <c r="H2" i="8" s="1"/>
  <c r="G2" i="7"/>
  <c r="B2"/>
  <c r="B3" s="1"/>
  <c r="C2"/>
  <c r="C3" s="1"/>
  <c r="D2"/>
  <c r="D3" s="1"/>
  <c r="E2"/>
  <c r="E3" s="1"/>
  <c r="A2"/>
  <c r="A3" s="1"/>
  <c r="I2" i="4"/>
  <c r="H2"/>
  <c r="G2"/>
  <c r="F2"/>
  <c r="E2"/>
  <c r="D2"/>
  <c r="C2"/>
  <c r="B2"/>
  <c r="A2"/>
  <c r="N2" i="3"/>
  <c r="N3" s="1"/>
  <c r="O2"/>
  <c r="O3" s="1"/>
  <c r="P2"/>
  <c r="P3" s="1"/>
  <c r="M2"/>
  <c r="M3" s="1"/>
  <c r="I2"/>
  <c r="I3" s="1"/>
  <c r="H2"/>
  <c r="H3" s="1"/>
  <c r="G2"/>
  <c r="G3" s="1"/>
  <c r="F2"/>
  <c r="F3" s="1"/>
  <c r="E2"/>
  <c r="E3" s="1"/>
  <c r="D2"/>
  <c r="D3" s="1"/>
  <c r="C2"/>
  <c r="C3" s="1"/>
  <c r="B2"/>
  <c r="B3" s="1"/>
  <c r="A2"/>
  <c r="A3" s="1"/>
  <c r="S2" i="5"/>
  <c r="M2"/>
  <c r="L2"/>
  <c r="K2"/>
  <c r="J2"/>
  <c r="G2"/>
  <c r="F2"/>
  <c r="E2"/>
  <c r="D2"/>
  <c r="C2"/>
  <c r="B2"/>
  <c r="A2"/>
  <c r="H2" i="2"/>
  <c r="F2"/>
  <c r="F8" s="1"/>
  <c r="J8" s="1"/>
  <c r="A2"/>
  <c r="B2"/>
  <c r="C2"/>
  <c r="E2"/>
  <c r="D2"/>
  <c r="M2" i="1"/>
  <c r="O2"/>
  <c r="C8" i="6"/>
  <c r="C7"/>
  <c r="U3" i="8"/>
  <c r="W3"/>
  <c r="V3"/>
  <c r="I9" i="2"/>
  <c r="J9" s="1"/>
  <c r="X3" i="8" l="1"/>
  <c r="C6" i="6" s="1"/>
  <c r="W2" i="7"/>
  <c r="G2" i="8" s="1"/>
  <c r="I7" i="2"/>
  <c r="W2" i="8" l="1"/>
  <c r="V2" l="1"/>
  <c r="U2" l="1"/>
  <c r="I6" i="2" l="1"/>
  <c r="C6"/>
  <c r="O2" i="4"/>
  <c r="P2" s="1"/>
  <c r="I5" i="2"/>
  <c r="F5"/>
  <c r="I2"/>
  <c r="J2" s="1"/>
  <c r="I3"/>
  <c r="J3" s="1"/>
  <c r="I4"/>
  <c r="J4" s="1"/>
  <c r="F6" l="1"/>
  <c r="J6" s="1"/>
  <c r="X2" i="8"/>
  <c r="J5" i="2"/>
  <c r="C2" i="6"/>
  <c r="Y2" i="8" l="1"/>
  <c r="F7" i="2" s="1"/>
  <c r="C4" i="6" l="1"/>
  <c r="C5"/>
  <c r="C3"/>
  <c r="J7" i="2"/>
</calcChain>
</file>

<file path=xl/sharedStrings.xml><?xml version="1.0" encoding="utf-8"?>
<sst xmlns="http://schemas.openxmlformats.org/spreadsheetml/2006/main" count="249" uniqueCount="154">
  <si>
    <t>Код_изделия</t>
  </si>
  <si>
    <t>Наименование</t>
  </si>
  <si>
    <t>Тип</t>
  </si>
  <si>
    <t>Количество</t>
  </si>
  <si>
    <t>Документ_основание</t>
  </si>
  <si>
    <t>FIBC-2S-1000</t>
  </si>
  <si>
    <t>Биг-бег 2-стропный 1000 кг</t>
  </si>
  <si>
    <t>Биг-бег</t>
  </si>
  <si>
    <t>FIBC-4S-1500</t>
  </si>
  <si>
    <t>Биг-бег 4-стропный 1500 кг</t>
  </si>
  <si>
    <t>QC-00004</t>
  </si>
  <si>
    <t>QC-00005</t>
  </si>
  <si>
    <t>пошив_стропы</t>
  </si>
  <si>
    <t>2/3</t>
  </si>
  <si>
    <t>Размеры_ширина_МКР_см</t>
  </si>
  <si>
    <t>Размеры_высота_МКР_см</t>
  </si>
  <si>
    <t>Размеры_дно_МКР_см</t>
  </si>
  <si>
    <t>Размеры_высота_стромпы_петли_МКР_см</t>
  </si>
  <si>
    <t>поверхностная_плотность _полотна_гр/м2</t>
  </si>
  <si>
    <t>Структура_плетения_полотна</t>
  </si>
  <si>
    <t>шахматка</t>
  </si>
  <si>
    <t>обычное</t>
  </si>
  <si>
    <t>произведено_шт</t>
  </si>
  <si>
    <t>Количество_шт</t>
  </si>
  <si>
    <t>вес_10 см_шва</t>
  </si>
  <si>
    <t>размеры_МКР</t>
  </si>
  <si>
    <t>90/90/140(180)</t>
  </si>
  <si>
    <t>60/60/145(120)</t>
  </si>
  <si>
    <t>-</t>
  </si>
  <si>
    <t>Код_сырья</t>
  </si>
  <si>
    <t>Исполнение</t>
  </si>
  <si>
    <t>верх открытый, дно звезда</t>
  </si>
  <si>
    <t>количество_для_производства_кг</t>
  </si>
  <si>
    <t>Количество_кг</t>
  </si>
  <si>
    <t>МФН нить</t>
  </si>
  <si>
    <t>ПП 030</t>
  </si>
  <si>
    <t>Карбонат кальция</t>
  </si>
  <si>
    <t>УФ стабилизатор</t>
  </si>
  <si>
    <t>ПП 270</t>
  </si>
  <si>
    <t>ПЭ ПВД</t>
  </si>
  <si>
    <t>лента_для исполнения_кг</t>
  </si>
  <si>
    <t>Количество_лент</t>
  </si>
  <si>
    <t>вес_1_метра_стропы_кг</t>
  </si>
  <si>
    <t>%_исполнения</t>
  </si>
  <si>
    <t>плоскоткацкий</t>
  </si>
  <si>
    <t>размеры_см</t>
  </si>
  <si>
    <t>лента</t>
  </si>
  <si>
    <t>ST-50-BLUE</t>
  </si>
  <si>
    <t>Стропа 50мм голубая</t>
  </si>
  <si>
    <t>вес_1_шт_кг</t>
  </si>
  <si>
    <t>Количество_строп</t>
  </si>
  <si>
    <t>защитный слой стропы  ламинат  синий</t>
  </si>
  <si>
    <t>30/30(90)</t>
  </si>
  <si>
    <t>PL-00001-BLUE</t>
  </si>
  <si>
    <t>пплам полотно синее</t>
  </si>
  <si>
    <t>TK-150-140-WHT</t>
  </si>
  <si>
    <t>Ткань рукав 150см 140г/м² белая</t>
  </si>
  <si>
    <t>Код_ткани</t>
  </si>
  <si>
    <t>наименование</t>
  </si>
  <si>
    <t>Длина-заготовки_1шт_м</t>
  </si>
  <si>
    <t>длина_на_исполнение_заказа_м</t>
  </si>
  <si>
    <t>полотно_количество_слоев_шт</t>
  </si>
  <si>
    <t>TK-WHT</t>
  </si>
  <si>
    <t>Ткань рукав белая</t>
  </si>
  <si>
    <t>нить_основа_мм</t>
  </si>
  <si>
    <t>нить_основа_Дн</t>
  </si>
  <si>
    <t>количество_нити_основы_на_10см_шт</t>
  </si>
  <si>
    <t>нить_уток_мм</t>
  </si>
  <si>
    <t>нить_уток_Дн</t>
  </si>
  <si>
    <t>количество_нити_утка_на_10см_шт</t>
  </si>
  <si>
    <t>плотность_полотна_гр/м2</t>
  </si>
  <si>
    <t>ширина_полотна_в_развороте_м</t>
  </si>
  <si>
    <t>ширина полотна_в_развороте_мм</t>
  </si>
  <si>
    <t>плотность_полотна_математически_расчетная_гр/м2</t>
  </si>
  <si>
    <t>денье_м</t>
  </si>
  <si>
    <t>разрывная_основы_КГС</t>
  </si>
  <si>
    <t>разрывная_утка_КГС</t>
  </si>
  <si>
    <t>нить_основы_кг</t>
  </si>
  <si>
    <t>нить_оутка_кг</t>
  </si>
  <si>
    <t>количество_нитей_основы_на_заправку_шт</t>
  </si>
  <si>
    <t>NIT-1800-WHT</t>
  </si>
  <si>
    <t>код_нити_утка</t>
  </si>
  <si>
    <t>код_нити_основы</t>
  </si>
  <si>
    <t>NIT-WHT</t>
  </si>
  <si>
    <t>нить</t>
  </si>
  <si>
    <t>раскрой</t>
  </si>
  <si>
    <t>крой</t>
  </si>
  <si>
    <t>TK-98-72-WHT</t>
  </si>
  <si>
    <t>краситель синий</t>
  </si>
  <si>
    <t>ед_измерения</t>
  </si>
  <si>
    <t>шт</t>
  </si>
  <si>
    <t>кг</t>
  </si>
  <si>
    <t>м</t>
  </si>
  <si>
    <t>верх загр, дно выгр</t>
  </si>
  <si>
    <t>высота_загр_рукава_см</t>
  </si>
  <si>
    <t>высота_выгр_рыкава_см</t>
  </si>
  <si>
    <t>диаметр_загр_см</t>
  </si>
  <si>
    <t>диаметр_выгр_см</t>
  </si>
  <si>
    <r>
      <rPr>
        <b/>
        <sz val="14"/>
        <color rgb="FFFFFFFF"/>
        <rFont val="Calibri"/>
        <family val="2"/>
        <charset val="204"/>
      </rPr>
      <t>¶</t>
    </r>
    <r>
      <rPr>
        <b/>
        <sz val="11.2"/>
        <color rgb="FFFFFFFF"/>
        <rFont val="Roboto"/>
      </rPr>
      <t>=3,14</t>
    </r>
  </si>
  <si>
    <t>TK-90-185-WHT</t>
  </si>
  <si>
    <t>Ткань фальц 90см 185г/м² белая</t>
  </si>
  <si>
    <t>длина_ленточки_20мм_см</t>
  </si>
  <si>
    <t>количеств_ленточеко</t>
  </si>
  <si>
    <t>NIT-1850-WHT</t>
  </si>
  <si>
    <t>Ткань рукав 196см 72г/м² беж</t>
  </si>
  <si>
    <t>NIT-950-BEJ</t>
  </si>
  <si>
    <t>ширина, см</t>
  </si>
  <si>
    <t>высота, см</t>
  </si>
  <si>
    <t>дно, см</t>
  </si>
  <si>
    <t>петля, см</t>
  </si>
  <si>
    <t xml:space="preserve">ВИД рулона </t>
  </si>
  <si>
    <t>Полотно - РПП 110 см - 140 гр\м2</t>
  </si>
  <si>
    <t>ППЛ беж 98см 72 гр\м2+23 гр\м2 лам</t>
  </si>
  <si>
    <t xml:space="preserve">Наименование </t>
  </si>
  <si>
    <t>параметры</t>
  </si>
  <si>
    <t>длина, см</t>
  </si>
  <si>
    <t>количество слоев, шт</t>
  </si>
  <si>
    <t>повенрхностная плотность полотна</t>
  </si>
  <si>
    <t>вес, гр</t>
  </si>
  <si>
    <t>полотно</t>
  </si>
  <si>
    <t>стропа 2/3</t>
  </si>
  <si>
    <t>инф карман а 4</t>
  </si>
  <si>
    <t>нить на пошив</t>
  </si>
  <si>
    <t>узкая лента</t>
  </si>
  <si>
    <t>итого, вес</t>
  </si>
  <si>
    <t>МКР габаритные размеры</t>
  </si>
  <si>
    <t>загр/выгр диаметр</t>
  </si>
  <si>
    <t>загр/выгр высота</t>
  </si>
  <si>
    <t>загр/выгр</t>
  </si>
  <si>
    <t>дно</t>
  </si>
  <si>
    <t>крышка</t>
  </si>
  <si>
    <t>Заправочная карта круглоткацкого станка (36 секторов)</t>
  </si>
  <si>
    <t>№ станка</t>
  </si>
  <si>
    <t>_______</t>
  </si>
  <si>
    <t>Ширина полотна</t>
  </si>
  <si>
    <r>
      <rPr>
        <u/>
        <sz val="18"/>
        <color theme="1"/>
        <rFont val="Times New Roman"/>
        <family val="1"/>
        <charset val="204"/>
      </rPr>
      <t xml:space="preserve">  90 </t>
    </r>
    <r>
      <rPr>
        <sz val="11"/>
        <color theme="1"/>
        <rFont val="Times New Roman"/>
        <family val="1"/>
        <charset val="204"/>
      </rPr>
      <t>СМ</t>
    </r>
  </si>
  <si>
    <t xml:space="preserve">Поверхностная плотность полотна </t>
  </si>
  <si>
    <t xml:space="preserve">Вес погонного метра полотна </t>
  </si>
  <si>
    <t>Количество нитей основы</t>
  </si>
  <si>
    <t xml:space="preserve">Параметры нити основы </t>
  </si>
  <si>
    <t>Параметры нити утка</t>
  </si>
  <si>
    <t>Плотность плетения на 10 см основа /уток</t>
  </si>
  <si>
    <t>40/48</t>
  </si>
  <si>
    <t>Вид полотна</t>
  </si>
  <si>
    <t>Диаметр кольца</t>
  </si>
  <si>
    <t>сектор</t>
  </si>
  <si>
    <t>верх</t>
  </si>
  <si>
    <t>низ</t>
  </si>
  <si>
    <t>Ответственное  лицо________________________</t>
  </si>
  <si>
    <r>
      <rPr>
        <u/>
        <sz val="18"/>
        <color theme="1"/>
        <rFont val="Times New Roman"/>
        <family val="1"/>
        <charset val="204"/>
      </rPr>
      <t xml:space="preserve"> 180  </t>
    </r>
    <r>
      <rPr>
        <sz val="18"/>
        <color theme="1"/>
        <rFont val="Times New Roman"/>
        <family val="1"/>
        <charset val="204"/>
      </rPr>
      <t>гр/м</t>
    </r>
    <r>
      <rPr>
        <sz val="18"/>
        <color theme="1"/>
        <rFont val="Calibri"/>
        <family val="2"/>
        <charset val="204"/>
      </rPr>
      <t>²</t>
    </r>
  </si>
  <si>
    <t>648,0  гр/п/м</t>
  </si>
  <si>
    <t>1440шт</t>
  </si>
  <si>
    <t>2,5 мм – 1850 Дн</t>
  </si>
  <si>
    <t>4,5  мм – 1800 Дн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</si>
</sst>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4">
    <font>
      <sz val="11"/>
      <color theme="1"/>
      <name val="Calibri"/>
      <family val="2"/>
      <charset val="204"/>
      <scheme val="minor"/>
    </font>
    <font>
      <b/>
      <sz val="14"/>
      <color rgb="FFFFFFFF"/>
      <name val="Roboto"/>
    </font>
    <font>
      <sz val="10"/>
      <color theme="1"/>
      <name val="Arial"/>
      <family val="2"/>
      <charset val="204"/>
    </font>
    <font>
      <sz val="10"/>
      <color rgb="FFFFFFFF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4"/>
      <color rgb="FFFFFFFF"/>
      <name val="Calibri"/>
      <family val="2"/>
      <charset val="204"/>
    </font>
    <font>
      <b/>
      <sz val="11.2"/>
      <color rgb="FFFFFFFF"/>
      <name val="Roboto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</font>
    <font>
      <u/>
      <sz val="11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98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165" fontId="2" fillId="0" borderId="2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2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2" xfId="0" applyFont="1" applyFill="1" applyBorder="1" applyAlignment="1">
      <alignment horizontal="center" vertical="center" wrapText="1"/>
    </xf>
    <xf numFmtId="165" fontId="0" fillId="0" borderId="0" xfId="0" applyNumberFormat="1"/>
    <xf numFmtId="165" fontId="2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2" fontId="2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0" xfId="0" applyFont="1"/>
    <xf numFmtId="0" fontId="7" fillId="0" borderId="11" xfId="0" applyFont="1" applyBorder="1"/>
    <xf numFmtId="0" fontId="7" fillId="0" borderId="0" xfId="0" applyFont="1" applyBorder="1"/>
    <xf numFmtId="0" fontId="7" fillId="0" borderId="12" xfId="0" applyFont="1" applyBorder="1"/>
    <xf numFmtId="0" fontId="8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7" fillId="0" borderId="7" xfId="0" applyFont="1" applyBorder="1"/>
    <xf numFmtId="0" fontId="7" fillId="0" borderId="0" xfId="0" applyFont="1" applyBorder="1" applyAlignment="1">
      <alignment wrapText="1"/>
    </xf>
    <xf numFmtId="0" fontId="7" fillId="0" borderId="5" xfId="0" applyFont="1" applyBorder="1"/>
    <xf numFmtId="0" fontId="7" fillId="0" borderId="6" xfId="0" applyFont="1" applyBorder="1"/>
    <xf numFmtId="0" fontId="12" fillId="8" borderId="5" xfId="0" applyFont="1" applyFill="1" applyBorder="1"/>
    <xf numFmtId="0" fontId="7" fillId="8" borderId="7" xfId="0" applyFont="1" applyFill="1" applyBorder="1"/>
    <xf numFmtId="0" fontId="12" fillId="8" borderId="8" xfId="0" applyFont="1" applyFill="1" applyBorder="1"/>
    <xf numFmtId="0" fontId="7" fillId="8" borderId="10" xfId="0" applyFont="1" applyFill="1" applyBorder="1"/>
    <xf numFmtId="0" fontId="12" fillId="8" borderId="13" xfId="0" applyFont="1" applyFill="1" applyBorder="1"/>
    <xf numFmtId="0" fontId="7" fillId="8" borderId="14" xfId="0" applyFont="1" applyFill="1" applyBorder="1"/>
    <xf numFmtId="0" fontId="12" fillId="8" borderId="0" xfId="0" applyFont="1" applyFill="1" applyBorder="1"/>
    <xf numFmtId="0" fontId="7" fillId="8" borderId="0" xfId="0" applyFont="1" applyFill="1" applyBorder="1"/>
    <xf numFmtId="0" fontId="12" fillId="0" borderId="5" xfId="0" applyFont="1" applyBorder="1"/>
    <xf numFmtId="0" fontId="12" fillId="0" borderId="0" xfId="0" applyFont="1" applyBorder="1"/>
    <xf numFmtId="0" fontId="7" fillId="7" borderId="5" xfId="0" applyFont="1" applyFill="1" applyBorder="1"/>
    <xf numFmtId="0" fontId="7" fillId="7" borderId="7" xfId="0" applyFont="1" applyFill="1" applyBorder="1"/>
    <xf numFmtId="0" fontId="7" fillId="0" borderId="4" xfId="0" applyFont="1" applyBorder="1" applyAlignment="1">
      <alignment horizontal="center"/>
    </xf>
    <xf numFmtId="0" fontId="13" fillId="0" borderId="0" xfId="0" applyFont="1" applyBorder="1"/>
    <xf numFmtId="0" fontId="7" fillId="0" borderId="13" xfId="0" applyFont="1" applyBorder="1"/>
    <xf numFmtId="0" fontId="7" fillId="0" borderId="15" xfId="0" applyFont="1" applyBorder="1"/>
    <xf numFmtId="0" fontId="7" fillId="0" borderId="14" xfId="0" applyFont="1" applyBorder="1"/>
    <xf numFmtId="14" fontId="1" fillId="2" borderId="3" xfId="0" applyNumberFormat="1" applyFont="1" applyFill="1" applyBorder="1" applyAlignment="1">
      <alignment horizontal="center" vertical="center" wrapText="1"/>
    </xf>
    <xf numFmtId="14" fontId="1" fillId="2" borderId="0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>
        <c:manualLayout>
          <c:layoutTarget val="inner"/>
          <c:xMode val="edge"/>
          <c:yMode val="edge"/>
          <c:x val="9.5835640930346258E-2"/>
          <c:y val="0.15604018247719043"/>
          <c:w val="0.84615384615385036"/>
          <c:h val="1"/>
        </c:manualLayout>
      </c:layout>
      <c:doughnutChart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explosion val="25"/>
          <c:dLbls>
            <c:txPr>
              <a:bodyPr/>
              <a:lstStyle/>
              <a:p>
                <a:pPr>
                  <a:defRPr sz="900"/>
                </a:pPr>
                <a:endParaRPr lang="ru-RU"/>
              </a:p>
            </c:txPr>
            <c:showVal val="1"/>
            <c:showLeaderLines val="1"/>
          </c:dLbls>
          <c:val>
            <c:numRef>
              <c:f>'[1]заправочная карта '!$C$13:$C$68</c:f>
              <c:numCache>
                <c:formatCode>General</c:formatCode>
                <c:ptCount val="56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24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24</c:v>
                </c:pt>
                <c:pt idx="27">
                  <c:v>24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24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24</c:v>
                </c:pt>
                <c:pt idx="55">
                  <c:v>24</c:v>
                </c:pt>
              </c:numCache>
            </c:numRef>
          </c:val>
        </c:ser>
        <c:firstSliceAng val="0"/>
        <c:holeSize val="50"/>
      </c:doughnutChart>
    </c:plotArea>
    <c:plotVisOnly val="1"/>
  </c:chart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209130</xdr:colOff>
      <xdr:row>2</xdr:row>
      <xdr:rowOff>39695</xdr:rowOff>
    </xdr:from>
    <xdr:to>
      <xdr:col>2</xdr:col>
      <xdr:colOff>1845468</xdr:colOff>
      <xdr:row>12</xdr:row>
      <xdr:rowOff>90486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130" y="420695"/>
          <a:ext cx="2850776" cy="214629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552449</xdr:colOff>
      <xdr:row>6</xdr:row>
      <xdr:rowOff>9525</xdr:rowOff>
    </xdr:from>
    <xdr:to>
      <xdr:col>13</xdr:col>
      <xdr:colOff>458787</xdr:colOff>
      <xdr:row>19</xdr:row>
      <xdr:rowOff>19050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307180</xdr:colOff>
      <xdr:row>11</xdr:row>
      <xdr:rowOff>381000</xdr:rowOff>
    </xdr:from>
    <xdr:to>
      <xdr:col>14</xdr:col>
      <xdr:colOff>151519</xdr:colOff>
      <xdr:row>11</xdr:row>
      <xdr:rowOff>382588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rot="10800000" flipH="1">
          <a:off x="5793580" y="3152775"/>
          <a:ext cx="3149514" cy="1588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671512</xdr:colOff>
      <xdr:row>11</xdr:row>
      <xdr:rowOff>445292</xdr:rowOff>
    </xdr:from>
    <xdr:to>
      <xdr:col>11</xdr:col>
      <xdr:colOff>100012</xdr:colOff>
      <xdr:row>12</xdr:row>
      <xdr:rowOff>95248</xdr:rowOff>
    </xdr:to>
    <xdr:sp macro="" textlink="">
      <xdr:nvSpPr>
        <xdr:cNvPr id="5" name="Прямоугольник 4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6767512" y="3217067"/>
          <a:ext cx="180975" cy="11668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ru-RU" sz="1100"/>
            <a:t>1</a:t>
          </a:r>
        </a:p>
      </xdr:txBody>
    </xdr:sp>
    <xdr:clientData/>
  </xdr:twoCellAnchor>
  <xdr:twoCellAnchor>
    <xdr:from>
      <xdr:col>10</xdr:col>
      <xdr:colOff>695327</xdr:colOff>
      <xdr:row>11</xdr:row>
      <xdr:rowOff>164307</xdr:rowOff>
    </xdr:from>
    <xdr:to>
      <xdr:col>11</xdr:col>
      <xdr:colOff>421484</xdr:colOff>
      <xdr:row>11</xdr:row>
      <xdr:rowOff>345282</xdr:rowOff>
    </xdr:to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6791327" y="2936082"/>
          <a:ext cx="478632" cy="180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ru-RU" sz="1000"/>
            <a:t>56</a:t>
          </a:r>
        </a:p>
      </xdr:txBody>
    </xdr:sp>
    <xdr:clientData/>
  </xdr:twoCellAnchor>
  <xdr:twoCellAnchor>
    <xdr:from>
      <xdr:col>11</xdr:col>
      <xdr:colOff>28575</xdr:colOff>
      <xdr:row>12</xdr:row>
      <xdr:rowOff>142875</xdr:rowOff>
    </xdr:from>
    <xdr:to>
      <xdr:col>12</xdr:col>
      <xdr:colOff>283369</xdr:colOff>
      <xdr:row>14</xdr:row>
      <xdr:rowOff>138113</xdr:rowOff>
    </xdr:to>
    <xdr:sp macro="" textlink="">
      <xdr:nvSpPr>
        <xdr:cNvPr id="4" name="Выгнутая вниз стрелка 3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/>
      </xdr:nvSpPr>
      <xdr:spPr>
        <a:xfrm>
          <a:off x="6877050" y="3381375"/>
          <a:ext cx="978694" cy="376238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&#1090;&#1077;&#1093;%20&#1079;&#1072;&#1076;&#1072;&#1085;&#1080;&#1077;%20&#1089;&#1072;&#1093;&#1072;&#108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расчет веса мешка"/>
      <sheetName val="нить расчет"/>
      <sheetName val="тех задание"/>
      <sheetName val="заправочная карта "/>
      <sheetName val="норма выработки "/>
    </sheetNames>
    <sheetDataSet>
      <sheetData sheetId="0"/>
      <sheetData sheetId="1"/>
      <sheetData sheetId="2"/>
      <sheetData sheetId="3">
        <row r="13">
          <cell r="C13">
            <v>26</v>
          </cell>
        </row>
        <row r="14">
          <cell r="C14">
            <v>26</v>
          </cell>
        </row>
        <row r="15">
          <cell r="C15">
            <v>26</v>
          </cell>
        </row>
        <row r="16">
          <cell r="C16">
            <v>26</v>
          </cell>
        </row>
        <row r="17">
          <cell r="C17">
            <v>26</v>
          </cell>
        </row>
        <row r="18">
          <cell r="C18">
            <v>26</v>
          </cell>
        </row>
        <row r="19">
          <cell r="C19">
            <v>26</v>
          </cell>
        </row>
        <row r="20">
          <cell r="C20">
            <v>26</v>
          </cell>
        </row>
        <row r="21">
          <cell r="C21">
            <v>26</v>
          </cell>
        </row>
        <row r="22">
          <cell r="C22">
            <v>26</v>
          </cell>
        </row>
        <row r="23">
          <cell r="C23">
            <v>26</v>
          </cell>
        </row>
        <row r="24">
          <cell r="C24">
            <v>26</v>
          </cell>
        </row>
        <row r="25">
          <cell r="C25">
            <v>24</v>
          </cell>
        </row>
        <row r="26">
          <cell r="C26">
            <v>26</v>
          </cell>
        </row>
        <row r="27">
          <cell r="C27">
            <v>26</v>
          </cell>
        </row>
        <row r="28">
          <cell r="C28">
            <v>26</v>
          </cell>
        </row>
        <row r="29">
          <cell r="C29">
            <v>26</v>
          </cell>
        </row>
        <row r="30">
          <cell r="C30">
            <v>26</v>
          </cell>
        </row>
        <row r="31">
          <cell r="C31">
            <v>26</v>
          </cell>
        </row>
        <row r="32">
          <cell r="C32">
            <v>26</v>
          </cell>
        </row>
        <row r="33">
          <cell r="C33">
            <v>26</v>
          </cell>
        </row>
        <row r="34">
          <cell r="C34">
            <v>26</v>
          </cell>
        </row>
        <row r="35">
          <cell r="C35">
            <v>26</v>
          </cell>
        </row>
        <row r="36">
          <cell r="C36">
            <v>26</v>
          </cell>
        </row>
        <row r="37">
          <cell r="C37">
            <v>26</v>
          </cell>
        </row>
        <row r="38">
          <cell r="C38">
            <v>26</v>
          </cell>
        </row>
        <row r="39">
          <cell r="C39">
            <v>24</v>
          </cell>
        </row>
        <row r="40">
          <cell r="C40">
            <v>24</v>
          </cell>
        </row>
        <row r="41">
          <cell r="C41">
            <v>26</v>
          </cell>
        </row>
        <row r="42">
          <cell r="C42">
            <v>26</v>
          </cell>
        </row>
        <row r="43">
          <cell r="C43">
            <v>26</v>
          </cell>
        </row>
        <row r="44">
          <cell r="C44">
            <v>24</v>
          </cell>
        </row>
        <row r="45">
          <cell r="C45">
            <v>26</v>
          </cell>
        </row>
        <row r="46">
          <cell r="C46">
            <v>26</v>
          </cell>
        </row>
        <row r="47">
          <cell r="C47">
            <v>26</v>
          </cell>
        </row>
        <row r="48">
          <cell r="C48">
            <v>26</v>
          </cell>
        </row>
        <row r="49">
          <cell r="C49">
            <v>26</v>
          </cell>
        </row>
        <row r="50">
          <cell r="C50">
            <v>26</v>
          </cell>
        </row>
        <row r="51">
          <cell r="C51">
            <v>26</v>
          </cell>
        </row>
        <row r="52">
          <cell r="C52">
            <v>26</v>
          </cell>
        </row>
        <row r="53">
          <cell r="C53">
            <v>26</v>
          </cell>
        </row>
        <row r="54">
          <cell r="C54">
            <v>26</v>
          </cell>
        </row>
        <row r="55">
          <cell r="C55">
            <v>26</v>
          </cell>
        </row>
        <row r="56">
          <cell r="C56">
            <v>26</v>
          </cell>
        </row>
        <row r="57">
          <cell r="C57">
            <v>26</v>
          </cell>
        </row>
        <row r="58">
          <cell r="C58">
            <v>26</v>
          </cell>
        </row>
        <row r="59">
          <cell r="C59">
            <v>26</v>
          </cell>
        </row>
        <row r="60">
          <cell r="C60">
            <v>26</v>
          </cell>
        </row>
        <row r="61">
          <cell r="C61">
            <v>26</v>
          </cell>
        </row>
        <row r="62">
          <cell r="C62">
            <v>26</v>
          </cell>
        </row>
        <row r="63">
          <cell r="C63">
            <v>26</v>
          </cell>
        </row>
        <row r="64">
          <cell r="C64">
            <v>26</v>
          </cell>
        </row>
        <row r="65">
          <cell r="C65">
            <v>26</v>
          </cell>
        </row>
        <row r="66">
          <cell r="C66">
            <v>26</v>
          </cell>
        </row>
        <row r="67">
          <cell r="C67">
            <v>24</v>
          </cell>
        </row>
        <row r="68">
          <cell r="C68">
            <v>24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opLeftCell="H1" zoomScale="80" zoomScaleNormal="80" workbookViewId="0">
      <selection activeCell="J3" sqref="J3"/>
    </sheetView>
  </sheetViews>
  <sheetFormatPr defaultRowHeight="15"/>
  <cols>
    <col min="1" max="1" width="20.28515625" customWidth="1"/>
    <col min="2" max="2" width="33.42578125" customWidth="1"/>
    <col min="4" max="4" width="15.28515625" customWidth="1"/>
    <col min="5" max="5" width="22.7109375" customWidth="1"/>
    <col min="6" max="6" width="21.5703125" customWidth="1"/>
    <col min="7" max="11" width="33.42578125" customWidth="1"/>
    <col min="12" max="13" width="12.5703125" customWidth="1"/>
    <col min="14" max="15" width="13" customWidth="1"/>
    <col min="16" max="16" width="14.7109375" customWidth="1"/>
    <col min="17" max="17" width="18.85546875" customWidth="1"/>
  </cols>
  <sheetData>
    <row r="1" spans="1:17" ht="36.75" thickBot="1">
      <c r="A1" s="1" t="s">
        <v>0</v>
      </c>
      <c r="B1" s="1" t="s">
        <v>1</v>
      </c>
      <c r="C1" s="1" t="s">
        <v>2</v>
      </c>
      <c r="D1" s="1" t="s">
        <v>25</v>
      </c>
      <c r="E1" s="1" t="s">
        <v>30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2" t="s">
        <v>12</v>
      </c>
      <c r="M1" s="2" t="s">
        <v>12</v>
      </c>
      <c r="N1" s="2" t="s">
        <v>12</v>
      </c>
      <c r="O1" s="2" t="s">
        <v>12</v>
      </c>
      <c r="P1" s="1" t="s">
        <v>3</v>
      </c>
      <c r="Q1" s="1" t="s">
        <v>4</v>
      </c>
    </row>
    <row r="2" spans="1:17" ht="15.75" thickBot="1">
      <c r="A2" s="3" t="s">
        <v>8</v>
      </c>
      <c r="B2" s="3" t="s">
        <v>9</v>
      </c>
      <c r="C2" s="3" t="s">
        <v>7</v>
      </c>
      <c r="D2" s="3" t="s">
        <v>26</v>
      </c>
      <c r="E2" s="3" t="s">
        <v>93</v>
      </c>
      <c r="F2" s="3">
        <v>90</v>
      </c>
      <c r="G2" s="3">
        <v>140</v>
      </c>
      <c r="H2" s="3">
        <v>90</v>
      </c>
      <c r="I2" s="3">
        <v>25</v>
      </c>
      <c r="J2" s="3">
        <v>180</v>
      </c>
      <c r="K2" s="3" t="s">
        <v>21</v>
      </c>
      <c r="L2" s="4" t="s">
        <v>13</v>
      </c>
      <c r="M2" s="6">
        <f>2/3</f>
        <v>0.66666666666666663</v>
      </c>
      <c r="N2" s="4" t="s">
        <v>13</v>
      </c>
      <c r="O2" s="6">
        <f>2/3</f>
        <v>0.66666666666666663</v>
      </c>
      <c r="P2" s="3">
        <v>5</v>
      </c>
      <c r="Q2" s="3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B15" sqref="B15"/>
    </sheetView>
  </sheetViews>
  <sheetFormatPr defaultRowHeight="15"/>
  <cols>
    <col min="1" max="1" width="15.28515625" customWidth="1"/>
    <col min="2" max="2" width="18" customWidth="1"/>
    <col min="3" max="3" width="13.140625" customWidth="1"/>
  </cols>
  <sheetData>
    <row r="1" spans="1:3" ht="36.75" thickBot="1">
      <c r="A1" s="1" t="s">
        <v>29</v>
      </c>
      <c r="B1" s="1" t="s">
        <v>1</v>
      </c>
      <c r="C1" s="1" t="s">
        <v>33</v>
      </c>
    </row>
    <row r="2" spans="1:3" ht="15.75" thickBot="1">
      <c r="A2" s="3"/>
      <c r="B2" s="3" t="s">
        <v>34</v>
      </c>
      <c r="C2" s="6" t="e">
        <f>'МФН нити прошивочные'!#REF!+'МФН нити прошивочные'!#REF!+'МФН нити прошивочные'!T2+'МФН нити прошивочные'!#REF!+'МФН нити прошивочные'!#REF!+(лента!#REF!*7/100)+(лента!#REF!*7/100)+(лента!R2*7/100)+(лента!#REF!*7/100)+(лента!#REF!*7/100)</f>
        <v>#REF!</v>
      </c>
    </row>
    <row r="3" spans="1:3" ht="15.75" thickBot="1">
      <c r="A3" s="3"/>
      <c r="B3" s="3" t="s">
        <v>35</v>
      </c>
      <c r="C3" s="16">
        <f>(92*'план производства'!F7)/100+(91*((экструзия!X3+экструзия!Y3)/100))</f>
        <v>9.020176686200001</v>
      </c>
    </row>
    <row r="4" spans="1:3" ht="15.75" thickBot="1">
      <c r="A4" s="3"/>
      <c r="B4" s="3" t="s">
        <v>36</v>
      </c>
      <c r="C4" s="16">
        <f>(4*'план производства'!F7)/100</f>
        <v>0.33934431226666667</v>
      </c>
    </row>
    <row r="5" spans="1:3" ht="15.75" thickBot="1">
      <c r="A5" s="3"/>
      <c r="B5" s="3" t="s">
        <v>37</v>
      </c>
      <c r="C5" s="16">
        <f>(2*'план производства'!F7)/100</f>
        <v>0.16967215613333334</v>
      </c>
    </row>
    <row r="6" spans="1:3" ht="15.75" thickBot="1">
      <c r="A6" s="3"/>
      <c r="B6" s="3" t="s">
        <v>88</v>
      </c>
      <c r="C6" s="6">
        <f>1*(SUM(экструзия!X3:Y3)/100)</f>
        <v>1.3354478066666666E-2</v>
      </c>
    </row>
    <row r="7" spans="1:3" ht="15.75" thickBot="1">
      <c r="A7" s="3"/>
      <c r="B7" s="3" t="s">
        <v>38</v>
      </c>
      <c r="C7" s="6">
        <f>(38*0.0392)*85/100</f>
        <v>1.26616</v>
      </c>
    </row>
    <row r="8" spans="1:3" ht="15.75" thickBot="1">
      <c r="A8" s="3"/>
      <c r="B8" s="3" t="s">
        <v>39</v>
      </c>
      <c r="C8" s="6">
        <f>(38*0.0392)*15/100</f>
        <v>0.22344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2D050"/>
  </sheetPr>
  <dimension ref="A1:BT9"/>
  <sheetViews>
    <sheetView workbookViewId="0">
      <selection activeCell="J8" sqref="J8"/>
    </sheetView>
  </sheetViews>
  <sheetFormatPr defaultRowHeight="15"/>
  <cols>
    <col min="1" max="1" width="18.42578125" customWidth="1"/>
    <col min="2" max="4" width="21.28515625" customWidth="1"/>
    <col min="5" max="5" width="22.7109375" customWidth="1"/>
    <col min="6" max="8" width="13.140625" customWidth="1"/>
    <col min="9" max="10" width="15.85546875" customWidth="1"/>
    <col min="11" max="12" width="12" customWidth="1"/>
  </cols>
  <sheetData>
    <row r="1" spans="1:72" ht="54.75" thickBot="1">
      <c r="A1" s="1" t="s">
        <v>0</v>
      </c>
      <c r="B1" s="1" t="s">
        <v>1</v>
      </c>
      <c r="C1" s="1" t="s">
        <v>2</v>
      </c>
      <c r="D1" s="1" t="s">
        <v>45</v>
      </c>
      <c r="E1" s="1" t="s">
        <v>30</v>
      </c>
      <c r="F1" s="1" t="s">
        <v>3</v>
      </c>
      <c r="G1" s="1" t="s">
        <v>89</v>
      </c>
      <c r="H1" s="1" t="s">
        <v>4</v>
      </c>
      <c r="I1" s="1" t="s">
        <v>22</v>
      </c>
      <c r="J1" s="8" t="s">
        <v>43</v>
      </c>
      <c r="K1" s="62">
        <v>45658</v>
      </c>
      <c r="L1" s="63"/>
      <c r="M1" s="62">
        <v>45659</v>
      </c>
      <c r="N1" s="63"/>
      <c r="O1" s="62">
        <v>45660</v>
      </c>
      <c r="P1" s="63"/>
      <c r="Q1" s="62">
        <v>45661</v>
      </c>
      <c r="R1" s="63"/>
      <c r="S1" s="62">
        <v>45662</v>
      </c>
      <c r="T1" s="63"/>
      <c r="U1" s="62">
        <v>45663</v>
      </c>
      <c r="V1" s="63"/>
      <c r="W1" s="62">
        <v>45664</v>
      </c>
      <c r="X1" s="63"/>
      <c r="Y1" s="62">
        <v>45665</v>
      </c>
      <c r="Z1" s="63"/>
      <c r="AA1" s="62">
        <v>45666</v>
      </c>
      <c r="AB1" s="63"/>
      <c r="AC1" s="62">
        <v>45667</v>
      </c>
      <c r="AD1" s="63"/>
      <c r="AE1" s="62">
        <v>45668</v>
      </c>
      <c r="AF1" s="63"/>
      <c r="AG1" s="62">
        <v>45669</v>
      </c>
      <c r="AH1" s="63"/>
      <c r="AI1" s="62">
        <v>45670</v>
      </c>
      <c r="AJ1" s="63"/>
      <c r="AK1" s="62">
        <v>45671</v>
      </c>
      <c r="AL1" s="63"/>
      <c r="AM1" s="62">
        <v>45672</v>
      </c>
      <c r="AN1" s="63"/>
      <c r="AO1" s="62">
        <v>45673</v>
      </c>
      <c r="AP1" s="63"/>
      <c r="AQ1" s="62">
        <v>45674</v>
      </c>
      <c r="AR1" s="63"/>
      <c r="AS1" s="62">
        <v>45675</v>
      </c>
      <c r="AT1" s="63"/>
      <c r="AU1" s="62">
        <v>45676</v>
      </c>
      <c r="AV1" s="63"/>
      <c r="AW1" s="62">
        <v>45677</v>
      </c>
      <c r="AX1" s="63"/>
      <c r="AY1" s="62">
        <v>45678</v>
      </c>
      <c r="AZ1" s="63"/>
      <c r="BA1" s="62">
        <v>45679</v>
      </c>
      <c r="BB1" s="63"/>
      <c r="BC1" s="62">
        <v>45680</v>
      </c>
      <c r="BD1" s="63"/>
      <c r="BE1" s="62">
        <v>45681</v>
      </c>
      <c r="BF1" s="63"/>
      <c r="BG1" s="62">
        <v>45682</v>
      </c>
      <c r="BH1" s="63"/>
      <c r="BI1" s="62">
        <v>45683</v>
      </c>
      <c r="BJ1" s="63"/>
      <c r="BK1" s="62">
        <v>45684</v>
      </c>
      <c r="BL1" s="63"/>
      <c r="BM1" s="62">
        <v>45685</v>
      </c>
      <c r="BN1" s="63"/>
      <c r="BO1" s="62">
        <v>45686</v>
      </c>
      <c r="BP1" s="63"/>
      <c r="BQ1" s="62">
        <v>45687</v>
      </c>
      <c r="BR1" s="63"/>
      <c r="BS1" s="62">
        <v>45688</v>
      </c>
      <c r="BT1" s="63"/>
    </row>
    <row r="2" spans="1:72" ht="26.25" thickBot="1">
      <c r="A2" s="3" t="str">
        <f>'план продаж'!A2</f>
        <v>FIBC-4S-1500</v>
      </c>
      <c r="B2" s="3" t="str">
        <f>'план продаж'!B2</f>
        <v>Биг-бег 4-стропный 1500 кг</v>
      </c>
      <c r="C2" s="3" t="str">
        <f>'план продаж'!C2</f>
        <v>Биг-бег</v>
      </c>
      <c r="D2" s="3" t="str">
        <f>'план продаж'!D2</f>
        <v>90/90/140(180)</v>
      </c>
      <c r="E2" s="3" t="str">
        <f>'план продаж'!E2</f>
        <v>верх загр, дно выгр</v>
      </c>
      <c r="F2" s="3">
        <f>'план продаж'!P2</f>
        <v>5</v>
      </c>
      <c r="G2" s="3" t="s">
        <v>90</v>
      </c>
      <c r="H2" s="3">
        <f>'план продаж'!Q2</f>
        <v>0</v>
      </c>
      <c r="I2" s="3">
        <f>SUM(O2:BT2)</f>
        <v>0</v>
      </c>
      <c r="J2" s="3">
        <f t="shared" ref="J2:J9" si="0">I2*100/F2</f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spans="1:72" ht="26.25" thickBot="1">
      <c r="A3" s="3" t="s">
        <v>5</v>
      </c>
      <c r="B3" s="3" t="s">
        <v>6</v>
      </c>
      <c r="C3" s="3" t="s">
        <v>7</v>
      </c>
      <c r="D3" s="3" t="s">
        <v>26</v>
      </c>
      <c r="E3" s="3" t="s">
        <v>31</v>
      </c>
      <c r="F3" s="3">
        <v>10</v>
      </c>
      <c r="G3" s="3" t="s">
        <v>90</v>
      </c>
      <c r="H3" s="3" t="s">
        <v>10</v>
      </c>
      <c r="I3" s="3">
        <f t="shared" ref="I3:I5" si="1">SUM(K3:BT3)</f>
        <v>0</v>
      </c>
      <c r="J3" s="3">
        <f t="shared" si="0"/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spans="1:72" ht="26.25" thickBot="1">
      <c r="A4" s="3" t="s">
        <v>5</v>
      </c>
      <c r="B4" s="3" t="s">
        <v>6</v>
      </c>
      <c r="C4" s="3" t="s">
        <v>7</v>
      </c>
      <c r="D4" s="3" t="s">
        <v>27</v>
      </c>
      <c r="E4" s="3" t="s">
        <v>31</v>
      </c>
      <c r="F4" s="3">
        <v>200</v>
      </c>
      <c r="G4" s="3" t="s">
        <v>90</v>
      </c>
      <c r="H4" s="3" t="s">
        <v>11</v>
      </c>
      <c r="I4" s="3">
        <f t="shared" si="1"/>
        <v>0</v>
      </c>
      <c r="J4" s="3">
        <f t="shared" si="0"/>
        <v>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spans="1:72" ht="15.75" thickBot="1">
      <c r="A5" s="3" t="s">
        <v>47</v>
      </c>
      <c r="B5" s="3" t="s">
        <v>48</v>
      </c>
      <c r="C5" s="3" t="s">
        <v>46</v>
      </c>
      <c r="D5" s="3">
        <v>5</v>
      </c>
      <c r="E5" s="3" t="s">
        <v>44</v>
      </c>
      <c r="F5" s="11">
        <f>лента!R2*1.02</f>
        <v>1.6898000000000004</v>
      </c>
      <c r="G5" s="11" t="s">
        <v>91</v>
      </c>
      <c r="H5" s="3"/>
      <c r="I5" s="11">
        <f t="shared" si="1"/>
        <v>0</v>
      </c>
      <c r="J5" s="3">
        <f t="shared" si="0"/>
        <v>0</v>
      </c>
      <c r="K5" s="1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spans="1:72" ht="15.75" thickBot="1">
      <c r="A6" s="3" t="s">
        <v>62</v>
      </c>
      <c r="B6" s="3" t="s">
        <v>63</v>
      </c>
      <c r="C6" s="3" t="str">
        <f>ткацкий!Q2</f>
        <v>обычное</v>
      </c>
      <c r="D6" s="3"/>
      <c r="E6" s="3"/>
      <c r="F6" s="11">
        <f>SUM(ткацкий!W2:W2)+ткацкий!W3</f>
        <v>21.981000000000002</v>
      </c>
      <c r="G6" s="11" t="s">
        <v>92</v>
      </c>
      <c r="H6" s="11"/>
      <c r="I6" s="11">
        <f t="shared" ref="I6" si="2">SUM(K6:BT6)</f>
        <v>0</v>
      </c>
      <c r="J6" s="11">
        <f t="shared" si="0"/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spans="1:72" ht="15.75" thickBot="1">
      <c r="A7" s="3" t="s">
        <v>83</v>
      </c>
      <c r="B7" s="3" t="s">
        <v>84</v>
      </c>
      <c r="C7" s="3" t="s">
        <v>84</v>
      </c>
      <c r="D7" s="3"/>
      <c r="E7" s="3" t="s">
        <v>84</v>
      </c>
      <c r="F7" s="11">
        <f>SUM(экструзия!X2:Y2)+экструзия!X3+экструзия!Y3</f>
        <v>8.4836078066666669</v>
      </c>
      <c r="G7" s="11" t="s">
        <v>91</v>
      </c>
      <c r="H7" s="11"/>
      <c r="I7" s="11">
        <f t="shared" ref="I7" si="3">SUM(K7:BT7)</f>
        <v>0</v>
      </c>
      <c r="J7" s="11">
        <f t="shared" si="0"/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spans="1:72" ht="15.75" thickBot="1">
      <c r="A8" s="3"/>
      <c r="B8" s="3" t="s">
        <v>85</v>
      </c>
      <c r="C8" s="3" t="s">
        <v>86</v>
      </c>
      <c r="D8" s="3"/>
      <c r="E8" s="3" t="s">
        <v>86</v>
      </c>
      <c r="F8" s="11" t="e">
        <f>#REF!+#REF!+F2+F2*2+F3+F4</f>
        <v>#REF!</v>
      </c>
      <c r="G8" s="11" t="s">
        <v>90</v>
      </c>
      <c r="H8" s="11"/>
      <c r="I8" s="11"/>
      <c r="J8" s="11" t="e">
        <f t="shared" si="0"/>
        <v>#REF!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</row>
    <row r="9" spans="1:72" ht="26.25" thickBot="1">
      <c r="A9" s="3" t="s">
        <v>53</v>
      </c>
      <c r="B9" s="3" t="s">
        <v>51</v>
      </c>
      <c r="C9" s="3" t="s">
        <v>54</v>
      </c>
      <c r="D9" s="3" t="s">
        <v>52</v>
      </c>
      <c r="E9" s="3" t="s">
        <v>54</v>
      </c>
      <c r="F9" s="11">
        <v>38</v>
      </c>
      <c r="G9" s="11" t="s">
        <v>92</v>
      </c>
      <c r="H9" s="11"/>
      <c r="I9" s="11">
        <f t="shared" ref="I9" si="4">SUM(K9:BT9)</f>
        <v>0</v>
      </c>
      <c r="J9" s="11">
        <f t="shared" si="0"/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</row>
  </sheetData>
  <mergeCells count="31">
    <mergeCell ref="BS1:BT1"/>
    <mergeCell ref="BG1:BH1"/>
    <mergeCell ref="BI1:BJ1"/>
    <mergeCell ref="BK1:BL1"/>
    <mergeCell ref="BM1:BN1"/>
    <mergeCell ref="BO1:BP1"/>
    <mergeCell ref="BQ1:BR1"/>
    <mergeCell ref="BE1:BF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AG1:AH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topLeftCell="M1" zoomScale="70" zoomScaleNormal="70" workbookViewId="0">
      <selection activeCell="T2" sqref="T2"/>
    </sheetView>
  </sheetViews>
  <sheetFormatPr defaultRowHeight="15"/>
  <cols>
    <col min="3" max="3" width="19.140625" customWidth="1"/>
    <col min="4" max="5" width="22.7109375" customWidth="1"/>
    <col min="6" max="6" width="13.28515625" customWidth="1"/>
    <col min="7" max="8" width="12.42578125" customWidth="1"/>
    <col min="9" max="9" width="15.28515625" customWidth="1"/>
    <col min="10" max="10" width="21.5703125" customWidth="1"/>
    <col min="11" max="19" width="33.42578125" customWidth="1"/>
    <col min="20" max="20" width="10.7109375" customWidth="1"/>
  </cols>
  <sheetData>
    <row r="1" spans="1:20" ht="108.75" thickBot="1">
      <c r="A1" s="1" t="s">
        <v>0</v>
      </c>
      <c r="B1" s="1" t="s">
        <v>1</v>
      </c>
      <c r="C1" s="1" t="s">
        <v>2</v>
      </c>
      <c r="D1" s="1" t="s">
        <v>25</v>
      </c>
      <c r="E1" s="1" t="s">
        <v>30</v>
      </c>
      <c r="F1" s="1" t="s">
        <v>23</v>
      </c>
      <c r="G1" s="1" t="s">
        <v>4</v>
      </c>
      <c r="H1" s="1" t="s">
        <v>29</v>
      </c>
      <c r="I1" s="5" t="s">
        <v>24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97</v>
      </c>
      <c r="O1" s="1" t="s">
        <v>95</v>
      </c>
      <c r="P1" s="1" t="s">
        <v>96</v>
      </c>
      <c r="Q1" s="1" t="s">
        <v>94</v>
      </c>
      <c r="R1" s="17" t="s">
        <v>98</v>
      </c>
      <c r="S1" s="1" t="s">
        <v>18</v>
      </c>
      <c r="T1" s="2" t="s">
        <v>32</v>
      </c>
    </row>
    <row r="2" spans="1:20" ht="39" thickBot="1">
      <c r="A2" s="3" t="str">
        <f>'план продаж'!A2</f>
        <v>FIBC-4S-1500</v>
      </c>
      <c r="B2" s="3" t="str">
        <f>'план продаж'!B2</f>
        <v>Биг-бег 4-стропный 1500 кг</v>
      </c>
      <c r="C2" s="3" t="str">
        <f>'план продаж'!C2</f>
        <v>Биг-бег</v>
      </c>
      <c r="D2" s="3" t="str">
        <f>'план продаж'!D2</f>
        <v>90/90/140(180)</v>
      </c>
      <c r="E2" s="3" t="str">
        <f>'план продаж'!E2</f>
        <v>верх загр, дно выгр</v>
      </c>
      <c r="F2" s="3">
        <f>'план продаж'!P2</f>
        <v>5</v>
      </c>
      <c r="G2" s="3">
        <f>'план продаж'!Q2</f>
        <v>0</v>
      </c>
      <c r="H2" s="3"/>
      <c r="I2" s="3">
        <v>7.6999999999999999E-2</v>
      </c>
      <c r="J2" s="3">
        <f>'план продаж'!F2</f>
        <v>90</v>
      </c>
      <c r="K2" s="3">
        <f>'план продаж'!G2</f>
        <v>140</v>
      </c>
      <c r="L2" s="3">
        <f>'план продаж'!H2</f>
        <v>90</v>
      </c>
      <c r="M2" s="3">
        <f>'план продаж'!I2</f>
        <v>25</v>
      </c>
      <c r="N2" s="3">
        <v>40</v>
      </c>
      <c r="O2" s="3">
        <v>48</v>
      </c>
      <c r="P2" s="3">
        <v>40</v>
      </c>
      <c r="Q2" s="3">
        <v>48</v>
      </c>
      <c r="R2" s="18">
        <v>3.14</v>
      </c>
      <c r="S2" s="3">
        <f>'план продаж'!J2</f>
        <v>180</v>
      </c>
      <c r="T2" s="6">
        <f>((J2*4+L2*4+O2+Q2+K2*4*'план продаж'!M2+N2*R2+P2*R2)*I2)/1000*'план продаж'!P2</f>
        <v>0.55460533333333328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"/>
  <sheetViews>
    <sheetView topLeftCell="J1" workbookViewId="0">
      <selection activeCell="R3" sqref="R3"/>
    </sheetView>
  </sheetViews>
  <sheetFormatPr defaultRowHeight="15"/>
  <cols>
    <col min="2" max="2" width="13" customWidth="1"/>
    <col min="3" max="3" width="19.140625" customWidth="1"/>
    <col min="4" max="5" width="22.7109375" customWidth="1"/>
    <col min="6" max="6" width="13.28515625" customWidth="1"/>
    <col min="7" max="7" width="12.42578125" customWidth="1"/>
    <col min="8" max="12" width="33.42578125" customWidth="1"/>
    <col min="13" max="14" width="12.5703125" customWidth="1"/>
    <col min="15" max="18" width="13" customWidth="1"/>
  </cols>
  <sheetData>
    <row r="1" spans="1:18" ht="72.75" thickBot="1">
      <c r="A1" s="1" t="s">
        <v>0</v>
      </c>
      <c r="B1" s="1" t="s">
        <v>1</v>
      </c>
      <c r="C1" s="1" t="s">
        <v>2</v>
      </c>
      <c r="D1" s="1" t="s">
        <v>25</v>
      </c>
      <c r="E1" s="1" t="s">
        <v>30</v>
      </c>
      <c r="F1" s="1" t="s">
        <v>23</v>
      </c>
      <c r="G1" s="1" t="s">
        <v>4</v>
      </c>
      <c r="H1" s="1" t="s">
        <v>15</v>
      </c>
      <c r="I1" s="1" t="s">
        <v>17</v>
      </c>
      <c r="J1" s="2" t="s">
        <v>41</v>
      </c>
      <c r="K1" s="2" t="s">
        <v>101</v>
      </c>
      <c r="L1" s="2" t="s">
        <v>102</v>
      </c>
      <c r="M1" s="2" t="s">
        <v>12</v>
      </c>
      <c r="N1" s="2" t="s">
        <v>12</v>
      </c>
      <c r="O1" s="2" t="s">
        <v>12</v>
      </c>
      <c r="P1" s="2" t="s">
        <v>12</v>
      </c>
      <c r="Q1" s="5" t="s">
        <v>42</v>
      </c>
      <c r="R1" s="2" t="s">
        <v>40</v>
      </c>
    </row>
    <row r="2" spans="1:18" ht="39" thickBot="1">
      <c r="A2" s="3" t="str">
        <f>'план продаж'!A2</f>
        <v>FIBC-4S-1500</v>
      </c>
      <c r="B2" s="3" t="str">
        <f>'план продаж'!B2</f>
        <v>Биг-бег 4-стропный 1500 кг</v>
      </c>
      <c r="C2" s="3" t="str">
        <f>'план продаж'!C2</f>
        <v>Биг-бег</v>
      </c>
      <c r="D2" s="3" t="str">
        <f>'план продаж'!D2</f>
        <v>90/90/140(180)</v>
      </c>
      <c r="E2" s="3" t="str">
        <f>'план продаж'!E2</f>
        <v>верх загр, дно выгр</v>
      </c>
      <c r="F2" s="3">
        <f>'план продаж'!P2</f>
        <v>5</v>
      </c>
      <c r="G2" s="3">
        <f>'план продаж'!Q2</f>
        <v>0</v>
      </c>
      <c r="H2" s="3">
        <f>'план продаж'!G2</f>
        <v>140</v>
      </c>
      <c r="I2" s="3">
        <f>'план продаж'!I2</f>
        <v>25</v>
      </c>
      <c r="J2" s="3">
        <v>4</v>
      </c>
      <c r="K2" s="3">
        <v>60</v>
      </c>
      <c r="L2" s="3">
        <v>4</v>
      </c>
      <c r="M2" s="4" t="str">
        <f>'план продаж'!L2</f>
        <v>2/3</v>
      </c>
      <c r="N2" s="6">
        <f>'план продаж'!M2</f>
        <v>0.66666666666666663</v>
      </c>
      <c r="O2" s="4" t="str">
        <f>'план продаж'!N2</f>
        <v>2/3</v>
      </c>
      <c r="P2" s="6">
        <f>'план продаж'!O2</f>
        <v>0.66666666666666663</v>
      </c>
      <c r="Q2" s="7">
        <v>3.5000000000000003E-2</v>
      </c>
      <c r="R2" s="6">
        <f>(((N2*H2+P2*H2+I2*2)/100)*J2*F2)*Q2</f>
        <v>1.656666666666667</v>
      </c>
    </row>
    <row r="3" spans="1:18" ht="39" thickBot="1">
      <c r="A3" s="3" t="str">
        <f>A2</f>
        <v>FIBC-4S-1500</v>
      </c>
      <c r="B3" s="3" t="str">
        <f t="shared" ref="B3:I3" si="0">B2</f>
        <v>Биг-бег 4-стропный 1500 кг</v>
      </c>
      <c r="C3" s="3" t="str">
        <f t="shared" si="0"/>
        <v>Биг-бег</v>
      </c>
      <c r="D3" s="3" t="str">
        <f t="shared" si="0"/>
        <v>90/90/140(180)</v>
      </c>
      <c r="E3" s="3" t="str">
        <f t="shared" si="0"/>
        <v>верх загр, дно выгр</v>
      </c>
      <c r="F3" s="3">
        <f t="shared" si="0"/>
        <v>5</v>
      </c>
      <c r="G3" s="3">
        <f t="shared" si="0"/>
        <v>0</v>
      </c>
      <c r="H3" s="3">
        <f t="shared" si="0"/>
        <v>140</v>
      </c>
      <c r="I3" s="3">
        <f t="shared" si="0"/>
        <v>25</v>
      </c>
      <c r="J3" s="3">
        <f>J2</f>
        <v>4</v>
      </c>
      <c r="K3" s="3">
        <f>K2</f>
        <v>60</v>
      </c>
      <c r="L3" s="3">
        <f>L2</f>
        <v>4</v>
      </c>
      <c r="M3" s="3" t="str">
        <f>M2</f>
        <v>2/3</v>
      </c>
      <c r="N3" s="6">
        <f t="shared" ref="N3" si="1">N2</f>
        <v>0.66666666666666663</v>
      </c>
      <c r="O3" s="4" t="str">
        <f t="shared" ref="O3" si="2">O2</f>
        <v>2/3</v>
      </c>
      <c r="P3" s="6">
        <f t="shared" ref="P3" si="3">P2</f>
        <v>0.66666666666666663</v>
      </c>
      <c r="Q3" s="7">
        <v>5.0000000000000001E-3</v>
      </c>
      <c r="R3" s="7">
        <f>(((L3*K3)/100)*Q3)*F3</f>
        <v>0.06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2"/>
  <sheetViews>
    <sheetView topLeftCell="H1" workbookViewId="0">
      <selection activeCell="G3" sqref="A3:XFD6"/>
    </sheetView>
  </sheetViews>
  <sheetFormatPr defaultRowHeight="15"/>
  <cols>
    <col min="2" max="2" width="13" customWidth="1"/>
    <col min="3" max="3" width="19.140625" customWidth="1"/>
    <col min="4" max="5" width="22.7109375" customWidth="1"/>
    <col min="6" max="6" width="13.28515625" customWidth="1"/>
    <col min="7" max="7" width="12.42578125" customWidth="1"/>
    <col min="8" max="10" width="33.42578125" customWidth="1"/>
    <col min="11" max="12" width="12.5703125" customWidth="1"/>
    <col min="13" max="16" width="13" customWidth="1"/>
  </cols>
  <sheetData>
    <row r="1" spans="1:16" ht="72.75" thickBot="1">
      <c r="A1" s="1" t="s">
        <v>0</v>
      </c>
      <c r="B1" s="1" t="s">
        <v>1</v>
      </c>
      <c r="C1" s="1" t="s">
        <v>2</v>
      </c>
      <c r="D1" s="1" t="s">
        <v>25</v>
      </c>
      <c r="E1" s="1" t="s">
        <v>30</v>
      </c>
      <c r="F1" s="1" t="s">
        <v>23</v>
      </c>
      <c r="G1" s="1" t="s">
        <v>4</v>
      </c>
      <c r="H1" s="1" t="s">
        <v>15</v>
      </c>
      <c r="I1" s="1" t="s">
        <v>17</v>
      </c>
      <c r="J1" s="2" t="s">
        <v>50</v>
      </c>
      <c r="K1" s="2" t="s">
        <v>12</v>
      </c>
      <c r="L1" s="2" t="s">
        <v>12</v>
      </c>
      <c r="M1" s="2" t="s">
        <v>12</v>
      </c>
      <c r="N1" s="2" t="s">
        <v>12</v>
      </c>
      <c r="O1" s="5" t="s">
        <v>49</v>
      </c>
      <c r="P1" s="2" t="s">
        <v>40</v>
      </c>
    </row>
    <row r="2" spans="1:16" ht="39" thickBot="1">
      <c r="A2" s="3" t="str">
        <f>'план продаж'!A2</f>
        <v>FIBC-4S-1500</v>
      </c>
      <c r="B2" s="3" t="str">
        <f>'план продаж'!B2</f>
        <v>Биг-бег 4-стропный 1500 кг</v>
      </c>
      <c r="C2" s="3" t="str">
        <f>'план продаж'!C2</f>
        <v>Биг-бег</v>
      </c>
      <c r="D2" s="3" t="str">
        <f>'план продаж'!D2</f>
        <v>90/90/140(180)</v>
      </c>
      <c r="E2" s="3" t="str">
        <f>'план продаж'!E2</f>
        <v>верх загр, дно выгр</v>
      </c>
      <c r="F2" s="3">
        <f>'план продаж'!P2</f>
        <v>5</v>
      </c>
      <c r="G2" s="3">
        <f>'план продаж'!Q2</f>
        <v>0</v>
      </c>
      <c r="H2" s="3">
        <f>'план продаж'!G2</f>
        <v>140</v>
      </c>
      <c r="I2" s="3">
        <f>'план продаж'!I2</f>
        <v>25</v>
      </c>
      <c r="J2" s="3">
        <v>0</v>
      </c>
      <c r="K2" s="4" t="s">
        <v>28</v>
      </c>
      <c r="L2" s="4"/>
      <c r="M2" s="4" t="s">
        <v>28</v>
      </c>
      <c r="N2" s="4"/>
      <c r="O2" s="6">
        <f>0.3*0.3*0.09</f>
        <v>8.0999999999999996E-3</v>
      </c>
      <c r="P2" s="6">
        <f>O2*F2*J2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7"/>
  <sheetViews>
    <sheetView topLeftCell="L1" workbookViewId="0">
      <selection activeCell="V3" sqref="V3"/>
    </sheetView>
  </sheetViews>
  <sheetFormatPr defaultRowHeight="15"/>
  <cols>
    <col min="1" max="15" width="14.28515625" customWidth="1"/>
    <col min="16" max="16" width="11.7109375" customWidth="1"/>
    <col min="17" max="19" width="14.28515625" customWidth="1"/>
    <col min="20" max="20" width="19.7109375" customWidth="1"/>
    <col min="21" max="21" width="21" customWidth="1"/>
    <col min="22" max="22" width="11.5703125" bestFit="1" customWidth="1"/>
    <col min="23" max="23" width="12.7109375" customWidth="1"/>
  </cols>
  <sheetData>
    <row r="1" spans="1:23" ht="90.75" thickBot="1">
      <c r="A1" s="1" t="s">
        <v>0</v>
      </c>
      <c r="B1" s="1" t="s">
        <v>1</v>
      </c>
      <c r="C1" s="1" t="s">
        <v>2</v>
      </c>
      <c r="D1" s="1" t="s">
        <v>25</v>
      </c>
      <c r="E1" s="1" t="s">
        <v>30</v>
      </c>
      <c r="F1" s="1" t="s">
        <v>61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97</v>
      </c>
      <c r="M1" s="1" t="s">
        <v>95</v>
      </c>
      <c r="N1" s="1" t="s">
        <v>96</v>
      </c>
      <c r="O1" s="1" t="s">
        <v>94</v>
      </c>
      <c r="P1" s="17" t="s">
        <v>98</v>
      </c>
      <c r="Q1" s="1" t="s">
        <v>19</v>
      </c>
      <c r="R1" s="1" t="s">
        <v>23</v>
      </c>
      <c r="S1" s="1" t="s">
        <v>4</v>
      </c>
      <c r="T1" s="2" t="s">
        <v>57</v>
      </c>
      <c r="U1" s="2" t="s">
        <v>58</v>
      </c>
      <c r="V1" s="2" t="s">
        <v>59</v>
      </c>
      <c r="W1" s="2" t="s">
        <v>60</v>
      </c>
    </row>
    <row r="2" spans="1:23" ht="39" thickBot="1">
      <c r="A2" s="3" t="str">
        <f>'план продаж'!A2</f>
        <v>FIBC-4S-1500</v>
      </c>
      <c r="B2" s="3" t="str">
        <f>'план продаж'!B2</f>
        <v>Биг-бег 4-стропный 1500 кг</v>
      </c>
      <c r="C2" s="3" t="str">
        <f>'план продаж'!C2</f>
        <v>Биг-бег</v>
      </c>
      <c r="D2" s="3" t="str">
        <f>'план продаж'!D2</f>
        <v>90/90/140(180)</v>
      </c>
      <c r="E2" s="3" t="str">
        <f>'план продаж'!E2</f>
        <v>верх загр, дно выгр</v>
      </c>
      <c r="F2" s="3">
        <v>1</v>
      </c>
      <c r="G2" s="3">
        <f>'план продаж'!F2</f>
        <v>90</v>
      </c>
      <c r="H2" s="3">
        <f>'план продаж'!G2</f>
        <v>140</v>
      </c>
      <c r="I2" s="3">
        <f>'план продаж'!H2</f>
        <v>90</v>
      </c>
      <c r="J2" s="3">
        <f>'план продаж'!I2</f>
        <v>25</v>
      </c>
      <c r="K2" s="3">
        <f>'план продаж'!J2</f>
        <v>180</v>
      </c>
      <c r="L2" s="3">
        <v>40</v>
      </c>
      <c r="M2" s="3">
        <v>48</v>
      </c>
      <c r="N2" s="3">
        <v>40</v>
      </c>
      <c r="O2" s="3">
        <v>48</v>
      </c>
      <c r="P2" s="18">
        <v>3.14</v>
      </c>
      <c r="Q2" s="3" t="s">
        <v>21</v>
      </c>
      <c r="R2" s="3">
        <f>'план продаж'!P2</f>
        <v>5</v>
      </c>
      <c r="S2" s="3">
        <f>'план продаж'!Q2</f>
        <v>0</v>
      </c>
      <c r="T2" s="3" t="s">
        <v>99</v>
      </c>
      <c r="U2" s="3" t="s">
        <v>100</v>
      </c>
      <c r="V2" s="10">
        <f>(H2+5+I2+5)/100</f>
        <v>2.4</v>
      </c>
      <c r="W2" s="15">
        <f>V2*R2*1.02</f>
        <v>12.24</v>
      </c>
    </row>
    <row r="3" spans="1:23" ht="39" thickBot="1">
      <c r="A3" s="3" t="str">
        <f t="shared" ref="A3:F3" si="0">A2</f>
        <v>FIBC-4S-1500</v>
      </c>
      <c r="B3" s="3" t="str">
        <f t="shared" si="0"/>
        <v>Биг-бег 4-стропный 1500 кг</v>
      </c>
      <c r="C3" s="3" t="str">
        <f t="shared" si="0"/>
        <v>Биг-бег</v>
      </c>
      <c r="D3" s="3" t="str">
        <f t="shared" si="0"/>
        <v>90/90/140(180)</v>
      </c>
      <c r="E3" s="3" t="str">
        <f t="shared" si="0"/>
        <v>верх загр, дно выгр</v>
      </c>
      <c r="F3" s="3">
        <f t="shared" si="0"/>
        <v>1</v>
      </c>
      <c r="G3" s="3">
        <v>90</v>
      </c>
      <c r="H3" s="3">
        <f>H2</f>
        <v>140</v>
      </c>
      <c r="I3" s="3">
        <f>I2</f>
        <v>90</v>
      </c>
      <c r="J3" s="3">
        <f t="shared" ref="J3" si="1">J2</f>
        <v>25</v>
      </c>
      <c r="K3" s="3">
        <v>72</v>
      </c>
      <c r="L3" s="3">
        <f t="shared" ref="L3" si="2">L2</f>
        <v>40</v>
      </c>
      <c r="M3" s="3">
        <f t="shared" ref="M3" si="3">M2</f>
        <v>48</v>
      </c>
      <c r="N3" s="3">
        <f t="shared" ref="N3" si="4">N2</f>
        <v>40</v>
      </c>
      <c r="O3" s="3">
        <f t="shared" ref="O3" si="5">O2</f>
        <v>48</v>
      </c>
      <c r="P3" s="18">
        <f>P2</f>
        <v>3.14</v>
      </c>
      <c r="Q3" s="14" t="s">
        <v>20</v>
      </c>
      <c r="R3" s="19">
        <f>R2</f>
        <v>5</v>
      </c>
      <c r="S3" s="19">
        <f>S2</f>
        <v>0</v>
      </c>
      <c r="T3" s="3" t="s">
        <v>87</v>
      </c>
      <c r="U3" s="3" t="s">
        <v>104</v>
      </c>
      <c r="V3">
        <f>(O3+M3+G3+5)/100</f>
        <v>1.91</v>
      </c>
      <c r="W3" s="15">
        <f>V3*R3*1.02</f>
        <v>9.7409999999999997</v>
      </c>
    </row>
    <row r="16" spans="1:23" ht="15.75" thickBot="1"/>
    <row r="17" spans="7:8" ht="39.75" thickBot="1">
      <c r="G17" s="9" t="s">
        <v>55</v>
      </c>
      <c r="H17" s="9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D3"/>
  <sheetViews>
    <sheetView zoomScale="90" zoomScaleNormal="90" workbookViewId="0">
      <selection activeCell="X3" sqref="X3"/>
    </sheetView>
  </sheetViews>
  <sheetFormatPr defaultRowHeight="15"/>
  <cols>
    <col min="1" max="1" width="14.28515625" customWidth="1"/>
    <col min="2" max="2" width="20.42578125" customWidth="1"/>
    <col min="3" max="4" width="14.28515625" customWidth="1"/>
    <col min="5" max="5" width="19.7109375" customWidth="1"/>
    <col min="6" max="6" width="21" customWidth="1"/>
    <col min="13" max="13" width="25.140625" customWidth="1"/>
    <col min="17" max="17" width="19.140625" customWidth="1"/>
    <col min="24" max="24" width="11.5703125" bestFit="1" customWidth="1"/>
  </cols>
  <sheetData>
    <row r="1" spans="1:56" ht="180.75" thickBot="1">
      <c r="A1" s="1" t="s">
        <v>0</v>
      </c>
      <c r="B1" s="1" t="s">
        <v>1</v>
      </c>
      <c r="C1" s="1" t="s">
        <v>19</v>
      </c>
      <c r="D1" s="1" t="s">
        <v>4</v>
      </c>
      <c r="E1" s="2" t="s">
        <v>57</v>
      </c>
      <c r="F1" s="2" t="s">
        <v>58</v>
      </c>
      <c r="G1" s="2" t="s">
        <v>60</v>
      </c>
      <c r="H1" s="2" t="s">
        <v>70</v>
      </c>
      <c r="I1" s="2" t="s">
        <v>79</v>
      </c>
      <c r="J1" s="2" t="s">
        <v>72</v>
      </c>
      <c r="K1" s="2" t="s">
        <v>71</v>
      </c>
      <c r="L1" s="2" t="s">
        <v>74</v>
      </c>
      <c r="M1" s="2" t="s">
        <v>82</v>
      </c>
      <c r="N1" s="2" t="s">
        <v>64</v>
      </c>
      <c r="O1" s="2" t="s">
        <v>65</v>
      </c>
      <c r="P1" s="2" t="s">
        <v>66</v>
      </c>
      <c r="Q1" s="2" t="s">
        <v>81</v>
      </c>
      <c r="R1" s="2" t="s">
        <v>67</v>
      </c>
      <c r="S1" s="2" t="s">
        <v>68</v>
      </c>
      <c r="T1" s="2" t="s">
        <v>69</v>
      </c>
      <c r="U1" s="2" t="s">
        <v>73</v>
      </c>
      <c r="V1" s="2" t="s">
        <v>75</v>
      </c>
      <c r="W1" s="2" t="s">
        <v>76</v>
      </c>
      <c r="X1" s="2" t="s">
        <v>77</v>
      </c>
      <c r="Y1" s="2" t="s">
        <v>78</v>
      </c>
    </row>
    <row r="2" spans="1:56" ht="26.25" thickBot="1">
      <c r="A2" s="3" t="str">
        <f>ткацкий!A2</f>
        <v>FIBC-4S-1500</v>
      </c>
      <c r="B2" s="3" t="str">
        <f>ткацкий!B2</f>
        <v>Биг-бег 4-стропный 1500 кг</v>
      </c>
      <c r="C2" s="3" t="str">
        <f>ткацкий!Q2</f>
        <v>обычное</v>
      </c>
      <c r="D2" s="3">
        <f>ткацкий!S2</f>
        <v>0</v>
      </c>
      <c r="E2" s="3" t="str">
        <f>ткацкий!T2</f>
        <v>TK-90-185-WHT</v>
      </c>
      <c r="F2" s="3" t="str">
        <f>ткацкий!U2</f>
        <v>Ткань фальц 90см 185г/м² белая</v>
      </c>
      <c r="G2" s="10">
        <f>ткацкий!W2</f>
        <v>12.24</v>
      </c>
      <c r="H2" s="10">
        <f>ткацкий!K2</f>
        <v>180</v>
      </c>
      <c r="I2" s="10">
        <f>J2/N2</f>
        <v>1440</v>
      </c>
      <c r="J2" s="10">
        <f>ткацкий!G2*4*10</f>
        <v>3600</v>
      </c>
      <c r="K2" s="10">
        <f>J2/1000</f>
        <v>3.6</v>
      </c>
      <c r="L2" s="10">
        <v>9</v>
      </c>
      <c r="M2" s="13" t="s">
        <v>103</v>
      </c>
      <c r="N2" s="10">
        <v>2.5</v>
      </c>
      <c r="O2" s="10">
        <v>1850</v>
      </c>
      <c r="P2" s="10">
        <v>40</v>
      </c>
      <c r="Q2" s="13" t="s">
        <v>80</v>
      </c>
      <c r="R2" s="10">
        <v>4.5</v>
      </c>
      <c r="S2" s="10">
        <v>1800</v>
      </c>
      <c r="T2" s="10">
        <v>48</v>
      </c>
      <c r="U2" s="12">
        <f>O2/9*P2/100+S2/9*T2/100</f>
        <v>178.22222222222223</v>
      </c>
      <c r="V2" s="10">
        <f>(O2*(P2/2)*5)*0.95/1000</f>
        <v>175.75</v>
      </c>
      <c r="W2" s="10">
        <f>(S2*(T2/2)*5)*0.93/1000</f>
        <v>200.88</v>
      </c>
      <c r="X2" s="10">
        <f>(((I2*((O2/1000)/L2))*G2))*0.001</f>
        <v>3.62304</v>
      </c>
      <c r="Y2" s="10">
        <f>(((P2*10)*(S2/1000)/L2)*K2)*G2*0.001</f>
        <v>3.5251199999999998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</row>
    <row r="3" spans="1:56" ht="26.25" thickBot="1">
      <c r="A3" t="str">
        <f>A2</f>
        <v>FIBC-4S-1500</v>
      </c>
      <c r="B3" t="str">
        <f>B2</f>
        <v>Биг-бег 4-стропный 1500 кг</v>
      </c>
      <c r="C3" s="3" t="str">
        <f>ткацкий!Q3</f>
        <v>шахматка</v>
      </c>
      <c r="D3">
        <f>D2</f>
        <v>0</v>
      </c>
      <c r="E3" s="3" t="str">
        <f>ткацкий!T3</f>
        <v>TK-98-72-WHT</v>
      </c>
      <c r="F3" s="3" t="str">
        <f>ткацкий!U3</f>
        <v>Ткань рукав 196см 72г/м² беж</v>
      </c>
      <c r="G3" s="10">
        <f>ткацкий!W3</f>
        <v>9.7409999999999997</v>
      </c>
      <c r="H3" s="10">
        <f>ткацкий!K3</f>
        <v>72</v>
      </c>
      <c r="I3" s="12">
        <v>652</v>
      </c>
      <c r="J3" s="10">
        <v>1960</v>
      </c>
      <c r="K3" s="20">
        <f>J3/1000</f>
        <v>1.96</v>
      </c>
      <c r="L3" s="10">
        <v>9</v>
      </c>
      <c r="M3" s="13" t="s">
        <v>105</v>
      </c>
      <c r="N3" s="10">
        <v>3</v>
      </c>
      <c r="O3" s="10">
        <v>950</v>
      </c>
      <c r="P3" s="10">
        <v>33</v>
      </c>
      <c r="Q3" s="13" t="s">
        <v>105</v>
      </c>
      <c r="R3" s="10">
        <v>3</v>
      </c>
      <c r="S3" s="10">
        <v>950</v>
      </c>
      <c r="T3" s="10">
        <v>33</v>
      </c>
      <c r="U3" s="12">
        <f t="shared" ref="U3" si="0">O3/9*P3/100+S3/9*T3/100</f>
        <v>69.666666666666671</v>
      </c>
      <c r="V3" s="10">
        <f t="shared" ref="V3" si="1">(O3*(P3/2)*5)*0.95/1000</f>
        <v>74.456249999999997</v>
      </c>
      <c r="W3" s="10">
        <f t="shared" ref="W3" si="2">(S3*(T3/2)*5)*0.93/1000</f>
        <v>72.888750000000002</v>
      </c>
      <c r="X3" s="10">
        <f>(((I3*((O3/1000)/L3))*G3))*0.001</f>
        <v>0.67039726666666666</v>
      </c>
      <c r="Y3" s="10">
        <f t="shared" ref="Y3" si="3">(((P3*10)*(S3/1000)/L3)*K3)*G3*0.001</f>
        <v>0.66505054000000008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J15"/>
  <sheetViews>
    <sheetView tabSelected="1" zoomScale="80" zoomScaleNormal="80" workbookViewId="0">
      <selection activeCell="D18" sqref="D18"/>
    </sheetView>
  </sheetViews>
  <sheetFormatPr defaultRowHeight="15"/>
  <cols>
    <col min="1" max="2" width="9.140625" style="21"/>
    <col min="3" max="3" width="30.5703125" style="21" customWidth="1"/>
    <col min="4" max="4" width="29.85546875" style="21" customWidth="1"/>
    <col min="5" max="8" width="20" style="21" customWidth="1"/>
    <col min="9" max="9" width="19.28515625" style="21" customWidth="1"/>
    <col min="10" max="10" width="19.7109375" style="21" customWidth="1"/>
    <col min="11" max="16384" width="9.140625" style="21"/>
  </cols>
  <sheetData>
    <row r="1" spans="2:10">
      <c r="D1" s="64" t="s">
        <v>125</v>
      </c>
      <c r="E1" s="22" t="s">
        <v>106</v>
      </c>
      <c r="F1" s="22" t="s">
        <v>107</v>
      </c>
      <c r="G1" s="22" t="s">
        <v>108</v>
      </c>
      <c r="H1" s="22" t="s">
        <v>109</v>
      </c>
      <c r="I1" s="23" t="s">
        <v>126</v>
      </c>
      <c r="J1" s="22" t="s">
        <v>127</v>
      </c>
    </row>
    <row r="2" spans="2:10">
      <c r="D2" s="64"/>
      <c r="E2" s="22">
        <f>'план продаж'!F2</f>
        <v>90</v>
      </c>
      <c r="F2" s="22">
        <f>'план продаж'!G2</f>
        <v>140</v>
      </c>
      <c r="G2" s="22">
        <f>'план продаж'!H2</f>
        <v>90</v>
      </c>
      <c r="H2" s="22">
        <f>'план продаж'!I2</f>
        <v>25</v>
      </c>
      <c r="I2" s="22">
        <f>ткацкий!L2</f>
        <v>40</v>
      </c>
      <c r="J2" s="22">
        <f>ткацкий!O2</f>
        <v>48</v>
      </c>
    </row>
    <row r="3" spans="2:10">
      <c r="D3" s="22" t="s">
        <v>110</v>
      </c>
      <c r="E3" s="65" t="s">
        <v>111</v>
      </c>
      <c r="F3" s="65"/>
      <c r="G3" s="23"/>
      <c r="H3" s="65" t="s">
        <v>112</v>
      </c>
      <c r="I3" s="65"/>
      <c r="J3" s="65"/>
    </row>
    <row r="5" spans="2:10">
      <c r="B5"/>
      <c r="D5" s="65" t="s">
        <v>113</v>
      </c>
      <c r="E5" s="66" t="s">
        <v>114</v>
      </c>
      <c r="F5" s="67"/>
      <c r="G5" s="67"/>
      <c r="H5" s="67"/>
      <c r="I5" s="67"/>
      <c r="J5" s="68"/>
    </row>
    <row r="6" spans="2:10" ht="30">
      <c r="D6" s="65"/>
      <c r="E6" s="23" t="s">
        <v>106</v>
      </c>
      <c r="F6" s="23" t="s">
        <v>115</v>
      </c>
      <c r="G6" s="23" t="s">
        <v>116</v>
      </c>
      <c r="H6" s="23" t="s">
        <v>117</v>
      </c>
      <c r="I6" s="23"/>
      <c r="J6" s="22" t="s">
        <v>118</v>
      </c>
    </row>
    <row r="7" spans="2:10">
      <c r="D7" s="22" t="s">
        <v>119</v>
      </c>
      <c r="E7" s="22">
        <f>E2</f>
        <v>90</v>
      </c>
      <c r="F7" s="22">
        <f>F2</f>
        <v>140</v>
      </c>
      <c r="G7" s="22">
        <v>4</v>
      </c>
      <c r="H7" s="22">
        <v>1.7999999999999999E-2</v>
      </c>
      <c r="I7" s="22"/>
      <c r="J7" s="24">
        <f>(E7*F7*G7*H7)-I7</f>
        <v>907.19999999999993</v>
      </c>
    </row>
    <row r="8" spans="2:10">
      <c r="D8" s="22" t="s">
        <v>129</v>
      </c>
      <c r="E8" s="22">
        <v>95</v>
      </c>
      <c r="F8" s="22">
        <v>95</v>
      </c>
      <c r="G8" s="22">
        <v>1</v>
      </c>
      <c r="H8" s="22">
        <v>1.7999999999999999E-2</v>
      </c>
      <c r="I8" s="24"/>
      <c r="J8" s="24">
        <f>((E8*F8)-I8)*G8*H8</f>
        <v>162.44999999999999</v>
      </c>
    </row>
    <row r="9" spans="2:10">
      <c r="D9" s="22" t="s">
        <v>120</v>
      </c>
      <c r="E9" s="22">
        <v>5</v>
      </c>
      <c r="F9" s="24">
        <f>(F2/3*2*2+25*2)</f>
        <v>236.66666666666666</v>
      </c>
      <c r="G9" s="22">
        <v>4</v>
      </c>
      <c r="H9" s="22">
        <v>0.35</v>
      </c>
      <c r="I9" s="22"/>
      <c r="J9" s="24">
        <f>F9*G9*H9</f>
        <v>331.33333333333331</v>
      </c>
    </row>
    <row r="10" spans="2:10">
      <c r="D10" s="22" t="s">
        <v>121</v>
      </c>
      <c r="E10" s="22"/>
      <c r="F10" s="22"/>
      <c r="G10" s="22"/>
      <c r="H10" s="22"/>
      <c r="I10" s="22"/>
      <c r="J10" s="24">
        <v>5</v>
      </c>
    </row>
    <row r="11" spans="2:10">
      <c r="D11" s="22" t="s">
        <v>122</v>
      </c>
      <c r="E11" s="22"/>
      <c r="F11" s="25">
        <f>E2*4+G2*4+F2/3*2*4+E13*2+F13*2</f>
        <v>1452.5333333333333</v>
      </c>
      <c r="G11" s="22"/>
      <c r="H11" s="22">
        <v>7.6999999999999999E-2</v>
      </c>
      <c r="I11" s="22"/>
      <c r="J11" s="24">
        <f>H11*F11</f>
        <v>111.84506666666667</v>
      </c>
    </row>
    <row r="12" spans="2:10">
      <c r="D12" s="22" t="s">
        <v>130</v>
      </c>
      <c r="E12" s="22"/>
      <c r="F12" s="25"/>
      <c r="G12" s="22"/>
      <c r="H12" s="22"/>
      <c r="I12" s="22"/>
      <c r="J12" s="24"/>
    </row>
    <row r="13" spans="2:10">
      <c r="D13" s="22" t="s">
        <v>128</v>
      </c>
      <c r="E13" s="22">
        <f>I2*3.14+3</f>
        <v>128.60000000000002</v>
      </c>
      <c r="F13" s="22">
        <f>J2+3</f>
        <v>51</v>
      </c>
      <c r="G13" s="22">
        <v>2</v>
      </c>
      <c r="H13" s="22">
        <v>9.4999999999999998E-3</v>
      </c>
      <c r="I13" s="22"/>
      <c r="J13" s="24">
        <f>(E13*F13*G13*H13)-I13</f>
        <v>124.61340000000003</v>
      </c>
    </row>
    <row r="14" spans="2:10">
      <c r="D14" s="22" t="s">
        <v>123</v>
      </c>
      <c r="E14" s="22">
        <v>2</v>
      </c>
      <c r="F14" s="22">
        <v>120</v>
      </c>
      <c r="G14" s="22">
        <v>2</v>
      </c>
      <c r="H14" s="22">
        <v>0.05</v>
      </c>
      <c r="I14" s="22"/>
      <c r="J14" s="24">
        <f>F14*G14*H14</f>
        <v>12</v>
      </c>
    </row>
    <row r="15" spans="2:10">
      <c r="D15" s="66" t="s">
        <v>124</v>
      </c>
      <c r="E15" s="67"/>
      <c r="F15" s="67"/>
      <c r="G15" s="67"/>
      <c r="H15" s="67"/>
      <c r="I15" s="68"/>
      <c r="J15" s="24">
        <f>SUM(J7:J14)</f>
        <v>1654.4417999999998</v>
      </c>
    </row>
  </sheetData>
  <mergeCells count="6">
    <mergeCell ref="D15:I15"/>
    <mergeCell ref="D1:D2"/>
    <mergeCell ref="E3:F3"/>
    <mergeCell ref="H3:J3"/>
    <mergeCell ref="D5:D6"/>
    <mergeCell ref="E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O27"/>
  <sheetViews>
    <sheetView topLeftCell="A11" workbookViewId="0">
      <selection activeCell="H26" sqref="H26"/>
    </sheetView>
  </sheetViews>
  <sheetFormatPr defaultRowHeight="15"/>
  <cols>
    <col min="1" max="10" width="9.140625" style="29"/>
    <col min="11" max="11" width="11.28515625" style="29" customWidth="1"/>
    <col min="12" max="12" width="10.85546875" style="29" customWidth="1"/>
    <col min="13" max="16384" width="9.140625" style="29"/>
  </cols>
  <sheetData>
    <row r="1" spans="2:15"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8"/>
    </row>
    <row r="2" spans="2:15">
      <c r="B2" s="30"/>
      <c r="C2" s="31"/>
      <c r="D2" s="31"/>
      <c r="E2" s="69" t="s">
        <v>131</v>
      </c>
      <c r="F2" s="69"/>
      <c r="G2" s="69"/>
      <c r="H2" s="69"/>
      <c r="I2" s="69"/>
      <c r="J2" s="69"/>
      <c r="K2" s="69"/>
      <c r="L2" s="31"/>
      <c r="M2" s="31"/>
      <c r="N2" s="31"/>
      <c r="O2" s="32"/>
    </row>
    <row r="3" spans="2:15">
      <c r="B3" s="30"/>
      <c r="C3" s="31"/>
      <c r="D3" s="31"/>
      <c r="E3" s="69"/>
      <c r="F3" s="69"/>
      <c r="G3" s="69"/>
      <c r="H3" s="69"/>
      <c r="I3" s="69"/>
      <c r="J3" s="69"/>
      <c r="K3" s="69"/>
      <c r="L3" s="31"/>
      <c r="M3" s="31"/>
      <c r="N3" s="31"/>
      <c r="O3" s="32"/>
    </row>
    <row r="4" spans="2:15" ht="18.75">
      <c r="B4" s="30"/>
      <c r="C4" s="31"/>
      <c r="D4" s="31"/>
      <c r="E4" s="33"/>
      <c r="F4" s="33"/>
      <c r="G4" s="33"/>
      <c r="H4" s="33"/>
      <c r="I4" s="33"/>
      <c r="J4" s="33"/>
      <c r="K4" s="33"/>
      <c r="L4" s="31"/>
      <c r="M4" s="31"/>
      <c r="N4" s="31"/>
      <c r="O4" s="32"/>
    </row>
    <row r="5" spans="2:15" ht="42.75" customHeight="1">
      <c r="B5" s="30"/>
      <c r="C5" s="34" t="s">
        <v>132</v>
      </c>
      <c r="D5" s="35" t="s">
        <v>133</v>
      </c>
      <c r="E5" s="36"/>
      <c r="F5" s="37" t="s">
        <v>134</v>
      </c>
      <c r="G5" s="38"/>
      <c r="H5" s="38" t="s">
        <v>135</v>
      </c>
      <c r="I5" s="39"/>
      <c r="J5" s="31"/>
      <c r="K5" s="70" t="s">
        <v>136</v>
      </c>
      <c r="L5" s="71"/>
      <c r="M5" s="40" t="s">
        <v>149</v>
      </c>
      <c r="N5" s="41"/>
      <c r="O5" s="32"/>
    </row>
    <row r="6" spans="2:15">
      <c r="B6" s="30"/>
      <c r="C6" s="31"/>
      <c r="D6" s="31"/>
      <c r="E6" s="31"/>
      <c r="F6" s="31"/>
      <c r="G6" s="31"/>
      <c r="H6" s="31"/>
      <c r="I6" s="31"/>
      <c r="J6" s="31"/>
      <c r="K6" s="42"/>
      <c r="L6" s="31"/>
      <c r="M6" s="31"/>
      <c r="N6" s="31"/>
      <c r="O6" s="32"/>
    </row>
    <row r="7" spans="2:15" ht="36.75" customHeight="1">
      <c r="B7" s="30"/>
      <c r="C7" s="43" t="s">
        <v>137</v>
      </c>
      <c r="D7" s="44"/>
      <c r="E7" s="44"/>
      <c r="F7" s="41"/>
      <c r="G7" s="31"/>
      <c r="H7" s="45" t="s">
        <v>150</v>
      </c>
      <c r="I7" s="46"/>
      <c r="J7" s="31"/>
      <c r="K7" s="31"/>
      <c r="L7" s="31"/>
      <c r="M7" s="31"/>
      <c r="N7" s="31"/>
      <c r="O7" s="32"/>
    </row>
    <row r="8" spans="2:15" ht="13.5" customHeight="1">
      <c r="B8" s="30"/>
      <c r="C8" s="31"/>
      <c r="D8" s="31"/>
      <c r="E8" s="31"/>
      <c r="F8" s="31"/>
      <c r="G8" s="31"/>
      <c r="H8" s="47"/>
      <c r="I8" s="48"/>
      <c r="J8" s="31"/>
      <c r="K8" s="31"/>
      <c r="L8" s="31"/>
      <c r="M8" s="31"/>
      <c r="N8" s="31"/>
      <c r="O8" s="32"/>
    </row>
    <row r="9" spans="2:15">
      <c r="B9" s="30"/>
      <c r="C9" s="43" t="s">
        <v>138</v>
      </c>
      <c r="D9" s="44"/>
      <c r="E9" s="44"/>
      <c r="F9" s="41"/>
      <c r="G9" s="31"/>
      <c r="H9" s="49" t="s">
        <v>151</v>
      </c>
      <c r="I9" s="50"/>
      <c r="J9" s="31"/>
      <c r="K9" s="31"/>
      <c r="L9" s="31"/>
      <c r="M9" s="31"/>
      <c r="N9" s="31"/>
      <c r="O9" s="32"/>
    </row>
    <row r="10" spans="2:15">
      <c r="B10" s="30"/>
      <c r="C10" s="31"/>
      <c r="D10" s="31"/>
      <c r="E10" s="31"/>
      <c r="F10" s="31"/>
      <c r="G10" s="31"/>
      <c r="H10" s="51"/>
      <c r="I10" s="52"/>
      <c r="J10" s="31"/>
      <c r="K10" s="31"/>
      <c r="L10" s="31"/>
      <c r="M10" s="31"/>
      <c r="N10" s="31"/>
      <c r="O10" s="32"/>
    </row>
    <row r="11" spans="2:15" ht="16.5" customHeight="1">
      <c r="B11" s="30"/>
      <c r="C11" s="43" t="s">
        <v>139</v>
      </c>
      <c r="D11" s="44"/>
      <c r="E11" s="44"/>
      <c r="F11" s="41"/>
      <c r="G11" s="31"/>
      <c r="H11" s="53" t="s">
        <v>152</v>
      </c>
      <c r="I11" s="41"/>
      <c r="J11" s="31"/>
      <c r="K11" s="31"/>
      <c r="L11" s="31"/>
      <c r="M11" s="31"/>
      <c r="N11" s="31"/>
      <c r="O11" s="32"/>
    </row>
    <row r="12" spans="2:15" ht="36.75" customHeight="1">
      <c r="B12" s="30"/>
      <c r="C12" s="31"/>
      <c r="D12" s="31"/>
      <c r="E12" s="31"/>
      <c r="F12" s="31"/>
      <c r="G12" s="31"/>
      <c r="H12" s="54"/>
      <c r="I12" s="31"/>
      <c r="J12" s="31"/>
      <c r="K12" s="31"/>
      <c r="L12" s="31"/>
      <c r="M12" s="31"/>
      <c r="N12" s="31"/>
      <c r="O12" s="32"/>
    </row>
    <row r="13" spans="2:15">
      <c r="B13" s="30"/>
      <c r="C13" s="43" t="s">
        <v>140</v>
      </c>
      <c r="D13" s="44"/>
      <c r="E13" s="44"/>
      <c r="F13" s="41"/>
      <c r="G13" s="31"/>
      <c r="H13" s="53" t="s">
        <v>153</v>
      </c>
      <c r="I13" s="41"/>
      <c r="J13" s="31"/>
      <c r="K13" s="31"/>
      <c r="L13" s="31"/>
      <c r="M13" s="31"/>
      <c r="N13" s="31"/>
      <c r="O13" s="32"/>
    </row>
    <row r="14" spans="2:15">
      <c r="B14" s="30"/>
      <c r="C14" s="31"/>
      <c r="D14" s="31"/>
      <c r="E14" s="31"/>
      <c r="F14" s="31"/>
      <c r="G14" s="31"/>
      <c r="H14" s="54"/>
      <c r="I14" s="31"/>
      <c r="J14" s="31"/>
      <c r="K14" s="31"/>
      <c r="L14" s="31"/>
      <c r="M14" s="31"/>
      <c r="N14" s="31"/>
      <c r="O14" s="32"/>
    </row>
    <row r="15" spans="2:15" ht="27.75" customHeight="1">
      <c r="B15" s="30"/>
      <c r="C15" s="72" t="s">
        <v>141</v>
      </c>
      <c r="D15" s="73"/>
      <c r="E15" s="73"/>
      <c r="F15" s="74"/>
      <c r="G15" s="31"/>
      <c r="H15" s="53" t="s">
        <v>142</v>
      </c>
      <c r="I15" s="41"/>
      <c r="J15" s="31"/>
      <c r="K15" s="31"/>
      <c r="L15" s="31"/>
      <c r="M15" s="31"/>
      <c r="N15" s="31"/>
      <c r="O15" s="32"/>
    </row>
    <row r="16" spans="2:15">
      <c r="B16" s="30"/>
      <c r="C16" s="31"/>
      <c r="D16" s="31"/>
      <c r="E16" s="31"/>
      <c r="F16" s="31"/>
      <c r="G16" s="31"/>
      <c r="H16" s="54"/>
      <c r="I16" s="31"/>
      <c r="J16" s="31"/>
      <c r="K16" s="31"/>
      <c r="L16" s="31"/>
      <c r="M16" s="31"/>
      <c r="N16" s="31"/>
      <c r="O16" s="32"/>
    </row>
    <row r="17" spans="2:15">
      <c r="B17" s="30"/>
      <c r="C17" s="43" t="s">
        <v>143</v>
      </c>
      <c r="D17" s="44"/>
      <c r="E17" s="44"/>
      <c r="F17" s="41"/>
      <c r="G17" s="31"/>
      <c r="H17" s="53" t="s">
        <v>21</v>
      </c>
      <c r="I17" s="41"/>
      <c r="J17" s="31"/>
      <c r="K17" s="31"/>
      <c r="L17" s="31"/>
      <c r="M17" s="31"/>
      <c r="N17" s="31"/>
      <c r="O17" s="32"/>
    </row>
    <row r="18" spans="2:15">
      <c r="B18" s="30"/>
      <c r="C18" s="31"/>
      <c r="D18" s="31"/>
      <c r="E18" s="31"/>
      <c r="F18" s="31"/>
      <c r="G18" s="31"/>
      <c r="H18" s="54"/>
      <c r="I18" s="31"/>
      <c r="J18" s="31"/>
      <c r="K18" s="31"/>
      <c r="L18" s="31"/>
      <c r="M18" s="31"/>
      <c r="N18" s="31"/>
      <c r="O18" s="32"/>
    </row>
    <row r="19" spans="2:15">
      <c r="B19" s="30"/>
      <c r="C19" s="43" t="s">
        <v>144</v>
      </c>
      <c r="D19" s="44"/>
      <c r="E19" s="44"/>
      <c r="F19" s="41"/>
      <c r="G19" s="31"/>
      <c r="H19" s="55"/>
      <c r="I19" s="56"/>
      <c r="J19" s="31"/>
      <c r="K19" s="31"/>
      <c r="L19" s="31"/>
      <c r="M19" s="31"/>
      <c r="N19" s="31"/>
      <c r="O19" s="32"/>
    </row>
    <row r="20" spans="2:15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2"/>
    </row>
    <row r="21" spans="2:15"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2"/>
    </row>
    <row r="22" spans="2:15">
      <c r="B22" s="30"/>
      <c r="C22" s="31" t="s">
        <v>145</v>
      </c>
      <c r="D22" s="57">
        <v>1</v>
      </c>
      <c r="E22" s="57">
        <v>2</v>
      </c>
      <c r="F22" s="57">
        <v>3</v>
      </c>
      <c r="G22" s="57">
        <v>4</v>
      </c>
      <c r="H22" s="57">
        <v>5</v>
      </c>
      <c r="I22" s="57">
        <v>6</v>
      </c>
      <c r="J22" s="57">
        <v>7</v>
      </c>
      <c r="K22" s="57">
        <v>8</v>
      </c>
      <c r="L22" s="57">
        <v>9</v>
      </c>
      <c r="M22" s="31"/>
      <c r="N22" s="31"/>
      <c r="O22" s="32"/>
    </row>
    <row r="23" spans="2:15">
      <c r="B23" s="30"/>
      <c r="C23" s="31" t="s">
        <v>146</v>
      </c>
      <c r="D23" s="22">
        <v>13</v>
      </c>
      <c r="E23" s="22">
        <v>13</v>
      </c>
      <c r="F23" s="22">
        <v>13</v>
      </c>
      <c r="G23" s="22">
        <v>13</v>
      </c>
      <c r="H23" s="22">
        <v>13</v>
      </c>
      <c r="I23" s="22">
        <v>13</v>
      </c>
      <c r="J23" s="22">
        <v>13</v>
      </c>
      <c r="K23" s="22">
        <v>13</v>
      </c>
      <c r="L23" s="22">
        <v>13</v>
      </c>
      <c r="M23" s="31"/>
      <c r="N23" s="31"/>
      <c r="O23" s="32"/>
    </row>
    <row r="24" spans="2:15">
      <c r="B24" s="30"/>
      <c r="C24" s="31" t="s">
        <v>147</v>
      </c>
      <c r="D24" s="22">
        <v>13</v>
      </c>
      <c r="E24" s="22">
        <v>13</v>
      </c>
      <c r="F24" s="22">
        <v>13</v>
      </c>
      <c r="G24" s="22">
        <v>13</v>
      </c>
      <c r="H24" s="22">
        <v>13</v>
      </c>
      <c r="I24" s="22">
        <v>13</v>
      </c>
      <c r="J24" s="22">
        <v>13</v>
      </c>
      <c r="K24" s="22">
        <v>13</v>
      </c>
      <c r="L24" s="22">
        <v>13</v>
      </c>
      <c r="M24" s="31"/>
      <c r="N24" s="31"/>
      <c r="O24" s="32"/>
    </row>
    <row r="25" spans="2:15"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2"/>
    </row>
    <row r="26" spans="2:15" ht="20.25">
      <c r="B26" s="30"/>
      <c r="C26" s="58" t="s">
        <v>148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2"/>
    </row>
    <row r="27" spans="2:15">
      <c r="B27" s="59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1"/>
    </row>
  </sheetData>
  <mergeCells count="3">
    <mergeCell ref="E2:K3"/>
    <mergeCell ref="K5:L5"/>
    <mergeCell ref="C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план продаж</vt:lpstr>
      <vt:lpstr>сырье</vt:lpstr>
      <vt:lpstr>план производства</vt:lpstr>
      <vt:lpstr>МФН нити прошивочные</vt:lpstr>
      <vt:lpstr>лента</vt:lpstr>
      <vt:lpstr>чехол стропа</vt:lpstr>
      <vt:lpstr>ткацкий</vt:lpstr>
      <vt:lpstr>экструзия</vt:lpstr>
      <vt:lpstr>расчет веса</vt:lpstr>
      <vt:lpstr>зк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2026-01-27T18:32:54Z</dcterms:modified>
</cp:coreProperties>
</file>