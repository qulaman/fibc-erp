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305" activeTab="1"/>
  </bookViews>
  <sheets>
    <sheet name="план продаж" sheetId="1" r:id="rId1"/>
    <sheet name="план производства " sheetId="6" r:id="rId2"/>
    <sheet name="экструдер " sheetId="7" r:id="rId3"/>
    <sheet name="план бб" sheetId="5" r:id="rId4"/>
    <sheet name="план ткацкий просте станки" sheetId="2" r:id="rId5"/>
    <sheet name="расчет мешочное " sheetId="3" state="hidden" r:id="rId6"/>
    <sheet name="черновик с расчетами" sheetId="4" state="hidden" r:id="rId7"/>
    <sheet name="расчет бб" sheetId="8" state="hidden" r:id="rId8"/>
    <sheet name="раскрой бб" sheetId="9" r:id="rId9"/>
    <sheet name="тлб лента" sheetId="11" r:id="rId10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6"/>
  <c r="F11"/>
  <c r="G11"/>
  <c r="J11"/>
  <c r="M11"/>
  <c r="S11" s="1"/>
  <c r="Y11" s="1"/>
  <c r="AE11" s="1"/>
  <c r="AK11" s="1"/>
  <c r="AQ11" s="1"/>
  <c r="AW11" s="1"/>
  <c r="BC11" s="1"/>
  <c r="BI11" s="1"/>
  <c r="BO11" s="1"/>
  <c r="BU11" s="1"/>
  <c r="CA11" s="1"/>
  <c r="CG11" s="1"/>
  <c r="CM11" s="1"/>
  <c r="P11"/>
  <c r="V11" s="1"/>
  <c r="AB11" s="1"/>
  <c r="AH11" s="1"/>
  <c r="AN11" s="1"/>
  <c r="AT11" s="1"/>
  <c r="AZ11" s="1"/>
  <c r="BF11" s="1"/>
  <c r="BL11" s="1"/>
  <c r="BR11" s="1"/>
  <c r="BX11" s="1"/>
  <c r="CD11" s="1"/>
  <c r="CJ11" s="1"/>
  <c r="CP11" s="1"/>
  <c r="E12"/>
  <c r="F12" s="1"/>
  <c r="G12"/>
  <c r="J12"/>
  <c r="M12"/>
  <c r="S12" s="1"/>
  <c r="Y12" s="1"/>
  <c r="AE12" s="1"/>
  <c r="AK12" s="1"/>
  <c r="AQ12" s="1"/>
  <c r="AW12" s="1"/>
  <c r="BC12" s="1"/>
  <c r="BI12" s="1"/>
  <c r="BO12" s="1"/>
  <c r="BU12" s="1"/>
  <c r="CA12" s="1"/>
  <c r="CG12" s="1"/>
  <c r="CM12" s="1"/>
  <c r="P12"/>
  <c r="V12" s="1"/>
  <c r="AB12" s="1"/>
  <c r="AH12" s="1"/>
  <c r="AN12" s="1"/>
  <c r="AT12" s="1"/>
  <c r="AZ12" s="1"/>
  <c r="BF12" s="1"/>
  <c r="BL12" s="1"/>
  <c r="BR12" s="1"/>
  <c r="BX12" s="1"/>
  <c r="CD12" s="1"/>
  <c r="CJ12" s="1"/>
  <c r="CP12" s="1"/>
  <c r="D12"/>
  <c r="E9"/>
  <c r="F9" s="1"/>
  <c r="G9"/>
  <c r="J9"/>
  <c r="M9"/>
  <c r="S9" s="1"/>
  <c r="Y9" s="1"/>
  <c r="AE9" s="1"/>
  <c r="AK9" s="1"/>
  <c r="AQ9" s="1"/>
  <c r="AW9" s="1"/>
  <c r="BC9" s="1"/>
  <c r="BI9" s="1"/>
  <c r="BO9" s="1"/>
  <c r="BU9" s="1"/>
  <c r="CA9" s="1"/>
  <c r="CG9" s="1"/>
  <c r="CM9" s="1"/>
  <c r="P9"/>
  <c r="V9" s="1"/>
  <c r="AB9" s="1"/>
  <c r="AH9" s="1"/>
  <c r="AN9" s="1"/>
  <c r="AT9" s="1"/>
  <c r="AZ9" s="1"/>
  <c r="BF9" s="1"/>
  <c r="BL9" s="1"/>
  <c r="BR9" s="1"/>
  <c r="BX9" s="1"/>
  <c r="CD9" s="1"/>
  <c r="CJ9" s="1"/>
  <c r="CP9" s="1"/>
  <c r="E10"/>
  <c r="F10" s="1"/>
  <c r="G10"/>
  <c r="J10"/>
  <c r="M10"/>
  <c r="S10" s="1"/>
  <c r="Y10" s="1"/>
  <c r="AE10" s="1"/>
  <c r="AK10" s="1"/>
  <c r="AQ10" s="1"/>
  <c r="AW10" s="1"/>
  <c r="BC10" s="1"/>
  <c r="BI10" s="1"/>
  <c r="BO10" s="1"/>
  <c r="BU10" s="1"/>
  <c r="CA10" s="1"/>
  <c r="CG10" s="1"/>
  <c r="CM10" s="1"/>
  <c r="P10"/>
  <c r="V10" s="1"/>
  <c r="AB10" s="1"/>
  <c r="AH10" s="1"/>
  <c r="AN10" s="1"/>
  <c r="AT10" s="1"/>
  <c r="AZ10" s="1"/>
  <c r="BF10" s="1"/>
  <c r="BL10" s="1"/>
  <c r="BR10" s="1"/>
  <c r="BX10" s="1"/>
  <c r="CD10" s="1"/>
  <c r="CJ10" s="1"/>
  <c r="CP10" s="1"/>
  <c r="L49" i="11"/>
  <c r="L48"/>
  <c r="D10" i="6"/>
  <c r="D9"/>
  <c r="I49" i="11"/>
  <c r="I48"/>
  <c r="J49"/>
  <c r="J47"/>
  <c r="J48"/>
  <c r="C47"/>
  <c r="I46"/>
  <c r="J46" s="1"/>
  <c r="H45"/>
  <c r="I45" s="1"/>
  <c r="J45" s="1"/>
  <c r="F45"/>
  <c r="I44"/>
  <c r="J44" s="1"/>
  <c r="H43"/>
  <c r="F43"/>
  <c r="I42"/>
  <c r="J42" s="1"/>
  <c r="H41"/>
  <c r="F41"/>
  <c r="F39"/>
  <c r="I40"/>
  <c r="J40" s="1"/>
  <c r="H39"/>
  <c r="I33"/>
  <c r="J33" s="1"/>
  <c r="L33"/>
  <c r="I38"/>
  <c r="J38" s="1"/>
  <c r="H37"/>
  <c r="F37"/>
  <c r="B34"/>
  <c r="H34"/>
  <c r="I36"/>
  <c r="J36" s="1"/>
  <c r="H35"/>
  <c r="F35"/>
  <c r="F34" s="1"/>
  <c r="H32"/>
  <c r="F32"/>
  <c r="H30"/>
  <c r="F30"/>
  <c r="I31"/>
  <c r="H29"/>
  <c r="I43" l="1"/>
  <c r="I41"/>
  <c r="J41" s="1"/>
  <c r="I32"/>
  <c r="J32" s="1"/>
  <c r="I35"/>
  <c r="J35" s="1"/>
  <c r="I34"/>
  <c r="J34" s="1"/>
  <c r="I39"/>
  <c r="J39" s="1"/>
  <c r="I37"/>
  <c r="J37" s="1"/>
  <c r="I30"/>
  <c r="F29" l="1"/>
  <c r="I29" s="1"/>
  <c r="J29" s="1"/>
  <c r="I47"/>
  <c r="B45"/>
  <c r="C43"/>
  <c r="B43"/>
  <c r="B41"/>
  <c r="B39"/>
  <c r="B37"/>
  <c r="B35"/>
  <c r="B32"/>
  <c r="J31"/>
  <c r="J30"/>
  <c r="B30"/>
  <c r="B29"/>
  <c r="B28"/>
  <c r="G25"/>
  <c r="I25" s="1"/>
  <c r="I24"/>
  <c r="I22"/>
  <c r="E22"/>
  <c r="G23" s="1"/>
  <c r="I23" s="1"/>
  <c r="B22"/>
  <c r="G21"/>
  <c r="I21" s="1"/>
  <c r="I20"/>
  <c r="G19"/>
  <c r="I19" s="1"/>
  <c r="I18"/>
  <c r="G17"/>
  <c r="I17" s="1"/>
  <c r="I16"/>
  <c r="G15"/>
  <c r="I15" s="1"/>
  <c r="I14"/>
  <c r="G13"/>
  <c r="I13" s="1"/>
  <c r="I12"/>
  <c r="G11"/>
  <c r="I11" s="1"/>
  <c r="I10"/>
  <c r="G9"/>
  <c r="I9" s="1"/>
  <c r="I8"/>
  <c r="G7"/>
  <c r="I7" s="1"/>
  <c r="I6"/>
  <c r="G5"/>
  <c r="I5" s="1"/>
  <c r="I4"/>
  <c r="G3"/>
  <c r="I3" s="1"/>
  <c r="I2"/>
  <c r="B2"/>
  <c r="E7" i="6"/>
  <c r="E8"/>
  <c r="I65" i="9"/>
  <c r="J65" s="1"/>
  <c r="I64"/>
  <c r="J64" s="1"/>
  <c r="B64"/>
  <c r="I62"/>
  <c r="J62" s="1"/>
  <c r="B62"/>
  <c r="I61"/>
  <c r="J61" s="1"/>
  <c r="I60"/>
  <c r="J60" s="1"/>
  <c r="I59"/>
  <c r="J59" s="1"/>
  <c r="I58"/>
  <c r="J58" s="1"/>
  <c r="B58"/>
  <c r="I55"/>
  <c r="C55"/>
  <c r="C66" s="1"/>
  <c r="B55"/>
  <c r="I57"/>
  <c r="J57" s="1"/>
  <c r="I56"/>
  <c r="J56" s="1"/>
  <c r="I63"/>
  <c r="J63" s="1"/>
  <c r="I66"/>
  <c r="I54"/>
  <c r="J54" s="1"/>
  <c r="I53"/>
  <c r="J53" s="1"/>
  <c r="I52"/>
  <c r="J52" s="1"/>
  <c r="J51"/>
  <c r="I51"/>
  <c r="B51"/>
  <c r="I50"/>
  <c r="J50" s="1"/>
  <c r="I49"/>
  <c r="J49" s="1"/>
  <c r="I48"/>
  <c r="J48" s="1"/>
  <c r="I47"/>
  <c r="J47" s="1"/>
  <c r="B47"/>
  <c r="I46"/>
  <c r="J46" s="1"/>
  <c r="I45"/>
  <c r="J45" s="1"/>
  <c r="I44"/>
  <c r="J44" s="1"/>
  <c r="J43"/>
  <c r="I43"/>
  <c r="B43"/>
  <c r="B40"/>
  <c r="I42"/>
  <c r="J42" s="1"/>
  <c r="I41"/>
  <c r="J41" s="1"/>
  <c r="I40"/>
  <c r="J40" s="1"/>
  <c r="B38"/>
  <c r="I39"/>
  <c r="J39" s="1"/>
  <c r="I38"/>
  <c r="J38" s="1"/>
  <c r="I35"/>
  <c r="J35" s="1"/>
  <c r="I34"/>
  <c r="J34" s="1"/>
  <c r="B34"/>
  <c r="I32"/>
  <c r="J32" s="1"/>
  <c r="I31"/>
  <c r="J31" s="1"/>
  <c r="I33"/>
  <c r="J33" s="1"/>
  <c r="I36"/>
  <c r="J36" s="1"/>
  <c r="I37"/>
  <c r="J37" s="1"/>
  <c r="B31"/>
  <c r="I30"/>
  <c r="J30" s="1"/>
  <c r="I29"/>
  <c r="J29" s="1"/>
  <c r="B29"/>
  <c r="B28"/>
  <c r="G25"/>
  <c r="I25" s="1"/>
  <c r="I24"/>
  <c r="I22"/>
  <c r="E22"/>
  <c r="G23" s="1"/>
  <c r="I23" s="1"/>
  <c r="B22"/>
  <c r="G21"/>
  <c r="I21" s="1"/>
  <c r="I20"/>
  <c r="G19"/>
  <c r="I19" s="1"/>
  <c r="I18"/>
  <c r="G17"/>
  <c r="I17" s="1"/>
  <c r="I16"/>
  <c r="G15"/>
  <c r="I15" s="1"/>
  <c r="I14"/>
  <c r="G13"/>
  <c r="I13" s="1"/>
  <c r="I12"/>
  <c r="G11"/>
  <c r="I11" s="1"/>
  <c r="I10"/>
  <c r="G9"/>
  <c r="I9" s="1"/>
  <c r="I8"/>
  <c r="G7"/>
  <c r="I7" s="1"/>
  <c r="I6"/>
  <c r="G5"/>
  <c r="I5" s="1"/>
  <c r="I4"/>
  <c r="G3"/>
  <c r="I3" s="1"/>
  <c r="I2"/>
  <c r="B2"/>
  <c r="J43" i="11" l="1"/>
  <c r="D7" i="6"/>
  <c r="D8"/>
  <c r="J66" i="9"/>
  <c r="J55"/>
  <c r="G7" i="6" l="1"/>
  <c r="M7" s="1"/>
  <c r="S7" s="1"/>
  <c r="Y7" s="1"/>
  <c r="AE7" s="1"/>
  <c r="AK7" s="1"/>
  <c r="AQ7" s="1"/>
  <c r="AW7" s="1"/>
  <c r="BC7" s="1"/>
  <c r="BI7" s="1"/>
  <c r="BO7" s="1"/>
  <c r="BU7" s="1"/>
  <c r="CA7" s="1"/>
  <c r="CG7" s="1"/>
  <c r="CM7" s="1"/>
  <c r="J7"/>
  <c r="P7" s="1"/>
  <c r="V7" s="1"/>
  <c r="AB7" s="1"/>
  <c r="AH7" s="1"/>
  <c r="AN7" s="1"/>
  <c r="AT7" s="1"/>
  <c r="AZ7" s="1"/>
  <c r="BF7" s="1"/>
  <c r="BL7" s="1"/>
  <c r="BR7" s="1"/>
  <c r="BX7" s="1"/>
  <c r="CD7" s="1"/>
  <c r="CJ7" s="1"/>
  <c r="CP7" s="1"/>
  <c r="G8"/>
  <c r="M8" s="1"/>
  <c r="S8" s="1"/>
  <c r="Y8" s="1"/>
  <c r="AE8" s="1"/>
  <c r="AK8" s="1"/>
  <c r="AQ8" s="1"/>
  <c r="AW8" s="1"/>
  <c r="BC8" s="1"/>
  <c r="BI8" s="1"/>
  <c r="BO8" s="1"/>
  <c r="BU8" s="1"/>
  <c r="CA8" s="1"/>
  <c r="CG8" s="1"/>
  <c r="CM8" s="1"/>
  <c r="J8"/>
  <c r="P8" s="1"/>
  <c r="V8" s="1"/>
  <c r="AB8" s="1"/>
  <c r="AH8" s="1"/>
  <c r="AN8" s="1"/>
  <c r="AT8" s="1"/>
  <c r="AZ8" s="1"/>
  <c r="BF8" s="1"/>
  <c r="BL8" s="1"/>
  <c r="BR8" s="1"/>
  <c r="BX8" s="1"/>
  <c r="CD8" s="1"/>
  <c r="CJ8" s="1"/>
  <c r="CP8" s="1"/>
  <c r="F7"/>
  <c r="F8"/>
  <c r="V6" l="1"/>
  <c r="AB6" s="1"/>
  <c r="AH6" s="1"/>
  <c r="AN6" s="1"/>
  <c r="AT6" s="1"/>
  <c r="AZ6" s="1"/>
  <c r="BF6" s="1"/>
  <c r="BL6" s="1"/>
  <c r="BR6" s="1"/>
  <c r="BX6" s="1"/>
  <c r="CD6" s="1"/>
  <c r="CJ6" s="1"/>
  <c r="CP6" s="1"/>
  <c r="S6"/>
  <c r="Y6" s="1"/>
  <c r="AE6" s="1"/>
  <c r="AK6" s="1"/>
  <c r="AQ6" s="1"/>
  <c r="AW6" s="1"/>
  <c r="BC6" s="1"/>
  <c r="BI6" s="1"/>
  <c r="BO6" s="1"/>
  <c r="BU6" s="1"/>
  <c r="CA6" s="1"/>
  <c r="CG6" s="1"/>
  <c r="CM6" s="1"/>
  <c r="Y5"/>
  <c r="AE5" s="1"/>
  <c r="AK5" s="1"/>
  <c r="AQ5" s="1"/>
  <c r="AW5" s="1"/>
  <c r="BC5" s="1"/>
  <c r="BI5" s="1"/>
  <c r="BO5" s="1"/>
  <c r="BU5" s="1"/>
  <c r="CA5" s="1"/>
  <c r="CG5" s="1"/>
  <c r="CM5" s="1"/>
  <c r="V5"/>
  <c r="AB5" s="1"/>
  <c r="AH5" s="1"/>
  <c r="AN5" s="1"/>
  <c r="AT5" s="1"/>
  <c r="AZ5" s="1"/>
  <c r="BF5" s="1"/>
  <c r="BL5" s="1"/>
  <c r="BR5" s="1"/>
  <c r="BX5" s="1"/>
  <c r="CD5" s="1"/>
  <c r="CJ5" s="1"/>
  <c r="CP5" s="1"/>
  <c r="S5"/>
  <c r="AB4"/>
  <c r="AH4" s="1"/>
  <c r="AN4" s="1"/>
  <c r="AT4" s="1"/>
  <c r="AZ4" s="1"/>
  <c r="BF4" s="1"/>
  <c r="BL4" s="1"/>
  <c r="BR4" s="1"/>
  <c r="BX4" s="1"/>
  <c r="CD4" s="1"/>
  <c r="CJ4" s="1"/>
  <c r="CP4" s="1"/>
  <c r="V4"/>
  <c r="S4"/>
  <c r="Y4" s="1"/>
  <c r="AE4" s="1"/>
  <c r="AK4" s="1"/>
  <c r="AQ4" s="1"/>
  <c r="AW4" s="1"/>
  <c r="BC4" s="1"/>
  <c r="BI4" s="1"/>
  <c r="BO4" s="1"/>
  <c r="BU4" s="1"/>
  <c r="CA4" s="1"/>
  <c r="CG4" s="1"/>
  <c r="CM4" s="1"/>
  <c r="Y3"/>
  <c r="AE3" s="1"/>
  <c r="AK3" s="1"/>
  <c r="AQ3" s="1"/>
  <c r="AW3" s="1"/>
  <c r="BC3" s="1"/>
  <c r="BI3" s="1"/>
  <c r="BO3" s="1"/>
  <c r="BU3" s="1"/>
  <c r="CA3" s="1"/>
  <c r="CG3" s="1"/>
  <c r="CM3" s="1"/>
  <c r="V3"/>
  <c r="AB3" s="1"/>
  <c r="AH3" s="1"/>
  <c r="AN3" s="1"/>
  <c r="AT3" s="1"/>
  <c r="AZ3" s="1"/>
  <c r="BF3" s="1"/>
  <c r="BL3" s="1"/>
  <c r="BR3" s="1"/>
  <c r="BX3" s="1"/>
  <c r="CD3" s="1"/>
  <c r="CJ3" s="1"/>
  <c r="CP3" s="1"/>
  <c r="S3"/>
  <c r="P4"/>
  <c r="P5"/>
  <c r="P6"/>
  <c r="P3"/>
  <c r="M4"/>
  <c r="M5"/>
  <c r="M6"/>
  <c r="M3"/>
  <c r="J4"/>
  <c r="J5"/>
  <c r="J6"/>
  <c r="J3"/>
  <c r="G5"/>
  <c r="G6"/>
  <c r="G4"/>
  <c r="G3"/>
  <c r="D4"/>
  <c r="T4" i="8"/>
  <c r="S4"/>
  <c r="V4"/>
  <c r="G24" i="7"/>
  <c r="Y4" i="8"/>
  <c r="H8"/>
  <c r="H7"/>
  <c r="AB6"/>
  <c r="AE4"/>
  <c r="AC4"/>
  <c r="Z4"/>
  <c r="D3" i="6"/>
  <c r="L9" i="3"/>
  <c r="K9"/>
  <c r="O9"/>
  <c r="I4" i="2"/>
  <c r="G13" i="7"/>
  <c r="N9" i="3"/>
  <c r="O7" i="2"/>
  <c r="O3"/>
  <c r="O4"/>
  <c r="O5"/>
  <c r="O6"/>
  <c r="O8"/>
  <c r="O2"/>
  <c r="R2"/>
  <c r="Q2"/>
  <c r="U4" i="8" l="1"/>
  <c r="K17" i="3" l="1"/>
  <c r="M17" s="1"/>
  <c r="K13"/>
  <c r="I13"/>
  <c r="H13"/>
  <c r="E13"/>
  <c r="M9"/>
  <c r="L8" i="5"/>
  <c r="E4" i="6"/>
  <c r="E5"/>
  <c r="E6"/>
  <c r="E3"/>
  <c r="F3" s="1"/>
  <c r="F4" l="1"/>
  <c r="M8" i="5" l="1"/>
  <c r="S11" i="4"/>
  <c r="L7" i="5"/>
  <c r="M7" s="1"/>
  <c r="I7"/>
  <c r="J7" s="1"/>
  <c r="L6"/>
  <c r="M6" s="1"/>
  <c r="I6"/>
  <c r="J6" s="1"/>
  <c r="I8"/>
  <c r="J8" s="1"/>
  <c r="I5"/>
  <c r="O3"/>
  <c r="O4"/>
  <c r="O2"/>
  <c r="L9"/>
  <c r="M9" s="1"/>
  <c r="N9" s="1"/>
  <c r="I9"/>
  <c r="J9" s="1"/>
  <c r="L5"/>
  <c r="M5" s="1"/>
  <c r="J5"/>
  <c r="L4"/>
  <c r="M4" s="1"/>
  <c r="J4"/>
  <c r="I4"/>
  <c r="L3"/>
  <c r="M3" s="1"/>
  <c r="I3"/>
  <c r="J3" s="1"/>
  <c r="N11"/>
  <c r="M2"/>
  <c r="L2"/>
  <c r="S8" i="4"/>
  <c r="J2" i="5"/>
  <c r="I2"/>
  <c r="N8" i="2"/>
  <c r="L4"/>
  <c r="K4"/>
  <c r="Q2" i="4"/>
  <c r="J4" i="2"/>
  <c r="K5"/>
  <c r="L5" s="1"/>
  <c r="S2" i="4"/>
  <c r="J5" i="2"/>
  <c r="I5"/>
  <c r="M2"/>
  <c r="K3"/>
  <c r="L3" s="1"/>
  <c r="R2" i="4"/>
  <c r="J3" i="2"/>
  <c r="I3"/>
  <c r="L2"/>
  <c r="K2"/>
  <c r="N8" i="5" l="1"/>
  <c r="O9"/>
  <c r="N7"/>
  <c r="O7" s="1"/>
  <c r="N6"/>
  <c r="O6" s="1"/>
  <c r="N5"/>
  <c r="O5" s="1"/>
  <c r="N4"/>
  <c r="N3"/>
  <c r="N2"/>
  <c r="N4" i="2"/>
  <c r="M4"/>
  <c r="M5"/>
  <c r="N5" s="1"/>
  <c r="M3"/>
  <c r="N3" s="1"/>
  <c r="N2"/>
  <c r="N7" l="1"/>
  <c r="D5" i="6" s="1"/>
  <c r="F5" s="1"/>
  <c r="N6" i="2"/>
  <c r="O8" i="5"/>
  <c r="N10"/>
  <c r="D6" i="6" s="1"/>
  <c r="F6" s="1"/>
  <c r="G29" i="4"/>
  <c r="I29" s="1"/>
  <c r="I28"/>
  <c r="I26"/>
  <c r="E26"/>
  <c r="G27" s="1"/>
  <c r="I27" s="1"/>
  <c r="B26"/>
  <c r="G25"/>
  <c r="I25" s="1"/>
  <c r="I24"/>
  <c r="P23"/>
  <c r="I23"/>
  <c r="G23"/>
  <c r="Q22"/>
  <c r="Q23" s="1"/>
  <c r="Q24" s="1"/>
  <c r="P22"/>
  <c r="I22"/>
  <c r="Q21"/>
  <c r="P21"/>
  <c r="G21"/>
  <c r="I21" s="1"/>
  <c r="N20"/>
  <c r="I20"/>
  <c r="I19"/>
  <c r="G19"/>
  <c r="I18"/>
  <c r="V17"/>
  <c r="I17"/>
  <c r="G17"/>
  <c r="V16"/>
  <c r="I16"/>
  <c r="I15"/>
  <c r="G15"/>
  <c r="I14"/>
  <c r="I13"/>
  <c r="G13"/>
  <c r="S12"/>
  <c r="V12" s="1"/>
  <c r="I12"/>
  <c r="V11"/>
  <c r="I11"/>
  <c r="G11"/>
  <c r="I10"/>
  <c r="S9"/>
  <c r="V9" s="1"/>
  <c r="I9"/>
  <c r="G9"/>
  <c r="U8"/>
  <c r="T8"/>
  <c r="I8"/>
  <c r="I7"/>
  <c r="G7"/>
  <c r="I6"/>
  <c r="B6"/>
  <c r="S4"/>
  <c r="R4"/>
  <c r="E4"/>
  <c r="O3"/>
  <c r="G3"/>
  <c r="I3" s="1"/>
  <c r="T2"/>
  <c r="T4" s="1"/>
  <c r="G4" s="1"/>
  <c r="G4" i="1" s="1"/>
  <c r="P2" i="4"/>
  <c r="P5" s="1"/>
  <c r="T5" s="1"/>
  <c r="O2"/>
  <c r="I2"/>
  <c r="B26" i="1"/>
  <c r="B6"/>
  <c r="N9" i="2" l="1"/>
  <c r="M6"/>
  <c r="L6" s="1"/>
  <c r="K6" s="1"/>
  <c r="V8" i="4"/>
  <c r="V13" s="1"/>
  <c r="V14" s="1"/>
  <c r="N12" i="5"/>
  <c r="G5" i="4"/>
  <c r="I5" s="1"/>
  <c r="I4"/>
  <c r="B2"/>
  <c r="E26" i="1"/>
  <c r="G29" l="1"/>
  <c r="I29" s="1"/>
  <c r="G27"/>
  <c r="I27" s="1"/>
  <c r="G25"/>
  <c r="I25" s="1"/>
  <c r="G7"/>
  <c r="G23"/>
  <c r="I23" s="1"/>
  <c r="G21"/>
  <c r="I21" s="1"/>
  <c r="G19"/>
  <c r="I19" s="1"/>
  <c r="G17"/>
  <c r="I17" s="1"/>
  <c r="G15"/>
  <c r="I15" s="1"/>
  <c r="G13"/>
  <c r="I13" s="1"/>
  <c r="G11"/>
  <c r="G9"/>
  <c r="I9" s="1"/>
  <c r="I26"/>
  <c r="I28"/>
  <c r="I16"/>
  <c r="I18"/>
  <c r="I20"/>
  <c r="I22"/>
  <c r="I24"/>
  <c r="I14"/>
  <c r="I12"/>
  <c r="I6"/>
  <c r="I7"/>
  <c r="I8"/>
  <c r="I10"/>
  <c r="I11"/>
  <c r="E4"/>
  <c r="I2"/>
  <c r="G3"/>
  <c r="I3" s="1"/>
  <c r="I4" l="1"/>
  <c r="B2" l="1"/>
  <c r="G5"/>
  <c r="I5" s="1"/>
</calcChain>
</file>

<file path=xl/sharedStrings.xml><?xml version="1.0" encoding="utf-8"?>
<sst xmlns="http://schemas.openxmlformats.org/spreadsheetml/2006/main" count="739" uniqueCount="263">
  <si>
    <t>Вид продукции</t>
  </si>
  <si>
    <t>ед. изм.</t>
  </si>
  <si>
    <t>шт</t>
  </si>
  <si>
    <t>кг</t>
  </si>
  <si>
    <t>Группа</t>
  </si>
  <si>
    <t>Мешки</t>
  </si>
  <si>
    <t>МП-I-ArB с лог "EAC" 56*96 (76 гр\м2)</t>
  </si>
  <si>
    <t xml:space="preserve">Примечание </t>
  </si>
  <si>
    <t>вес 1 шт, кг</t>
  </si>
  <si>
    <t>ПЛАН</t>
  </si>
  <si>
    <t>ФАКТ</t>
  </si>
  <si>
    <t>%выполнения</t>
  </si>
  <si>
    <t>сахар</t>
  </si>
  <si>
    <t>МП-I-A с лог  56*105 (63 гр\м2)</t>
  </si>
  <si>
    <t>мука</t>
  </si>
  <si>
    <t>МКР 4 ленточные</t>
  </si>
  <si>
    <t>МКР 1,3 Л4-1,0 ППР1-Е (95х95х130/140) верх открытый, дно глухое</t>
  </si>
  <si>
    <t>МКР 1,3 Л4-1,0 ППР1-Е (95х95х130/140) верх юбка, дно глухое</t>
  </si>
  <si>
    <t>МКР 1,3 Л4-1,0 ППР1-Е (95х95х130/140) верх загр, низ выгр</t>
  </si>
  <si>
    <t xml:space="preserve">общая загрузка, шт </t>
  </si>
  <si>
    <t>МКР 1,3 Л4-1,0 ППР1-Е (95х95х130/160) верх юбка, дно глухое</t>
  </si>
  <si>
    <t>МКР 1,3 Л4-1,0 ППР1-Е (95х95х130/160) верх загр, низ выгр</t>
  </si>
  <si>
    <t>МКР 1,3 Л4-1,0 ППР1-Е (95х95х150/140) верх юбка, дно глухое</t>
  </si>
  <si>
    <t>МКР 1,3 Л4-1,0 ППР1-Е (95х95х150/140) верх открытый, дно глухое</t>
  </si>
  <si>
    <t>№ заказа</t>
  </si>
  <si>
    <t>открытый верх</t>
  </si>
  <si>
    <t>ед измерения</t>
  </si>
  <si>
    <t>загр выгр</t>
  </si>
  <si>
    <t>итого</t>
  </si>
  <si>
    <t xml:space="preserve">МКР 95х95х130х160 </t>
  </si>
  <si>
    <t xml:space="preserve">МКР 95х95х180х140 </t>
  </si>
  <si>
    <t xml:space="preserve">МКР 95х95х150х140 </t>
  </si>
  <si>
    <t xml:space="preserve">МКР 95х95х130х140 </t>
  </si>
  <si>
    <t xml:space="preserve">МКР  75х75х125х120 </t>
  </si>
  <si>
    <t>МКР  75х75х125х140</t>
  </si>
  <si>
    <t>МКР 0,9 С2-1,0 ППР1-A (75х75х125/120) верх открытый, дно звезда</t>
  </si>
  <si>
    <t>МКР 0,9 С2-1,0 ППР1-A (75х75х125/140) верх открытый, дно звезда</t>
  </si>
  <si>
    <t>МКР 2х стропные</t>
  </si>
  <si>
    <t>МКР</t>
  </si>
  <si>
    <t>4 ленточные</t>
  </si>
  <si>
    <t>2х стропные</t>
  </si>
  <si>
    <t>метраж дно</t>
  </si>
  <si>
    <t>м</t>
  </si>
  <si>
    <t>метрраж полотен для юбки, загр выгр</t>
  </si>
  <si>
    <t>Комментарии</t>
  </si>
  <si>
    <t xml:space="preserve">надо уменьшить до 5000 шт </t>
  </si>
  <si>
    <t xml:space="preserve">увеличить до 20 тыс </t>
  </si>
  <si>
    <t xml:space="preserve">остаавляем </t>
  </si>
  <si>
    <t>сделать 3000 шт</t>
  </si>
  <si>
    <t>сделать 7000 шт</t>
  </si>
  <si>
    <t xml:space="preserve">УБРАТЬ !!! </t>
  </si>
  <si>
    <t>Нужно  верх клапан + ДНО КЛАПАН 5000 шт</t>
  </si>
  <si>
    <t>Нужно дно глух, + верх клапан  - 5000 шт</t>
  </si>
  <si>
    <t>Нужно дно глух, + верх клапан + 5000 шт</t>
  </si>
  <si>
    <t xml:space="preserve">5000 ШТ ОСТАВЛЯЕМ </t>
  </si>
  <si>
    <t>СДЕЛАТЬ 40000</t>
  </si>
  <si>
    <t>СДЕЛАТЬ 5000</t>
  </si>
  <si>
    <t>МКР 1,3 Л4-1,0 ППР1-Е (95х95х180/140)  верх загр, низ выгре</t>
  </si>
  <si>
    <t>МКР 1,3 Л4-1,0 ППР1-Е (95х95х150/140) верх загр, дно глухое</t>
  </si>
  <si>
    <t>дно глухое</t>
  </si>
  <si>
    <t>верх юбка</t>
  </si>
  <si>
    <t>итого с учетом 2% брака</t>
  </si>
  <si>
    <t>крышка</t>
  </si>
  <si>
    <t>МКР 1,3 Л4-1,0 ППР1-Е (95х95х130/140) верх загр, дно глухое</t>
  </si>
  <si>
    <t>тип</t>
  </si>
  <si>
    <t>вид</t>
  </si>
  <si>
    <t>заказ в шт</t>
  </si>
  <si>
    <t>примечание</t>
  </si>
  <si>
    <t>МП-I</t>
  </si>
  <si>
    <t>АгВ</t>
  </si>
  <si>
    <t>А</t>
  </si>
  <si>
    <t>остальной метраж</t>
  </si>
  <si>
    <t xml:space="preserve"> </t>
  </si>
  <si>
    <t>5 фур сахара</t>
  </si>
  <si>
    <t>РПП</t>
  </si>
  <si>
    <t xml:space="preserve">юбка </t>
  </si>
  <si>
    <t xml:space="preserve">32 тыс бб с юбкой </t>
  </si>
  <si>
    <t>метраж  отходов и браков (2%)</t>
  </si>
  <si>
    <t xml:space="preserve">Клапан </t>
  </si>
  <si>
    <t>ширина, м</t>
  </si>
  <si>
    <t>длина, м</t>
  </si>
  <si>
    <t>плотность, гр\м2</t>
  </si>
  <si>
    <t>длина загтовки, см</t>
  </si>
  <si>
    <t>вес  готового гр</t>
  </si>
  <si>
    <t>вес заготовки, гр</t>
  </si>
  <si>
    <t>метраж, м</t>
  </si>
  <si>
    <t>итого, м</t>
  </si>
  <si>
    <t>ИТОГО</t>
  </si>
  <si>
    <t>загрузка простых станков</t>
  </si>
  <si>
    <t>40000 шт комплектация загр выгр</t>
  </si>
  <si>
    <t>Крышка</t>
  </si>
  <si>
    <t xml:space="preserve">25000 бб с загрузкой </t>
  </si>
  <si>
    <t>максимум возможность станков</t>
  </si>
  <si>
    <t>рпп</t>
  </si>
  <si>
    <t>фальц</t>
  </si>
  <si>
    <t xml:space="preserve">параметры </t>
  </si>
  <si>
    <t>190\140</t>
  </si>
  <si>
    <t>190\160</t>
  </si>
  <si>
    <t>примечание\тоннаж</t>
  </si>
  <si>
    <t>150\120</t>
  </si>
  <si>
    <t>150\140</t>
  </si>
  <si>
    <t>105\160</t>
  </si>
  <si>
    <t>№ п\п</t>
  </si>
  <si>
    <t>Участок</t>
  </si>
  <si>
    <t>Наименование</t>
  </si>
  <si>
    <t>Дата\сутки</t>
  </si>
  <si>
    <t>План на месяц</t>
  </si>
  <si>
    <t xml:space="preserve">Факт за месяц </t>
  </si>
  <si>
    <t>% выполнения от месячного плана</t>
  </si>
  <si>
    <t>Причины не выполнения</t>
  </si>
  <si>
    <t>Экструдер, кг</t>
  </si>
  <si>
    <t>Нить мешки</t>
  </si>
  <si>
    <t>Нить ББ</t>
  </si>
  <si>
    <t>ткацкий, м</t>
  </si>
  <si>
    <t>мешочное полотно</t>
  </si>
  <si>
    <t>МКР полотно</t>
  </si>
  <si>
    <t xml:space="preserve">2хслойное полотно разрез по бокам </t>
  </si>
  <si>
    <t>экструдер</t>
  </si>
  <si>
    <t>большой</t>
  </si>
  <si>
    <t>маленький</t>
  </si>
  <si>
    <t>нить</t>
  </si>
  <si>
    <t>полотно</t>
  </si>
  <si>
    <t>назначение</t>
  </si>
  <si>
    <t>2,5 мм-790 Дн</t>
  </si>
  <si>
    <t>56см\76гр\м2</t>
  </si>
  <si>
    <t>основа</t>
  </si>
  <si>
    <t>уток</t>
  </si>
  <si>
    <t>юбка</t>
  </si>
  <si>
    <t>85см\60гр\м2</t>
  </si>
  <si>
    <t>Технические характеристики ткани для мешка 56\96 76 гр\2 сахар</t>
  </si>
  <si>
    <t>Наименование  по заказу</t>
  </si>
  <si>
    <t>?</t>
  </si>
  <si>
    <t>Номенклатура</t>
  </si>
  <si>
    <t>Планируемый выпуск в штуках, шт</t>
  </si>
  <si>
    <t>Вид оборудования для производства ткани</t>
  </si>
  <si>
    <t>Ширина полотна, см, ±0,5см</t>
  </si>
  <si>
    <t>Плотность тканое полотно, гр\м², ±3%</t>
  </si>
  <si>
    <t>Структура плетения полотна</t>
  </si>
  <si>
    <t>56 см \96 см сахар 110 гр</t>
  </si>
  <si>
    <t>сахарный мешок</t>
  </si>
  <si>
    <t xml:space="preserve">Lohia Corp (Nova 6) (от 30 до 90 см) </t>
  </si>
  <si>
    <t>обычное</t>
  </si>
  <si>
    <t>Рецептура для производства НПП (нити)</t>
  </si>
  <si>
    <t>НПП мешочная (Нить)</t>
  </si>
  <si>
    <t>Разрывная нагрузка основа\уток</t>
  </si>
  <si>
    <t>План производства нити</t>
  </si>
  <si>
    <t>ИТОГО нити нужно произвести, кг</t>
  </si>
  <si>
    <t>ПП , %</t>
  </si>
  <si>
    <t>Карбонат кальция (мел), %</t>
  </si>
  <si>
    <t>Основа, ширина - денье,мм-Дн</t>
  </si>
  <si>
    <t>Уток, ширина - денье,мм-Дн</t>
  </si>
  <si>
    <t>Коэффициент прочности, гр\Дн</t>
  </si>
  <si>
    <t>Эластичность (удлинение) 23-33%</t>
  </si>
  <si>
    <t>Основа, кг</t>
  </si>
  <si>
    <t>Уток, кг</t>
  </si>
  <si>
    <t>НПП 2,5 мм-790Дн</t>
  </si>
  <si>
    <t>2,5 мм-790 дн</t>
  </si>
  <si>
    <t>23-33</t>
  </si>
  <si>
    <t>количество нитей основы на заправку станка</t>
  </si>
  <si>
    <t>Плотность плетения нити на 10 см</t>
  </si>
  <si>
    <t>разрывная нагрузка полотно кг/с/Strength KgF</t>
  </si>
  <si>
    <t>Длина рулона, м</t>
  </si>
  <si>
    <t>Вес рулона, кг</t>
  </si>
  <si>
    <t>Планируемый выпуск РПП, м (+5% брак отходы каждого передела)</t>
  </si>
  <si>
    <t>Основа, шт</t>
  </si>
  <si>
    <t>Уток, шт</t>
  </si>
  <si>
    <t>Основа</t>
  </si>
  <si>
    <t>Уток</t>
  </si>
  <si>
    <t>Стандарт намотки, ±2% за счет усадки нитей</t>
  </si>
  <si>
    <t>Стандарт намотки ±3% за счет поверхностной плотности полотна</t>
  </si>
  <si>
    <t>РПП 56 см \76 гр\м2</t>
  </si>
  <si>
    <t>Ширина , см, ±0,5см</t>
  </si>
  <si>
    <t>Длина до спайки, см, ±0,5см</t>
  </si>
  <si>
    <t>Длина с учетои спайки, см, ±0,5см</t>
  </si>
  <si>
    <t>Толщина, 20 мкм, ±3%</t>
  </si>
  <si>
    <t>вес 1 шт вкл, гр</t>
  </si>
  <si>
    <t>количество шт вкладышей с учетом брака</t>
  </si>
  <si>
    <t>ИТОГО пэ нужно произвести, кг</t>
  </si>
  <si>
    <t>ПНД , %</t>
  </si>
  <si>
    <t>ПЭ 58\105 см 19 мкм</t>
  </si>
  <si>
    <t>вкладыш</t>
  </si>
  <si>
    <t>3,2 мм - 720 Дн</t>
  </si>
  <si>
    <t>2,5 мм - 790 Дн</t>
  </si>
  <si>
    <t>2,5 мм- 790 Дн</t>
  </si>
  <si>
    <t>тоннаж</t>
  </si>
  <si>
    <t>53 см\63 гр\м2</t>
  </si>
  <si>
    <t>56 см\63 гр\м2</t>
  </si>
  <si>
    <t>клапан</t>
  </si>
  <si>
    <t>2,5 мм-660Дн</t>
  </si>
  <si>
    <t>2,5 мм- 660 Дн</t>
  </si>
  <si>
    <t>2,5 мм-680Дн</t>
  </si>
  <si>
    <t>2,5 мм- 680 Дн</t>
  </si>
  <si>
    <t>190 см \140 гр\м2</t>
  </si>
  <si>
    <t>Технические характеристики ткани для производства ББ</t>
  </si>
  <si>
    <t>Предназначение</t>
  </si>
  <si>
    <t>Планируемый выпуск в метрах, м</t>
  </si>
  <si>
    <t>Ширина полотна, см, ±1см</t>
  </si>
  <si>
    <t>Межфальцевое расстояние,см ±0,5см</t>
  </si>
  <si>
    <t>Внутренне расстояние между фальцаит не более 1 см</t>
  </si>
  <si>
    <t>Разрывная нагрузка основа\уток, %</t>
  </si>
  <si>
    <t>Планируемый выпуск РППЛП, кг (+5% брак отходы каждого передела)</t>
  </si>
  <si>
    <t>ПП 030, %</t>
  </si>
  <si>
    <t>УФ стабилизатор , %</t>
  </si>
  <si>
    <t>190 cm / 140 гр\м²</t>
  </si>
  <si>
    <t>БИГ БЕГ</t>
  </si>
  <si>
    <t xml:space="preserve">РППФ 190см\140гр\м² </t>
  </si>
  <si>
    <t>Lohia Corp (Nova 82)</t>
  </si>
  <si>
    <t>не более 1 см</t>
  </si>
  <si>
    <t>2,5 мм - 1500 Дн</t>
  </si>
  <si>
    <t>4,0 мм - 1300 Дн</t>
  </si>
  <si>
    <t>18-22</t>
  </si>
  <si>
    <t>20-30</t>
  </si>
  <si>
    <t xml:space="preserve">  </t>
  </si>
  <si>
    <t>190 см \160 гр\м2</t>
  </si>
  <si>
    <t>150 см \120 гр\м2</t>
  </si>
  <si>
    <t>105см \160 гр\м2</t>
  </si>
  <si>
    <t>2,5 мм - 1350 Дн</t>
  </si>
  <si>
    <t>2,5 мм - 1700 Дн</t>
  </si>
  <si>
    <t>4,0 мм - 1550 Дн</t>
  </si>
  <si>
    <t>150 см \140 гр\м2</t>
  </si>
  <si>
    <t>2,5 мм - 1550 Дн</t>
  </si>
  <si>
    <t>План на сутки</t>
  </si>
  <si>
    <t>Факт за сутки</t>
  </si>
  <si>
    <t>ПФ ПОЛОТНО ППР1-Е (95х95х130/140)</t>
  </si>
  <si>
    <t xml:space="preserve">составляющие кроя </t>
  </si>
  <si>
    <t xml:space="preserve">Нужное количество комплектов каждого </t>
  </si>
  <si>
    <t xml:space="preserve">Ширина кроя </t>
  </si>
  <si>
    <t>длина кроя</t>
  </si>
  <si>
    <t>количество слоев для расчета</t>
  </si>
  <si>
    <t>плотность полотна</t>
  </si>
  <si>
    <t>МКР 2х  стропыне</t>
  </si>
  <si>
    <t>раскройный , шт</t>
  </si>
  <si>
    <t>ПФ ДНО ППР1-Е (95х95х130/140)</t>
  </si>
  <si>
    <t>тоннаж, кг</t>
  </si>
  <si>
    <t>ПФ ЮБКА ППР1-Е (95х95х130/140)</t>
  </si>
  <si>
    <t>ПФ КЛАПАН ППР1-Е (95х95х130/140)</t>
  </si>
  <si>
    <t>ПФ КРЫШКА ППР1-Е (95х95х130/140)</t>
  </si>
  <si>
    <t>ПФ ПОЛОТНО ППР1-Е (95х95х150/140)</t>
  </si>
  <si>
    <t>ПФ ДНО ППР1-Е (95х95х150/140)</t>
  </si>
  <si>
    <t>ПФ ЮБКА ППР1-Е (95х95х150/140)</t>
  </si>
  <si>
    <t>ПФ КЛАПАН ППР1-Е (95х95х150/140)</t>
  </si>
  <si>
    <t>ПФ КРЫШКА ППР1-Е (95х95х150/140)</t>
  </si>
  <si>
    <t>МКР 1,3 Л4-1,0 ППР1-Е (95х95х180/140)  верх загр, низ выгр</t>
  </si>
  <si>
    <t>ПФ ПОЛОТНО ППР1-Е (95х95х130/160)</t>
  </si>
  <si>
    <t>ПФ ДНО ППР1-Е (95х95х130/160)</t>
  </si>
  <si>
    <t>ПФ ЮБКА ППР1-Е (95х95х130/160)</t>
  </si>
  <si>
    <t>ПФ КЛАПАН ППР1-Е (95х95х130/160)</t>
  </si>
  <si>
    <t>ПФ КРЫШКА ППР1-Е (95х95х130/160)</t>
  </si>
  <si>
    <t>ПФ ручки</t>
  </si>
  <si>
    <t xml:space="preserve">ПФ ПОЛОТНО  ППР1-A (75х75х125/120) </t>
  </si>
  <si>
    <t xml:space="preserve">ПФ ПОЛОТНО  ППР1-A (75х75х125/140) </t>
  </si>
  <si>
    <t>широкая 4,5 см</t>
  </si>
  <si>
    <t>узкая 1,5см</t>
  </si>
  <si>
    <t>ТЛБ ЛЕНТА, кг</t>
  </si>
  <si>
    <t xml:space="preserve">ПФ ТЛБ 4,5см </t>
  </si>
  <si>
    <t>Ширина кроя, см</t>
  </si>
  <si>
    <t>длина кроя, м</t>
  </si>
  <si>
    <t>количество лент, шт</t>
  </si>
  <si>
    <t>вес 1  метра ленты, кг</t>
  </si>
  <si>
    <t>весдля 1 бб , кг</t>
  </si>
  <si>
    <t xml:space="preserve">ПФ ТЛБ 1,5см </t>
  </si>
  <si>
    <t>% брак и отходы</t>
  </si>
  <si>
    <t>Швейный МКР</t>
  </si>
</sst>
</file>

<file path=xl/styles.xml><?xml version="1.0" encoding="utf-8"?>
<styleSheet xmlns="http://schemas.openxmlformats.org/spreadsheetml/2006/main">
  <numFmts count="10">
    <numFmt numFmtId="164" formatCode="_-* #,##0.00_-;\-* #,##0.00_-;_-* &quot;-&quot;??_-;_-@_-"/>
    <numFmt numFmtId="165" formatCode="_-* #,##0.00\ _₽_-;\-* #,##0.00\ _₽_-;_-* &quot;-&quot;??\ _₽_-;_-@_-"/>
    <numFmt numFmtId="166" formatCode="_-* #,##0.00_р_._-;\-* #,##0.00_р_._-;_-* &quot;-&quot;??_р_._-;_-@_-"/>
    <numFmt numFmtId="167" formatCode="_-* #,##0_р_._-;\-* #,##0_р_._-;_-* &quot;-&quot;??_р_._-;_-@_-"/>
    <numFmt numFmtId="168" formatCode="_(* #,##0.00_);_(* \(#,##0.00\);_(* &quot;-&quot;??_);_(@_)"/>
    <numFmt numFmtId="169" formatCode="_-* #,##0\ _₽_-;\-* #,##0\ _₽_-;_-* &quot;-&quot;??\ _₽_-;_-@_-"/>
    <numFmt numFmtId="170" formatCode="_-* #,##0.000\ _₽_-;\-* #,##0.000\ _₽_-;_-* &quot;-&quot;??\ _₽_-;_-@_-"/>
    <numFmt numFmtId="171" formatCode="0.0"/>
    <numFmt numFmtId="172" formatCode="[$-419]d\ mmm\ yy;@"/>
    <numFmt numFmtId="174" formatCode="0.000"/>
  </numFmts>
  <fonts count="2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1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1"/>
      <color rgb="FFFF0000"/>
      <name val="Calibri"/>
      <family val="2"/>
      <charset val="1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534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2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" fillId="0" borderId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</cellStyleXfs>
  <cellXfs count="145">
    <xf numFmtId="0" fontId="0" fillId="0" borderId="0" xfId="0"/>
    <xf numFmtId="0" fontId="10" fillId="5" borderId="1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horizontal="center" vertical="center" wrapText="1"/>
    </xf>
    <xf numFmtId="167" fontId="9" fillId="4" borderId="1" xfId="2" applyNumberFormat="1" applyFont="1" applyFill="1" applyBorder="1" applyAlignment="1">
      <alignment horizontal="center" wrapText="1"/>
    </xf>
    <xf numFmtId="0" fontId="10" fillId="5" borderId="2" xfId="1" applyFont="1" applyFill="1" applyBorder="1" applyAlignment="1">
      <alignment horizontal="center" vertical="center" wrapText="1"/>
    </xf>
    <xf numFmtId="167" fontId="9" fillId="2" borderId="2" xfId="2" applyNumberFormat="1" applyFont="1" applyFill="1" applyBorder="1" applyAlignment="1">
      <alignment horizontal="center" vertical="center" wrapText="1"/>
    </xf>
    <xf numFmtId="167" fontId="9" fillId="3" borderId="2" xfId="2" applyNumberFormat="1" applyFont="1" applyFill="1" applyBorder="1" applyAlignment="1">
      <alignment horizontal="center" vertical="center" wrapText="1"/>
    </xf>
    <xf numFmtId="0" fontId="10" fillId="5" borderId="7" xfId="1" applyFont="1" applyFill="1" applyBorder="1" applyAlignment="1">
      <alignment horizontal="center" vertical="center" wrapText="1"/>
    </xf>
    <xf numFmtId="9" fontId="9" fillId="2" borderId="6" xfId="3" applyFont="1" applyFill="1" applyBorder="1" applyAlignment="1">
      <alignment horizontal="center" wrapText="1"/>
    </xf>
    <xf numFmtId="167" fontId="9" fillId="2" borderId="1" xfId="2" applyNumberFormat="1" applyFont="1" applyFill="1" applyBorder="1" applyAlignment="1">
      <alignment horizontal="center" vertical="center" wrapText="1"/>
    </xf>
    <xf numFmtId="167" fontId="9" fillId="3" borderId="1" xfId="2" applyNumberFormat="1" applyFont="1" applyFill="1" applyBorder="1" applyAlignment="1">
      <alignment horizontal="center" vertical="center" wrapText="1"/>
    </xf>
    <xf numFmtId="0" fontId="0" fillId="0" borderId="1" xfId="0" applyBorder="1"/>
    <xf numFmtId="167" fontId="0" fillId="0" borderId="1" xfId="0" applyNumberFormat="1" applyBorder="1"/>
    <xf numFmtId="167" fontId="0" fillId="0" borderId="0" xfId="0" applyNumberFormat="1"/>
    <xf numFmtId="0" fontId="0" fillId="0" borderId="1" xfId="0" applyBorder="1" applyAlignment="1">
      <alignment wrapText="1"/>
    </xf>
    <xf numFmtId="0" fontId="10" fillId="4" borderId="0" xfId="1" applyFont="1" applyFill="1" applyBorder="1" applyAlignment="1">
      <alignment vertical="center" wrapText="1"/>
    </xf>
    <xf numFmtId="0" fontId="0" fillId="4" borderId="0" xfId="0" applyFill="1"/>
    <xf numFmtId="167" fontId="11" fillId="4" borderId="1" xfId="2" applyNumberFormat="1" applyFont="1" applyFill="1" applyBorder="1" applyAlignment="1">
      <alignment horizontal="center" wrapText="1"/>
    </xf>
    <xf numFmtId="167" fontId="11" fillId="2" borderId="2" xfId="2" applyNumberFormat="1" applyFont="1" applyFill="1" applyBorder="1" applyAlignment="1">
      <alignment horizontal="center" vertical="center" wrapText="1"/>
    </xf>
    <xf numFmtId="167" fontId="11" fillId="2" borderId="1" xfId="2" applyNumberFormat="1" applyFont="1" applyFill="1" applyBorder="1" applyAlignment="1">
      <alignment horizontal="center" vertical="center" wrapText="1"/>
    </xf>
    <xf numFmtId="9" fontId="11" fillId="2" borderId="6" xfId="3" applyFont="1" applyFill="1" applyBorder="1" applyAlignment="1">
      <alignment horizontal="center" wrapText="1"/>
    </xf>
    <xf numFmtId="0" fontId="12" fillId="0" borderId="0" xfId="0" applyFont="1"/>
    <xf numFmtId="0" fontId="13" fillId="0" borderId="0" xfId="0" applyFont="1"/>
    <xf numFmtId="167" fontId="11" fillId="3" borderId="2" xfId="2" applyNumberFormat="1" applyFont="1" applyFill="1" applyBorder="1" applyAlignment="1">
      <alignment horizontal="center" vertical="center" wrapText="1"/>
    </xf>
    <xf numFmtId="167" fontId="11" fillId="3" borderId="1" xfId="2" applyNumberFormat="1" applyFont="1" applyFill="1" applyBorder="1" applyAlignment="1">
      <alignment horizontal="center" vertical="center" wrapText="1"/>
    </xf>
    <xf numFmtId="167" fontId="12" fillId="0" borderId="0" xfId="0" applyNumberFormat="1" applyFont="1"/>
    <xf numFmtId="0" fontId="14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5" fillId="11" borderId="5" xfId="0" applyFont="1" applyFill="1" applyBorder="1" applyAlignment="1">
      <alignment wrapText="1"/>
    </xf>
    <xf numFmtId="0" fontId="15" fillId="12" borderId="1" xfId="0" applyFont="1" applyFill="1" applyBorder="1" applyAlignment="1">
      <alignment wrapText="1"/>
    </xf>
    <xf numFmtId="0" fontId="15" fillId="4" borderId="1" xfId="0" applyFont="1" applyFill="1" applyBorder="1" applyAlignment="1">
      <alignment wrapText="1"/>
    </xf>
    <xf numFmtId="0" fontId="15" fillId="10" borderId="1" xfId="0" applyFont="1" applyFill="1" applyBorder="1" applyAlignment="1">
      <alignment wrapText="1"/>
    </xf>
    <xf numFmtId="1" fontId="15" fillId="11" borderId="1" xfId="0" applyNumberFormat="1" applyFont="1" applyFill="1" applyBorder="1" applyAlignment="1">
      <alignment wrapText="1"/>
    </xf>
    <xf numFmtId="171" fontId="15" fillId="13" borderId="1" xfId="0" applyNumberFormat="1" applyFont="1" applyFill="1" applyBorder="1" applyAlignment="1">
      <alignment wrapText="1"/>
    </xf>
    <xf numFmtId="171" fontId="15" fillId="14" borderId="1" xfId="0" applyNumberFormat="1" applyFont="1" applyFill="1" applyBorder="1" applyAlignment="1">
      <alignment wrapText="1"/>
    </xf>
    <xf numFmtId="0" fontId="15" fillId="11" borderId="1" xfId="0" applyFont="1" applyFill="1" applyBorder="1" applyAlignment="1">
      <alignment wrapText="1"/>
    </xf>
    <xf numFmtId="172" fontId="0" fillId="0" borderId="0" xfId="0" applyNumberFormat="1" applyAlignment="1">
      <alignment horizontal="left"/>
    </xf>
    <xf numFmtId="0" fontId="0" fillId="0" borderId="0" xfId="0" applyNumberFormat="1"/>
    <xf numFmtId="0" fontId="0" fillId="0" borderId="5" xfId="0" applyBorder="1" applyAlignment="1"/>
    <xf numFmtId="0" fontId="0" fillId="0" borderId="3" xfId="0" applyBorder="1" applyAlignment="1"/>
    <xf numFmtId="0" fontId="16" fillId="4" borderId="0" xfId="0" applyFont="1" applyFill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6" fillId="4" borderId="1" xfId="0" applyFont="1" applyFill="1" applyBorder="1" applyAlignment="1">
      <alignment vertical="center" wrapText="1"/>
    </xf>
    <xf numFmtId="0" fontId="17" fillId="4" borderId="1" xfId="0" applyFont="1" applyFill="1" applyBorder="1" applyAlignment="1">
      <alignment vertical="center" wrapText="1"/>
    </xf>
    <xf numFmtId="0" fontId="17" fillId="16" borderId="1" xfId="0" applyFont="1" applyFill="1" applyBorder="1" applyAlignment="1">
      <alignment horizontal="center" vertical="center" wrapText="1"/>
    </xf>
    <xf numFmtId="1" fontId="17" fillId="4" borderId="1" xfId="0" applyNumberFormat="1" applyFont="1" applyFill="1" applyBorder="1" applyAlignment="1">
      <alignment horizontal="center" vertical="center" wrapText="1"/>
    </xf>
    <xf numFmtId="2" fontId="17" fillId="4" borderId="1" xfId="0" applyNumberFormat="1" applyFont="1" applyFill="1" applyBorder="1" applyAlignment="1">
      <alignment horizontal="center" vertical="center" wrapText="1"/>
    </xf>
    <xf numFmtId="171" fontId="17" fillId="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/>
    <xf numFmtId="0" fontId="16" fillId="4" borderId="0" xfId="0" applyFont="1" applyFill="1" applyAlignment="1">
      <alignment wrapText="1"/>
    </xf>
    <xf numFmtId="0" fontId="17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wrapText="1"/>
    </xf>
    <xf numFmtId="1" fontId="15" fillId="4" borderId="1" xfId="0" applyNumberFormat="1" applyFont="1" applyFill="1" applyBorder="1" applyAlignment="1">
      <alignment wrapText="1"/>
    </xf>
    <xf numFmtId="1" fontId="15" fillId="10" borderId="1" xfId="0" applyNumberFormat="1" applyFont="1" applyFill="1" applyBorder="1" applyAlignment="1">
      <alignment wrapText="1"/>
    </xf>
    <xf numFmtId="169" fontId="8" fillId="6" borderId="5" xfId="4" applyNumberFormat="1" applyFont="1" applyFill="1" applyBorder="1" applyAlignment="1">
      <alignment horizontal="center" vertical="center" wrapText="1"/>
    </xf>
    <xf numFmtId="169" fontId="8" fillId="6" borderId="3" xfId="4" applyNumberFormat="1" applyFont="1" applyFill="1" applyBorder="1" applyAlignment="1">
      <alignment horizontal="center" vertical="center" wrapText="1"/>
    </xf>
    <xf numFmtId="167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9" fontId="8" fillId="7" borderId="1" xfId="4" applyNumberFormat="1" applyFont="1" applyFill="1" applyBorder="1" applyAlignment="1">
      <alignment horizontal="center" vertical="center" wrapText="1"/>
    </xf>
    <xf numFmtId="170" fontId="8" fillId="6" borderId="5" xfId="4" applyNumberFormat="1" applyFont="1" applyFill="1" applyBorder="1" applyAlignment="1">
      <alignment horizontal="center" vertical="center" wrapText="1"/>
    </xf>
    <xf numFmtId="170" fontId="8" fillId="6" borderId="3" xfId="4" applyNumberFormat="1" applyFont="1" applyFill="1" applyBorder="1" applyAlignment="1">
      <alignment horizontal="center" vertical="center" wrapText="1"/>
    </xf>
    <xf numFmtId="169" fontId="8" fillId="7" borderId="5" xfId="4" applyNumberFormat="1" applyFont="1" applyFill="1" applyBorder="1" applyAlignment="1">
      <alignment horizontal="center" vertical="center" wrapText="1"/>
    </xf>
    <xf numFmtId="169" fontId="8" fillId="7" borderId="4" xfId="4" applyNumberFormat="1" applyFont="1" applyFill="1" applyBorder="1" applyAlignment="1">
      <alignment horizontal="center" vertical="center" wrapText="1"/>
    </xf>
    <xf numFmtId="169" fontId="8" fillId="7" borderId="3" xfId="4" applyNumberFormat="1" applyFont="1" applyFill="1" applyBorder="1" applyAlignment="1">
      <alignment horizontal="center" vertical="center" wrapText="1"/>
    </xf>
    <xf numFmtId="169" fontId="5" fillId="6" borderId="5" xfId="4" applyNumberFormat="1" applyFont="1" applyFill="1" applyBorder="1" applyAlignment="1">
      <alignment horizontal="center" vertical="center" wrapText="1"/>
    </xf>
    <xf numFmtId="169" fontId="5" fillId="6" borderId="3" xfId="4" applyNumberFormat="1" applyFont="1" applyFill="1" applyBorder="1" applyAlignment="1">
      <alignment horizontal="center" vertical="center" wrapText="1"/>
    </xf>
    <xf numFmtId="170" fontId="5" fillId="6" borderId="5" xfId="4" applyNumberFormat="1" applyFont="1" applyFill="1" applyBorder="1" applyAlignment="1">
      <alignment horizontal="center" vertical="center" wrapText="1"/>
    </xf>
    <xf numFmtId="170" fontId="5" fillId="6" borderId="3" xfId="4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69" fontId="5" fillId="7" borderId="1" xfId="4" applyNumberFormat="1" applyFont="1" applyFill="1" applyBorder="1" applyAlignment="1">
      <alignment horizontal="center" vertical="center" wrapText="1"/>
    </xf>
    <xf numFmtId="167" fontId="0" fillId="7" borderId="1" xfId="0" applyNumberForma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wrapText="1"/>
    </xf>
    <xf numFmtId="0" fontId="0" fillId="10" borderId="1" xfId="0" applyFill="1" applyBorder="1"/>
    <xf numFmtId="0" fontId="15" fillId="10" borderId="5" xfId="0" applyFont="1" applyFill="1" applyBorder="1" applyAlignment="1">
      <alignment horizontal="center" wrapText="1"/>
    </xf>
    <xf numFmtId="0" fontId="15" fillId="10" borderId="3" xfId="0" applyFont="1" applyFill="1" applyBorder="1" applyAlignment="1">
      <alignment horizontal="center" wrapText="1"/>
    </xf>
    <xf numFmtId="14" fontId="15" fillId="4" borderId="2" xfId="0" applyNumberFormat="1" applyFont="1" applyFill="1" applyBorder="1" applyAlignment="1">
      <alignment horizontal="center" wrapText="1"/>
    </xf>
    <xf numFmtId="14" fontId="15" fillId="4" borderId="8" xfId="0" applyNumberFormat="1" applyFont="1" applyFill="1" applyBorder="1" applyAlignment="1">
      <alignment horizontal="center" wrapText="1"/>
    </xf>
    <xf numFmtId="14" fontId="15" fillId="4" borderId="6" xfId="0" applyNumberFormat="1" applyFont="1" applyFill="1" applyBorder="1" applyAlignment="1">
      <alignment horizontal="center" wrapText="1"/>
    </xf>
    <xf numFmtId="0" fontId="15" fillId="10" borderId="4" xfId="0" applyFont="1" applyFill="1" applyBorder="1" applyAlignment="1">
      <alignment horizontal="center" wrapText="1"/>
    </xf>
    <xf numFmtId="0" fontId="15" fillId="10" borderId="2" xfId="0" applyFont="1" applyFill="1" applyBorder="1" applyAlignment="1">
      <alignment horizontal="center" wrapText="1"/>
    </xf>
    <xf numFmtId="0" fontId="15" fillId="10" borderId="8" xfId="0" applyFont="1" applyFill="1" applyBorder="1" applyAlignment="1">
      <alignment horizontal="center" wrapText="1"/>
    </xf>
    <xf numFmtId="0" fontId="15" fillId="10" borderId="6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169" fontId="8" fillId="3" borderId="5" xfId="4" applyNumberFormat="1" applyFont="1" applyFill="1" applyBorder="1" applyAlignment="1">
      <alignment horizontal="center" vertical="center" wrapText="1"/>
    </xf>
    <xf numFmtId="169" fontId="8" fillId="3" borderId="3" xfId="4" applyNumberFormat="1" applyFont="1" applyFill="1" applyBorder="1" applyAlignment="1">
      <alignment horizontal="center" vertical="center" wrapText="1"/>
    </xf>
    <xf numFmtId="169" fontId="5" fillId="3" borderId="5" xfId="4" applyNumberFormat="1" applyFont="1" applyFill="1" applyBorder="1" applyAlignment="1">
      <alignment horizontal="center" vertical="center" wrapText="1"/>
    </xf>
    <xf numFmtId="169" fontId="5" fillId="3" borderId="3" xfId="4" applyNumberFormat="1" applyFont="1" applyFill="1" applyBorder="1" applyAlignment="1">
      <alignment horizontal="center" vertical="center" wrapText="1"/>
    </xf>
    <xf numFmtId="169" fontId="8" fillId="4" borderId="5" xfId="4" applyNumberFormat="1" applyFont="1" applyFill="1" applyBorder="1" applyAlignment="1">
      <alignment horizontal="center" vertical="center" wrapText="1"/>
    </xf>
    <xf numFmtId="169" fontId="8" fillId="4" borderId="3" xfId="4" applyNumberFormat="1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wrapText="1"/>
    </xf>
    <xf numFmtId="0" fontId="10" fillId="5" borderId="0" xfId="1" applyFont="1" applyFill="1" applyBorder="1" applyAlignment="1">
      <alignment horizontal="center" vertical="center" wrapText="1"/>
    </xf>
    <xf numFmtId="0" fontId="10" fillId="5" borderId="4" xfId="1" applyFont="1" applyFill="1" applyBorder="1" applyAlignment="1">
      <alignment vertical="center" wrapText="1"/>
    </xf>
    <xf numFmtId="167" fontId="9" fillId="4" borderId="0" xfId="2" applyNumberFormat="1" applyFont="1" applyFill="1" applyBorder="1" applyAlignment="1">
      <alignment horizontal="center" wrapText="1"/>
    </xf>
    <xf numFmtId="0" fontId="10" fillId="5" borderId="9" xfId="1" applyFont="1" applyFill="1" applyBorder="1" applyAlignment="1">
      <alignment vertical="center" wrapText="1"/>
    </xf>
    <xf numFmtId="0" fontId="0" fillId="0" borderId="10" xfId="0" applyBorder="1" applyAlignment="1">
      <alignment horizontal="center"/>
    </xf>
    <xf numFmtId="0" fontId="10" fillId="5" borderId="5" xfId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174" fontId="0" fillId="0" borderId="1" xfId="0" applyNumberFormat="1" applyBorder="1"/>
    <xf numFmtId="169" fontId="0" fillId="0" borderId="1" xfId="0" applyNumberFormat="1" applyBorder="1" applyAlignment="1">
      <alignment horizontal="center" vertical="center" wrapText="1"/>
    </xf>
    <xf numFmtId="0" fontId="0" fillId="0" borderId="1" xfId="0" applyFill="1" applyBorder="1"/>
    <xf numFmtId="169" fontId="0" fillId="0" borderId="11" xfId="0" applyNumberFormat="1" applyBorder="1" applyAlignment="1">
      <alignment horizontal="center" vertical="center" wrapText="1"/>
    </xf>
    <xf numFmtId="169" fontId="0" fillId="0" borderId="12" xfId="0" applyNumberFormat="1" applyBorder="1" applyAlignment="1">
      <alignment horizontal="center" vertical="center" wrapText="1"/>
    </xf>
    <xf numFmtId="169" fontId="0" fillId="0" borderId="6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vertical="center" wrapText="1"/>
    </xf>
    <xf numFmtId="0" fontId="0" fillId="0" borderId="10" xfId="0" applyBorder="1" applyAlignment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5" borderId="5" xfId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74" fontId="19" fillId="0" borderId="1" xfId="0" applyNumberFormat="1" applyFont="1" applyFill="1" applyBorder="1"/>
    <xf numFmtId="167" fontId="19" fillId="0" borderId="1" xfId="0" applyNumberFormat="1" applyFont="1" applyBorder="1"/>
    <xf numFmtId="0" fontId="19" fillId="0" borderId="1" xfId="0" applyFont="1" applyBorder="1"/>
    <xf numFmtId="1" fontId="0" fillId="0" borderId="0" xfId="0" applyNumberFormat="1"/>
    <xf numFmtId="0" fontId="15" fillId="10" borderId="5" xfId="0" applyFont="1" applyFill="1" applyBorder="1" applyAlignment="1">
      <alignment wrapText="1"/>
    </xf>
    <xf numFmtId="1" fontId="15" fillId="11" borderId="5" xfId="0" applyNumberFormat="1" applyFont="1" applyFill="1" applyBorder="1" applyAlignment="1">
      <alignment wrapText="1"/>
    </xf>
    <xf numFmtId="171" fontId="15" fillId="14" borderId="5" xfId="0" applyNumberFormat="1" applyFont="1" applyFill="1" applyBorder="1" applyAlignment="1">
      <alignment wrapText="1"/>
    </xf>
    <xf numFmtId="1" fontId="15" fillId="4" borderId="5" xfId="0" applyNumberFormat="1" applyFont="1" applyFill="1" applyBorder="1" applyAlignment="1">
      <alignment wrapText="1"/>
    </xf>
    <xf numFmtId="0" fontId="15" fillId="4" borderId="5" xfId="0" applyFont="1" applyFill="1" applyBorder="1" applyAlignment="1">
      <alignment wrapText="1"/>
    </xf>
    <xf numFmtId="1" fontId="15" fillId="10" borderId="5" xfId="0" applyNumberFormat="1" applyFont="1" applyFill="1" applyBorder="1" applyAlignment="1">
      <alignment wrapText="1"/>
    </xf>
  </cellXfs>
  <cellStyles count="45344">
    <cellStyle name="Гиперссылка 2" xfId="597" hidden="1"/>
    <cellStyle name="Гиперссылка 2" xfId="599" hidden="1"/>
    <cellStyle name="Гиперссылка 2" xfId="960" hidden="1"/>
    <cellStyle name="Гиперссылка 2" xfId="962" hidden="1"/>
    <cellStyle name="Гиперссылка 2" xfId="762" hidden="1"/>
    <cellStyle name="Гиперссылка 2" xfId="607" hidden="1"/>
    <cellStyle name="Гиперссылка 2" xfId="915" hidden="1"/>
    <cellStyle name="Гиперссылка 2" xfId="914" hidden="1"/>
    <cellStyle name="Гиперссылка 2" xfId="1131" hidden="1"/>
    <cellStyle name="Гиперссылка 2" xfId="1130" hidden="1"/>
    <cellStyle name="Гиперссылка 2" xfId="1174" hidden="1"/>
    <cellStyle name="Гиперссылка 2" xfId="1176" hidden="1"/>
    <cellStyle name="Гиперссылка 2" xfId="1187" hidden="1"/>
    <cellStyle name="Гиперссылка 2" xfId="1189" hidden="1"/>
    <cellStyle name="Гиперссылка 2" xfId="1182" hidden="1"/>
    <cellStyle name="Гиперссылка 2" xfId="1180" hidden="1"/>
    <cellStyle name="Гиперссылка 2" xfId="1185" hidden="1"/>
    <cellStyle name="Гиперссылка 2" xfId="1184" hidden="1"/>
    <cellStyle name="Гиперссылка 2" xfId="1193" hidden="1"/>
    <cellStyle name="Гиперссылка 2" xfId="1192" hidden="1"/>
    <cellStyle name="Гиперссылка 2" xfId="1197" hidden="1"/>
    <cellStyle name="Гиперссылка 2" xfId="1199" hidden="1"/>
    <cellStyle name="Гиперссылка 2" xfId="1209" hidden="1"/>
    <cellStyle name="Гиперссылка 2" xfId="1211" hidden="1"/>
    <cellStyle name="Гиперссылка 2" xfId="1204" hidden="1"/>
    <cellStyle name="Гиперссылка 2" xfId="1202" hidden="1"/>
    <cellStyle name="Гиперссылка 2" xfId="1207" hidden="1"/>
    <cellStyle name="Гиперссылка 2" xfId="1206" hidden="1"/>
    <cellStyle name="Гиперссылка 2" xfId="1215" hidden="1"/>
    <cellStyle name="Гиперссылка 2" xfId="1214" hidden="1"/>
    <cellStyle name="Гиперссылка 2" xfId="1217" hidden="1"/>
    <cellStyle name="Гиперссылка 2" xfId="1219" hidden="1"/>
    <cellStyle name="Гиперссылка 2" xfId="1229" hidden="1"/>
    <cellStyle name="Гиперссылка 2" xfId="1231" hidden="1"/>
    <cellStyle name="Гиперссылка 2" xfId="1224" hidden="1"/>
    <cellStyle name="Гиперссылка 2" xfId="1222" hidden="1"/>
    <cellStyle name="Гиперссылка 2" xfId="1227" hidden="1"/>
    <cellStyle name="Гиперссылка 2" xfId="1226" hidden="1"/>
    <cellStyle name="Гиперссылка 2" xfId="1235" hidden="1"/>
    <cellStyle name="Гиперссылка 2" xfId="1234" hidden="1"/>
    <cellStyle name="Гиперссылка 2" xfId="1355" hidden="1"/>
    <cellStyle name="Гиперссылка 2" xfId="1357" hidden="1"/>
    <cellStyle name="Гиперссылка 2" xfId="1699" hidden="1"/>
    <cellStyle name="Гиперссылка 2" xfId="1701" hidden="1"/>
    <cellStyle name="Гиперссылка 2" xfId="1512" hidden="1"/>
    <cellStyle name="Гиперссылка 2" xfId="1365" hidden="1"/>
    <cellStyle name="Гиперссылка 2" xfId="1656" hidden="1"/>
    <cellStyle name="Гиперссылка 2" xfId="1655" hidden="1"/>
    <cellStyle name="Гиперссылка 2" xfId="1864" hidden="1"/>
    <cellStyle name="Гиперссылка 2" xfId="1863" hidden="1"/>
    <cellStyle name="Гиперссылка 2" xfId="1905" hidden="1"/>
    <cellStyle name="Гиперссылка 2" xfId="1907" hidden="1"/>
    <cellStyle name="Гиперссылка 2" xfId="1918" hidden="1"/>
    <cellStyle name="Гиперссылка 2" xfId="1920" hidden="1"/>
    <cellStyle name="Гиперссылка 2" xfId="1913" hidden="1"/>
    <cellStyle name="Гиперссылка 2" xfId="1911" hidden="1"/>
    <cellStyle name="Гиперссылка 2" xfId="1916" hidden="1"/>
    <cellStyle name="Гиперссылка 2" xfId="1915" hidden="1"/>
    <cellStyle name="Гиперссылка 2" xfId="1924" hidden="1"/>
    <cellStyle name="Гиперссылка 2" xfId="1923" hidden="1"/>
    <cellStyle name="Гиперссылка 2" xfId="1928" hidden="1"/>
    <cellStyle name="Гиперссылка 2" xfId="1930" hidden="1"/>
    <cellStyle name="Гиперссылка 2" xfId="1940" hidden="1"/>
    <cellStyle name="Гиперссылка 2" xfId="1942" hidden="1"/>
    <cellStyle name="Гиперссылка 2" xfId="1935" hidden="1"/>
    <cellStyle name="Гиперссылка 2" xfId="1933" hidden="1"/>
    <cellStyle name="Гиперссылка 2" xfId="1938" hidden="1"/>
    <cellStyle name="Гиперссылка 2" xfId="1937" hidden="1"/>
    <cellStyle name="Гиперссылка 2" xfId="1946" hidden="1"/>
    <cellStyle name="Гиперссылка 2" xfId="1945" hidden="1"/>
    <cellStyle name="Гиперссылка 2" xfId="1948" hidden="1"/>
    <cellStyle name="Гиперссылка 2" xfId="1950" hidden="1"/>
    <cellStyle name="Гиперссылка 2" xfId="1960" hidden="1"/>
    <cellStyle name="Гиперссылка 2" xfId="1962" hidden="1"/>
    <cellStyle name="Гиперссылка 2" xfId="1955" hidden="1"/>
    <cellStyle name="Гиперссылка 2" xfId="1953" hidden="1"/>
    <cellStyle name="Гиперссылка 2" xfId="1958" hidden="1"/>
    <cellStyle name="Гиперссылка 2" xfId="1957" hidden="1"/>
    <cellStyle name="Гиперссылка 2" xfId="1966" hidden="1"/>
    <cellStyle name="Гиперссылка 2" xfId="1965" hidden="1"/>
    <cellStyle name="Гиперссылка 2" xfId="1693" hidden="1"/>
    <cellStyle name="Гиперссылка 2" xfId="1551" hidden="1"/>
    <cellStyle name="Гиперссылка 2" xfId="1718" hidden="1"/>
    <cellStyle name="Гиперссылка 2" xfId="1370" hidden="1"/>
    <cellStyle name="Гиперссылка 2" xfId="1769" hidden="1"/>
    <cellStyle name="Гиперссылка 2" xfId="1890" hidden="1"/>
    <cellStyle name="Гиперссылка 2" xfId="1610" hidden="1"/>
    <cellStyle name="Гиперссылка 2" xfId="1743" hidden="1"/>
    <cellStyle name="Гиперссылка 2" xfId="2102" hidden="1"/>
    <cellStyle name="Гиперссылка 2" xfId="2101" hidden="1"/>
    <cellStyle name="Гиперссылка 2" xfId="2142" hidden="1"/>
    <cellStyle name="Гиперссылка 2" xfId="2144" hidden="1"/>
    <cellStyle name="Гиперссылка 2" xfId="2155" hidden="1"/>
    <cellStyle name="Гиперссылка 2" xfId="2157" hidden="1"/>
    <cellStyle name="Гиперссылка 2" xfId="2150" hidden="1"/>
    <cellStyle name="Гиперссылка 2" xfId="2148" hidden="1"/>
    <cellStyle name="Гиперссылка 2" xfId="2153" hidden="1"/>
    <cellStyle name="Гиперссылка 2" xfId="2152" hidden="1"/>
    <cellStyle name="Гиперссылка 2" xfId="2161" hidden="1"/>
    <cellStyle name="Гиперссылка 2" xfId="2160" hidden="1"/>
    <cellStyle name="Гиперссылка 2" xfId="2165" hidden="1"/>
    <cellStyle name="Гиперссылка 2" xfId="2167" hidden="1"/>
    <cellStyle name="Гиперссылка 2" xfId="2177" hidden="1"/>
    <cellStyle name="Гиперссылка 2" xfId="2179" hidden="1"/>
    <cellStyle name="Гиперссылка 2" xfId="2172" hidden="1"/>
    <cellStyle name="Гиперссылка 2" xfId="2170" hidden="1"/>
    <cellStyle name="Гиперссылка 2" xfId="2175" hidden="1"/>
    <cellStyle name="Гиперссылка 2" xfId="2174" hidden="1"/>
    <cellStyle name="Гиперссылка 2" xfId="2183" hidden="1"/>
    <cellStyle name="Гиперссылка 2" xfId="2182" hidden="1"/>
    <cellStyle name="Гиперссылка 2" xfId="2185" hidden="1"/>
    <cellStyle name="Гиперссылка 2" xfId="2187" hidden="1"/>
    <cellStyle name="Гиперссылка 2" xfId="2197" hidden="1"/>
    <cellStyle name="Гиперссылка 2" xfId="2199" hidden="1"/>
    <cellStyle name="Гиперссылка 2" xfId="2192" hidden="1"/>
    <cellStyle name="Гиперссылка 2" xfId="2190" hidden="1"/>
    <cellStyle name="Гиперссылка 2" xfId="2195" hidden="1"/>
    <cellStyle name="Гиперссылка 2" xfId="2194" hidden="1"/>
    <cellStyle name="Гиперссылка 2" xfId="2203" hidden="1"/>
    <cellStyle name="Гиперссылка 2" xfId="2202" hidden="1"/>
    <cellStyle name="Гиперссылка 2" xfId="1744" hidden="1"/>
    <cellStyle name="Гиперссылка 2" xfId="435" hidden="1"/>
    <cellStyle name="Гиперссылка 2" xfId="479" hidden="1"/>
    <cellStyle name="Гиперссылка 2" xfId="1515" hidden="1"/>
    <cellStyle name="Гиперссылка 2" xfId="2007" hidden="1"/>
    <cellStyle name="Гиперссылка 2" xfId="2128" hidden="1"/>
    <cellStyle name="Гиперссылка 2" xfId="1687" hidden="1"/>
    <cellStyle name="Гиперссылка 2" xfId="1981" hidden="1"/>
    <cellStyle name="Гиперссылка 2" xfId="2337" hidden="1"/>
    <cellStyle name="Гиперссылка 2" xfId="2336" hidden="1"/>
    <cellStyle name="Гиперссылка 2" xfId="2377" hidden="1"/>
    <cellStyle name="Гиперссылка 2" xfId="2379" hidden="1"/>
    <cellStyle name="Гиперссылка 2" xfId="2390" hidden="1"/>
    <cellStyle name="Гиперссылка 2" xfId="2392" hidden="1"/>
    <cellStyle name="Гиперссылка 2" xfId="2385" hidden="1"/>
    <cellStyle name="Гиперссылка 2" xfId="2383" hidden="1"/>
    <cellStyle name="Гиперссылка 2" xfId="2388" hidden="1"/>
    <cellStyle name="Гиперссылка 2" xfId="2387" hidden="1"/>
    <cellStyle name="Гиперссылка 2" xfId="2396" hidden="1"/>
    <cellStyle name="Гиперссылка 2" xfId="2395" hidden="1"/>
    <cellStyle name="Гиперссылка 2" xfId="2400" hidden="1"/>
    <cellStyle name="Гиперссылка 2" xfId="2402" hidden="1"/>
    <cellStyle name="Гиперссылка 2" xfId="2412" hidden="1"/>
    <cellStyle name="Гиперссылка 2" xfId="2414" hidden="1"/>
    <cellStyle name="Гиперссылка 2" xfId="2407" hidden="1"/>
    <cellStyle name="Гиперссылка 2" xfId="2405" hidden="1"/>
    <cellStyle name="Гиперссылка 2" xfId="2410" hidden="1"/>
    <cellStyle name="Гиперссылка 2" xfId="2409" hidden="1"/>
    <cellStyle name="Гиперссылка 2" xfId="2418" hidden="1"/>
    <cellStyle name="Гиперссылка 2" xfId="2417" hidden="1"/>
    <cellStyle name="Гиперссылка 2" xfId="2420" hidden="1"/>
    <cellStyle name="Гиперссылка 2" xfId="2422" hidden="1"/>
    <cellStyle name="Гиперссылка 2" xfId="2432" hidden="1"/>
    <cellStyle name="Гиперссылка 2" xfId="2434" hidden="1"/>
    <cellStyle name="Гиперссылка 2" xfId="2427" hidden="1"/>
    <cellStyle name="Гиперссылка 2" xfId="2425" hidden="1"/>
    <cellStyle name="Гиперссылка 2" xfId="2430" hidden="1"/>
    <cellStyle name="Гиперссылка 2" xfId="2429" hidden="1"/>
    <cellStyle name="Гиперссылка 2" xfId="2438" hidden="1"/>
    <cellStyle name="Гиперссылка 2" xfId="2437" hidden="1"/>
    <cellStyle name="Гиперссылка 2" xfId="1982" hidden="1"/>
    <cellStyle name="Гиперссылка 2" xfId="493" hidden="1"/>
    <cellStyle name="Гиперссылка 2" xfId="1526" hidden="1"/>
    <cellStyle name="Гиперссылка 2" xfId="504" hidden="1"/>
    <cellStyle name="Гиперссылка 2" xfId="2243" hidden="1"/>
    <cellStyle name="Гиперссылка 2" xfId="2363" hidden="1"/>
    <cellStyle name="Гиперссылка 2" xfId="1577" hidden="1"/>
    <cellStyle name="Гиперссылка 2" xfId="2218" hidden="1"/>
    <cellStyle name="Гиперссылка 2" xfId="2569" hidden="1"/>
    <cellStyle name="Гиперссылка 2" xfId="2568" hidden="1"/>
    <cellStyle name="Гиперссылка 2" xfId="2609" hidden="1"/>
    <cellStyle name="Гиперссылка 2" xfId="2611" hidden="1"/>
    <cellStyle name="Гиперссылка 2" xfId="2622" hidden="1"/>
    <cellStyle name="Гиперссылка 2" xfId="2624" hidden="1"/>
    <cellStyle name="Гиперссылка 2" xfId="2617" hidden="1"/>
    <cellStyle name="Гиперссылка 2" xfId="2615" hidden="1"/>
    <cellStyle name="Гиперссылка 2" xfId="2620" hidden="1"/>
    <cellStyle name="Гиперссылка 2" xfId="2619" hidden="1"/>
    <cellStyle name="Гиперссылка 2" xfId="2628" hidden="1"/>
    <cellStyle name="Гиперссылка 2" xfId="2627" hidden="1"/>
    <cellStyle name="Гиперссылка 2" xfId="2632" hidden="1"/>
    <cellStyle name="Гиперссылка 2" xfId="2634" hidden="1"/>
    <cellStyle name="Гиперссылка 2" xfId="2644" hidden="1"/>
    <cellStyle name="Гиперссылка 2" xfId="2646" hidden="1"/>
    <cellStyle name="Гиперссылка 2" xfId="2639" hidden="1"/>
    <cellStyle name="Гиперссылка 2" xfId="2637" hidden="1"/>
    <cellStyle name="Гиперссылка 2" xfId="2642" hidden="1"/>
    <cellStyle name="Гиперссылка 2" xfId="2641" hidden="1"/>
    <cellStyle name="Гиперссылка 2" xfId="2650" hidden="1"/>
    <cellStyle name="Гиперссылка 2" xfId="2649" hidden="1"/>
    <cellStyle name="Гиперссылка 2" xfId="2652" hidden="1"/>
    <cellStyle name="Гиперссылка 2" xfId="2654" hidden="1"/>
    <cellStyle name="Гиперссылка 2" xfId="2664" hidden="1"/>
    <cellStyle name="Гиперссылка 2" xfId="2666" hidden="1"/>
    <cellStyle name="Гиперссылка 2" xfId="2659" hidden="1"/>
    <cellStyle name="Гиперссылка 2" xfId="2657" hidden="1"/>
    <cellStyle name="Гиперссылка 2" xfId="2662" hidden="1"/>
    <cellStyle name="Гиперссылка 2" xfId="2661" hidden="1"/>
    <cellStyle name="Гиперссылка 2" xfId="2670" hidden="1"/>
    <cellStyle name="Гиперссылка 2" xfId="2669" hidden="1"/>
    <cellStyle name="Гиперссылка 2" xfId="2219" hidden="1"/>
    <cellStyle name="Гиперссылка 2" xfId="1542" hidden="1"/>
    <cellStyle name="Гиперссылка 2" xfId="1328" hidden="1"/>
    <cellStyle name="Гиперссылка 2" xfId="1525" hidden="1"/>
    <cellStyle name="Гиперссылка 2" xfId="2477" hidden="1"/>
    <cellStyle name="Гиперссылка 2" xfId="2595" hidden="1"/>
    <cellStyle name="Гиперссылка 2" xfId="1323" hidden="1"/>
    <cellStyle name="Гиперссылка 2" xfId="2453" hidden="1"/>
    <cellStyle name="Гиперссылка 2" xfId="2792" hidden="1"/>
    <cellStyle name="Гиперссылка 2" xfId="2791" hidden="1"/>
    <cellStyle name="Гиперссылка 2" xfId="2830" hidden="1"/>
    <cellStyle name="Гиперссылка 2" xfId="2832" hidden="1"/>
    <cellStyle name="Гиперссылка 2" xfId="2843" hidden="1"/>
    <cellStyle name="Гиперссылка 2" xfId="2845" hidden="1"/>
    <cellStyle name="Гиперссылка 2" xfId="2838" hidden="1"/>
    <cellStyle name="Гиперссылка 2" xfId="2836" hidden="1"/>
    <cellStyle name="Гиперссылка 2" xfId="2841" hidden="1"/>
    <cellStyle name="Гиперссылка 2" xfId="2840" hidden="1"/>
    <cellStyle name="Гиперссылка 2" xfId="2849" hidden="1"/>
    <cellStyle name="Гиперссылка 2" xfId="2848" hidden="1"/>
    <cellStyle name="Гиперссылка 2" xfId="2853" hidden="1"/>
    <cellStyle name="Гиперссылка 2" xfId="2855" hidden="1"/>
    <cellStyle name="Гиперссылка 2" xfId="2865" hidden="1"/>
    <cellStyle name="Гиперссылка 2" xfId="2867" hidden="1"/>
    <cellStyle name="Гиперссылка 2" xfId="2860" hidden="1"/>
    <cellStyle name="Гиперссылка 2" xfId="2858" hidden="1"/>
    <cellStyle name="Гиперссылка 2" xfId="2863" hidden="1"/>
    <cellStyle name="Гиперссылка 2" xfId="2862" hidden="1"/>
    <cellStyle name="Гиперссылка 2" xfId="2871" hidden="1"/>
    <cellStyle name="Гиперссылка 2" xfId="2870" hidden="1"/>
    <cellStyle name="Гиперссылка 2" xfId="2873" hidden="1"/>
    <cellStyle name="Гиперссылка 2" xfId="2875" hidden="1"/>
    <cellStyle name="Гиперссылка 2" xfId="2885" hidden="1"/>
    <cellStyle name="Гиперссылка 2" xfId="2887" hidden="1"/>
    <cellStyle name="Гиперссылка 2" xfId="2880" hidden="1"/>
    <cellStyle name="Гиперссылка 2" xfId="2878" hidden="1"/>
    <cellStyle name="Гиперссылка 2" xfId="2883" hidden="1"/>
    <cellStyle name="Гиперссылка 2" xfId="2882" hidden="1"/>
    <cellStyle name="Гиперссылка 2" xfId="2891" hidden="1"/>
    <cellStyle name="Гиперссылка 2" xfId="2890" hidden="1"/>
    <cellStyle name="Гиперссылка 2" xfId="2454" hidden="1"/>
    <cellStyle name="Гиперссылка 2" xfId="1624" hidden="1"/>
    <cellStyle name="Гиперссылка 2" xfId="1763" hidden="1"/>
    <cellStyle name="Гиперссылка 2" xfId="1342" hidden="1"/>
    <cellStyle name="Гиперссылка 2" xfId="2706" hidden="1"/>
    <cellStyle name="Гиперссылка 2" xfId="2817" hidden="1"/>
    <cellStyle name="Гиперссылка 2" xfId="1811" hidden="1"/>
    <cellStyle name="Гиперссылка 2" xfId="2685" hidden="1"/>
    <cellStyle name="Гиперссылка 2" xfId="3007" hidden="1"/>
    <cellStyle name="Гиперссылка 2" xfId="3006" hidden="1"/>
    <cellStyle name="Гиперссылка 2" xfId="3043" hidden="1"/>
    <cellStyle name="Гиперссылка 2" xfId="3045" hidden="1"/>
    <cellStyle name="Гиперссылка 2" xfId="3056" hidden="1"/>
    <cellStyle name="Гиперссылка 2" xfId="3058" hidden="1"/>
    <cellStyle name="Гиперссылка 2" xfId="3051" hidden="1"/>
    <cellStyle name="Гиперссылка 2" xfId="3049" hidden="1"/>
    <cellStyle name="Гиперссылка 2" xfId="3054" hidden="1"/>
    <cellStyle name="Гиперссылка 2" xfId="3053" hidden="1"/>
    <cellStyle name="Гиперссылка 2" xfId="3062" hidden="1"/>
    <cellStyle name="Гиперссылка 2" xfId="3061" hidden="1"/>
    <cellStyle name="Гиперссылка 2" xfId="3066" hidden="1"/>
    <cellStyle name="Гиперссылка 2" xfId="3068" hidden="1"/>
    <cellStyle name="Гиперссылка 2" xfId="3078" hidden="1"/>
    <cellStyle name="Гиперссылка 2" xfId="3080" hidden="1"/>
    <cellStyle name="Гиперссылка 2" xfId="3073" hidden="1"/>
    <cellStyle name="Гиперссылка 2" xfId="3071" hidden="1"/>
    <cellStyle name="Гиперссылка 2" xfId="3076" hidden="1"/>
    <cellStyle name="Гиперссылка 2" xfId="3075" hidden="1"/>
    <cellStyle name="Гиперссылка 2" xfId="3084" hidden="1"/>
    <cellStyle name="Гиперссылка 2" xfId="3083" hidden="1"/>
    <cellStyle name="Гиперссылка 2" xfId="3086" hidden="1"/>
    <cellStyle name="Гиперссылка 2" xfId="3088" hidden="1"/>
    <cellStyle name="Гиперссылка 2" xfId="3098" hidden="1"/>
    <cellStyle name="Гиперссылка 2" xfId="3100" hidden="1"/>
    <cellStyle name="Гиперссылка 2" xfId="3093" hidden="1"/>
    <cellStyle name="Гиперссылка 2" xfId="3091" hidden="1"/>
    <cellStyle name="Гиперссылка 2" xfId="3096" hidden="1"/>
    <cellStyle name="Гиперссылка 2" xfId="3095" hidden="1"/>
    <cellStyle name="Гиперссылка 2" xfId="3104" hidden="1"/>
    <cellStyle name="Гиперссылка 2" xfId="3103" hidden="1"/>
    <cellStyle name="Гиперссылка 2" xfId="2686" hidden="1"/>
    <cellStyle name="Гиперссылка 2" xfId="550" hidden="1"/>
    <cellStyle name="Гиперссылка 2" xfId="2001" hidden="1"/>
    <cellStyle name="Гиперссылка 2" xfId="1366" hidden="1"/>
    <cellStyle name="Гиперссылка 2" xfId="2926" hidden="1"/>
    <cellStyle name="Гиперссылка 2" xfId="3031" hidden="1"/>
    <cellStyle name="Гиперссылка 2" xfId="2049" hidden="1"/>
    <cellStyle name="Гиперссылка 2" xfId="2906" hidden="1"/>
    <cellStyle name="Гиперссылка 2" xfId="3212" hidden="1"/>
    <cellStyle name="Гиперссылка 2" xfId="3211" hidden="1"/>
    <cellStyle name="Гиперссылка 2" xfId="3243" hidden="1"/>
    <cellStyle name="Гиперссылка 2" xfId="3245" hidden="1"/>
    <cellStyle name="Гиперссылка 2" xfId="3256" hidden="1"/>
    <cellStyle name="Гиперссылка 2" xfId="3258" hidden="1"/>
    <cellStyle name="Гиперссылка 2" xfId="3251" hidden="1"/>
    <cellStyle name="Гиперссылка 2" xfId="3249" hidden="1"/>
    <cellStyle name="Гиперссылка 2" xfId="3254" hidden="1"/>
    <cellStyle name="Гиперссылка 2" xfId="3253" hidden="1"/>
    <cellStyle name="Гиперссылка 2" xfId="3262" hidden="1"/>
    <cellStyle name="Гиперссылка 2" xfId="3261" hidden="1"/>
    <cellStyle name="Гиперссылка 2" xfId="3266" hidden="1"/>
    <cellStyle name="Гиперссылка 2" xfId="3268" hidden="1"/>
    <cellStyle name="Гиперссылка 2" xfId="3278" hidden="1"/>
    <cellStyle name="Гиперссылка 2" xfId="3280" hidden="1"/>
    <cellStyle name="Гиперссылка 2" xfId="3273" hidden="1"/>
    <cellStyle name="Гиперссылка 2" xfId="3271" hidden="1"/>
    <cellStyle name="Гиперссылка 2" xfId="3276" hidden="1"/>
    <cellStyle name="Гиперссылка 2" xfId="3275" hidden="1"/>
    <cellStyle name="Гиперссылка 2" xfId="3284" hidden="1"/>
    <cellStyle name="Гиперссылка 2" xfId="3283" hidden="1"/>
    <cellStyle name="Гиперссылка 2" xfId="3286" hidden="1"/>
    <cellStyle name="Гиперссылка 2" xfId="3288" hidden="1"/>
    <cellStyle name="Гиперссылка 2" xfId="3298" hidden="1"/>
    <cellStyle name="Гиперссылка 2" xfId="3300" hidden="1"/>
    <cellStyle name="Гиперссылка 2" xfId="3293" hidden="1"/>
    <cellStyle name="Гиперссылка 2" xfId="3291" hidden="1"/>
    <cellStyle name="Гиперссылка 2" xfId="3296" hidden="1"/>
    <cellStyle name="Гиперссылка 2" xfId="3295" hidden="1"/>
    <cellStyle name="Гиперссылка 2" xfId="3304" hidden="1"/>
    <cellStyle name="Гиперссылка 2" xfId="3303" hidden="1"/>
    <cellStyle name="Гиперссылка 2" xfId="2907" hidden="1"/>
    <cellStyle name="Гиперссылка 2" xfId="1305" hidden="1"/>
    <cellStyle name="Гиперссылка 2" xfId="2237" hidden="1"/>
    <cellStyle name="Гиперссылка 2" xfId="1835" hidden="1"/>
    <cellStyle name="Гиперссылка 2" xfId="3137" hidden="1"/>
    <cellStyle name="Гиперссылка 2" xfId="3233" hidden="1"/>
    <cellStyle name="Гиперссылка 2" xfId="2284" hidden="1"/>
    <cellStyle name="Гиперссылка 2" xfId="3117" hidden="1"/>
    <cellStyle name="Гиперссылка 2" xfId="3400" hidden="1"/>
    <cellStyle name="Гиперссылка 2" xfId="3399" hidden="1"/>
    <cellStyle name="Гиперссылка 2" xfId="3430" hidden="1"/>
    <cellStyle name="Гиперссылка 2" xfId="3432" hidden="1"/>
    <cellStyle name="Гиперссылка 2" xfId="3443" hidden="1"/>
    <cellStyle name="Гиперссылка 2" xfId="3445" hidden="1"/>
    <cellStyle name="Гиперссылка 2" xfId="3438" hidden="1"/>
    <cellStyle name="Гиперссылка 2" xfId="3436" hidden="1"/>
    <cellStyle name="Гиперссылка 2" xfId="3441" hidden="1"/>
    <cellStyle name="Гиперссылка 2" xfId="3440" hidden="1"/>
    <cellStyle name="Гиперссылка 2" xfId="3449" hidden="1"/>
    <cellStyle name="Гиперссылка 2" xfId="3448" hidden="1"/>
    <cellStyle name="Гиперссылка 2" xfId="3453" hidden="1"/>
    <cellStyle name="Гиперссылка 2" xfId="3455" hidden="1"/>
    <cellStyle name="Гиперссылка 2" xfId="3465" hidden="1"/>
    <cellStyle name="Гиперссылка 2" xfId="3467" hidden="1"/>
    <cellStyle name="Гиперссылка 2" xfId="3460" hidden="1"/>
    <cellStyle name="Гиперссылка 2" xfId="3458" hidden="1"/>
    <cellStyle name="Гиперссылка 2" xfId="3463" hidden="1"/>
    <cellStyle name="Гиперссылка 2" xfId="3462" hidden="1"/>
    <cellStyle name="Гиперссылка 2" xfId="3471" hidden="1"/>
    <cellStyle name="Гиперссылка 2" xfId="3470" hidden="1"/>
    <cellStyle name="Гиперссылка 2" xfId="3473" hidden="1"/>
    <cellStyle name="Гиперссылка 2" xfId="3475" hidden="1"/>
    <cellStyle name="Гиперссылка 2" xfId="3485" hidden="1"/>
    <cellStyle name="Гиперссылка 2" xfId="3487" hidden="1"/>
    <cellStyle name="Гиперссылка 2" xfId="3480" hidden="1"/>
    <cellStyle name="Гиперссылка 2" xfId="3478" hidden="1"/>
    <cellStyle name="Гиперссылка 2" xfId="3483" hidden="1"/>
    <cellStyle name="Гиперссылка 2" xfId="3482" hidden="1"/>
    <cellStyle name="Гиперссылка 2" xfId="3491" hidden="1"/>
    <cellStyle name="Гиперссылка 2" xfId="3490" hidden="1"/>
    <cellStyle name="Гиперссылка 2" xfId="3118" hidden="1"/>
    <cellStyle name="Гиперссылка 2" xfId="1783" hidden="1"/>
    <cellStyle name="Гиперссылка 2" xfId="2471" hidden="1"/>
    <cellStyle name="Гиперссылка 2" xfId="2073" hidden="1"/>
    <cellStyle name="Гиперссылка 2" xfId="3332" hidden="1"/>
    <cellStyle name="Гиперссылка 2" xfId="3420" hidden="1"/>
    <cellStyle name="Гиперссылка 2" xfId="2517" hidden="1"/>
    <cellStyle name="Гиперссылка 2" xfId="3316" hidden="1"/>
    <cellStyle name="Гиперссылка 2" xfId="3575" hidden="1"/>
    <cellStyle name="Гиперссылка 2" xfId="3574" hidden="1"/>
    <cellStyle name="Гиперссылка 2" xfId="3602" hidden="1"/>
    <cellStyle name="Гиперссылка 2" xfId="3604" hidden="1"/>
    <cellStyle name="Гиперссылка 2" xfId="3615" hidden="1"/>
    <cellStyle name="Гиперссылка 2" xfId="3617" hidden="1"/>
    <cellStyle name="Гиперссылка 2" xfId="3610" hidden="1"/>
    <cellStyle name="Гиперссылка 2" xfId="3608" hidden="1"/>
    <cellStyle name="Гиперссылка 2" xfId="3613" hidden="1"/>
    <cellStyle name="Гиперссылка 2" xfId="3612" hidden="1"/>
    <cellStyle name="Гиперссылка 2" xfId="3621" hidden="1"/>
    <cellStyle name="Гиперссылка 2" xfId="3620" hidden="1"/>
    <cellStyle name="Гиперссылка 2" xfId="3624" hidden="1"/>
    <cellStyle name="Гиперссылка 2" xfId="3626" hidden="1"/>
    <cellStyle name="Гиперссылка 2" xfId="3636" hidden="1"/>
    <cellStyle name="Гиперссылка 2" xfId="3638" hidden="1"/>
    <cellStyle name="Гиперссылка 2" xfId="3631" hidden="1"/>
    <cellStyle name="Гиперссылка 2" xfId="3629" hidden="1"/>
    <cellStyle name="Гиперссылка 2" xfId="3634" hidden="1"/>
    <cellStyle name="Гиперссылка 2" xfId="3633" hidden="1"/>
    <cellStyle name="Гиперссылка 2" xfId="3642" hidden="1"/>
    <cellStyle name="Гиперссылка 2" xfId="3641" hidden="1"/>
    <cellStyle name="Гиперссылка 2" xfId="3644" hidden="1"/>
    <cellStyle name="Гиперссылка 2" xfId="3646" hidden="1"/>
    <cellStyle name="Гиперссылка 2" xfId="3656" hidden="1"/>
    <cellStyle name="Гиперссылка 2" xfId="3658" hidden="1"/>
    <cellStyle name="Гиперссылка 2" xfId="3651" hidden="1"/>
    <cellStyle name="Гиперссылка 2" xfId="3649" hidden="1"/>
    <cellStyle name="Гиперссылка 2" xfId="3654" hidden="1"/>
    <cellStyle name="Гиперссылка 2" xfId="3653" hidden="1"/>
    <cellStyle name="Гиперссылка 2" xfId="3662" hidden="1"/>
    <cellStyle name="Гиперссылка 2" xfId="3661" hidden="1"/>
    <cellStyle name="Гиперссылка 2" xfId="3317" hidden="1"/>
    <cellStyle name="Гиперссылка 2" xfId="2021" hidden="1"/>
    <cellStyle name="Гиперссылка 2" xfId="2700" hidden="1"/>
    <cellStyle name="Гиперссылка 2" xfId="2308" hidden="1"/>
    <cellStyle name="Гиперссылка 2" xfId="3516" hidden="1"/>
    <cellStyle name="Гиперссылка 2" xfId="3593" hidden="1"/>
    <cellStyle name="Гиперссылка 2" xfId="2744" hidden="1"/>
    <cellStyle name="Гиперссылка 2" xfId="3502" hidden="1"/>
    <cellStyle name="Гиперссылка 2" xfId="3733" hidden="1"/>
    <cellStyle name="Гиперссылка 2" xfId="3732" hidden="1"/>
    <cellStyle name="Гиперссылка 2" xfId="3757" hidden="1"/>
    <cellStyle name="Гиперссылка 2" xfId="3759" hidden="1"/>
    <cellStyle name="Гиперссылка 2" xfId="3770" hidden="1"/>
    <cellStyle name="Гиперссылка 2" xfId="3772" hidden="1"/>
    <cellStyle name="Гиперссылка 2" xfId="3765" hidden="1"/>
    <cellStyle name="Гиперссылка 2" xfId="3763" hidden="1"/>
    <cellStyle name="Гиперссылка 2" xfId="3768" hidden="1"/>
    <cellStyle name="Гиперссылка 2" xfId="3767" hidden="1"/>
    <cellStyle name="Гиперссылка 2" xfId="3776" hidden="1"/>
    <cellStyle name="Гиперссылка 2" xfId="3775" hidden="1"/>
    <cellStyle name="Гиперссылка 2" xfId="3779" hidden="1"/>
    <cellStyle name="Гиперссылка 2" xfId="3781" hidden="1"/>
    <cellStyle name="Гиперссылка 2" xfId="3791" hidden="1"/>
    <cellStyle name="Гиперссылка 2" xfId="3793" hidden="1"/>
    <cellStyle name="Гиперссылка 2" xfId="3786" hidden="1"/>
    <cellStyle name="Гиперссылка 2" xfId="3784" hidden="1"/>
    <cellStyle name="Гиперссылка 2" xfId="3789" hidden="1"/>
    <cellStyle name="Гиперссылка 2" xfId="3788" hidden="1"/>
    <cellStyle name="Гиперссылка 2" xfId="3797" hidden="1"/>
    <cellStyle name="Гиперссылка 2" xfId="3796" hidden="1"/>
    <cellStyle name="Гиперссылка 2" xfId="3799" hidden="1"/>
    <cellStyle name="Гиперссылка 2" xfId="3801" hidden="1"/>
    <cellStyle name="Гиперссылка 2" xfId="3811" hidden="1"/>
    <cellStyle name="Гиперссылка 2" xfId="3813" hidden="1"/>
    <cellStyle name="Гиперссылка 2" xfId="3806" hidden="1"/>
    <cellStyle name="Гиперссылка 2" xfId="3804" hidden="1"/>
    <cellStyle name="Гиперссылка 2" xfId="3809" hidden="1"/>
    <cellStyle name="Гиперссылка 2" xfId="3808" hidden="1"/>
    <cellStyle name="Гиперссылка 2" xfId="3817" hidden="1"/>
    <cellStyle name="Гиперссылка 2" xfId="3816" hidden="1"/>
    <cellStyle name="Гиперссылка 2" xfId="3503" hidden="1"/>
    <cellStyle name="Гиперссылка 2" xfId="2256" hidden="1"/>
    <cellStyle name="Гиперссылка 2" xfId="2921" hidden="1"/>
    <cellStyle name="Гиперссылка 2" xfId="2540" hidden="1"/>
    <cellStyle name="Гиперссылка 2" xfId="3682" hidden="1"/>
    <cellStyle name="Гиперссылка 2" xfId="3750" hidden="1"/>
    <cellStyle name="Гиперссылка 2" xfId="2962" hidden="1"/>
    <cellStyle name="Гиперссылка 2" xfId="3671" hidden="1"/>
    <cellStyle name="Гиперссылка 2" xfId="3861" hidden="1"/>
    <cellStyle name="Гиперссылка 2" xfId="3860" hidden="1"/>
    <cellStyle name="Гиперссылка 2" xfId="3877" hidden="1"/>
    <cellStyle name="Гиперссылка 2" xfId="3879" hidden="1"/>
    <cellStyle name="Гиперссылка 2" xfId="3890" hidden="1"/>
    <cellStyle name="Гиперссылка 2" xfId="3892" hidden="1"/>
    <cellStyle name="Гиперссылка 2" xfId="3885" hidden="1"/>
    <cellStyle name="Гиперссылка 2" xfId="3883" hidden="1"/>
    <cellStyle name="Гиперссылка 2" xfId="3888" hidden="1"/>
    <cellStyle name="Гиперссылка 2" xfId="3887" hidden="1"/>
    <cellStyle name="Гиперссылка 2" xfId="3896" hidden="1"/>
    <cellStyle name="Гиперссылка 2" xfId="3895" hidden="1"/>
    <cellStyle name="Гиперссылка 2" xfId="3898" hidden="1"/>
    <cellStyle name="Гиперссылка 2" xfId="3900" hidden="1"/>
    <cellStyle name="Гиперссылка 2" xfId="3910" hidden="1"/>
    <cellStyle name="Гиперссылка 2" xfId="3912" hidden="1"/>
    <cellStyle name="Гиперссылка 2" xfId="3905" hidden="1"/>
    <cellStyle name="Гиперссылка 2" xfId="3903" hidden="1"/>
    <cellStyle name="Гиперссылка 2" xfId="3908" hidden="1"/>
    <cellStyle name="Гиперссылка 2" xfId="3907" hidden="1"/>
    <cellStyle name="Гиперссылка 2" xfId="3916" hidden="1"/>
    <cellStyle name="Гиперссылка 2" xfId="3915" hidden="1"/>
    <cellStyle name="Гиперссылка 2" xfId="3918" hidden="1"/>
    <cellStyle name="Гиперссылка 2" xfId="3920" hidden="1"/>
    <cellStyle name="Гиперссылка 2" xfId="3930" hidden="1"/>
    <cellStyle name="Гиперссылка 2" xfId="3932" hidden="1"/>
    <cellStyle name="Гиперссылка 2" xfId="3925" hidden="1"/>
    <cellStyle name="Гиперссылка 2" xfId="3923" hidden="1"/>
    <cellStyle name="Гиперссылка 2" xfId="3928" hidden="1"/>
    <cellStyle name="Гиперссылка 2" xfId="3927" hidden="1"/>
    <cellStyle name="Гиперссылка 2" xfId="3936" hidden="1"/>
    <cellStyle name="Гиперссылка 2" xfId="3935" hidden="1"/>
    <cellStyle name="Гиперссылка 2" xfId="3672" hidden="1"/>
    <cellStyle name="Гиперссылка 2" xfId="2490" hidden="1"/>
    <cellStyle name="Гиперссылка 2" xfId="3132" hidden="1"/>
    <cellStyle name="Гиперссылка 2" xfId="2765" hidden="1"/>
    <cellStyle name="Гиперссылка 2" xfId="3827" hidden="1"/>
    <cellStyle name="Гиперссылка 2" xfId="3874" hidden="1"/>
    <cellStyle name="Гиперссылка 2" xfId="3170" hidden="1"/>
    <cellStyle name="Гиперссылка 2" xfId="3823" hidden="1"/>
    <cellStyle name="Гиперссылка 2" xfId="3940" hidden="1"/>
    <cellStyle name="Гиперссылка 2" xfId="3939" hidden="1"/>
    <cellStyle name="Гиперссылка 2" xfId="3942" hidden="1"/>
    <cellStyle name="Гиперссылка 2" xfId="3944" hidden="1"/>
    <cellStyle name="Гиперссылка 2" xfId="3954" hidden="1"/>
    <cellStyle name="Гиперссылка 2" xfId="3956" hidden="1"/>
    <cellStyle name="Гиперссылка 2" xfId="3949" hidden="1"/>
    <cellStyle name="Гиперссылка 2" xfId="3947" hidden="1"/>
    <cellStyle name="Гиперссылка 2" xfId="3952" hidden="1"/>
    <cellStyle name="Гиперссылка 2" xfId="3951" hidden="1"/>
    <cellStyle name="Гиперссылка 2" xfId="3960" hidden="1"/>
    <cellStyle name="Гиперссылка 2" xfId="3959" hidden="1"/>
    <cellStyle name="Гиперссылка 2" xfId="3962" hidden="1"/>
    <cellStyle name="Гиперссылка 2" xfId="3964" hidden="1"/>
    <cellStyle name="Гиперссылка 2" xfId="3974" hidden="1"/>
    <cellStyle name="Гиперссылка 2" xfId="3976" hidden="1"/>
    <cellStyle name="Гиперссылка 2" xfId="3969" hidden="1"/>
    <cellStyle name="Гиперссылка 2" xfId="3967" hidden="1"/>
    <cellStyle name="Гиперссылка 2" xfId="3972" hidden="1"/>
    <cellStyle name="Гиперссылка 2" xfId="3971" hidden="1"/>
    <cellStyle name="Гиперссылка 2" xfId="3980" hidden="1"/>
    <cellStyle name="Гиперссылка 2" xfId="3979" hidden="1"/>
    <cellStyle name="Гиперссылка 2" xfId="3982" hidden="1"/>
    <cellStyle name="Гиперссылка 2" xfId="3984" hidden="1"/>
    <cellStyle name="Гиперссылка 2" xfId="3994" hidden="1"/>
    <cellStyle name="Гиперссылка 2" xfId="3996" hidden="1"/>
    <cellStyle name="Гиперссылка 2" xfId="3989" hidden="1"/>
    <cellStyle name="Гиперссылка 2" xfId="3987" hidden="1"/>
    <cellStyle name="Гиперссылка 2" xfId="3992" hidden="1"/>
    <cellStyle name="Гиперссылка 2" xfId="3991" hidden="1"/>
    <cellStyle name="Гиперссылка 2" xfId="4000" hidden="1"/>
    <cellStyle name="Гиперссылка 2" xfId="3999" hidden="1"/>
    <cellStyle name="Гиперссылка 2" xfId="4154" hidden="1"/>
    <cellStyle name="Гиперссылка 2" xfId="4156" hidden="1"/>
    <cellStyle name="Гиперссылка 2" xfId="4382" hidden="1"/>
    <cellStyle name="Гиперссылка 2" xfId="4384" hidden="1"/>
    <cellStyle name="Гиперссылка 2" xfId="4254" hidden="1"/>
    <cellStyle name="Гиперссылка 2" xfId="4162" hidden="1"/>
    <cellStyle name="Гиперссылка 2" xfId="4352" hidden="1"/>
    <cellStyle name="Гиперссылка 2" xfId="4351" hidden="1"/>
    <cellStyle name="Гиперссылка 2" xfId="4485" hidden="1"/>
    <cellStyle name="Гиперссылка 2" xfId="4484" hidden="1"/>
    <cellStyle name="Гиперссылка 2" xfId="4514" hidden="1"/>
    <cellStyle name="Гиперссылка 2" xfId="4516" hidden="1"/>
    <cellStyle name="Гиперссылка 2" xfId="4527" hidden="1"/>
    <cellStyle name="Гиперссылка 2" xfId="4529" hidden="1"/>
    <cellStyle name="Гиперссылка 2" xfId="4522" hidden="1"/>
    <cellStyle name="Гиперссылка 2" xfId="4520" hidden="1"/>
    <cellStyle name="Гиперссылка 2" xfId="4525" hidden="1"/>
    <cellStyle name="Гиперссылка 2" xfId="4524" hidden="1"/>
    <cellStyle name="Гиперссылка 2" xfId="4533" hidden="1"/>
    <cellStyle name="Гиперссылка 2" xfId="4532" hidden="1"/>
    <cellStyle name="Гиперссылка 2" xfId="4535" hidden="1"/>
    <cellStyle name="Гиперссылка 2" xfId="4537" hidden="1"/>
    <cellStyle name="Гиперссылка 2" xfId="4547" hidden="1"/>
    <cellStyle name="Гиперссылка 2" xfId="4549" hidden="1"/>
    <cellStyle name="Гиперссылка 2" xfId="4542" hidden="1"/>
    <cellStyle name="Гиперссылка 2" xfId="4540" hidden="1"/>
    <cellStyle name="Гиперссылка 2" xfId="4545" hidden="1"/>
    <cellStyle name="Гиперссылка 2" xfId="4544" hidden="1"/>
    <cellStyle name="Гиперссылка 2" xfId="4553" hidden="1"/>
    <cellStyle name="Гиперссылка 2" xfId="4552" hidden="1"/>
    <cellStyle name="Гиперссылка 2" xfId="4555" hidden="1"/>
    <cellStyle name="Гиперссылка 2" xfId="4557" hidden="1"/>
    <cellStyle name="Гиперссылка 2" xfId="4567" hidden="1"/>
    <cellStyle name="Гиперссылка 2" xfId="4569" hidden="1"/>
    <cellStyle name="Гиперссылка 2" xfId="4562" hidden="1"/>
    <cellStyle name="Гиперссылка 2" xfId="4560" hidden="1"/>
    <cellStyle name="Гиперссылка 2" xfId="4565" hidden="1"/>
    <cellStyle name="Гиперссылка 2" xfId="4564" hidden="1"/>
    <cellStyle name="Гиперссылка 2" xfId="4573" hidden="1"/>
    <cellStyle name="Гиперссылка 2" xfId="4572" hidden="1"/>
    <cellStyle name="Гиперссылка 2" xfId="4658" hidden="1"/>
    <cellStyle name="Гиперссылка 2" xfId="4660" hidden="1"/>
    <cellStyle name="Гиперссылка 2" xfId="4871" hidden="1"/>
    <cellStyle name="Гиперссылка 2" xfId="4873" hidden="1"/>
    <cellStyle name="Гиперссылка 2" xfId="4756" hidden="1"/>
    <cellStyle name="Гиперссылка 2" xfId="4666" hidden="1"/>
    <cellStyle name="Гиперссылка 2" xfId="4847" hidden="1"/>
    <cellStyle name="Гиперссылка 2" xfId="4846" hidden="1"/>
    <cellStyle name="Гиперссылка 2" xfId="4980" hidden="1"/>
    <cellStyle name="Гиперссылка 2" xfId="4979" hidden="1"/>
    <cellStyle name="Гиперссылка 2" xfId="5007" hidden="1"/>
    <cellStyle name="Гиперссылка 2" xfId="5009" hidden="1"/>
    <cellStyle name="Гиперссылка 2" xfId="5019" hidden="1"/>
    <cellStyle name="Гиперссылка 2" xfId="5021" hidden="1"/>
    <cellStyle name="Гиперссылка 2" xfId="5014" hidden="1"/>
    <cellStyle name="Гиперссылка 2" xfId="5012" hidden="1"/>
    <cellStyle name="Гиперссылка 2" xfId="5017" hidden="1"/>
    <cellStyle name="Гиперссылка 2" xfId="5016" hidden="1"/>
    <cellStyle name="Гиперссылка 2" xfId="5025" hidden="1"/>
    <cellStyle name="Гиперссылка 2" xfId="5024" hidden="1"/>
    <cellStyle name="Гиперссылка 2" xfId="5028" hidden="1"/>
    <cellStyle name="Гиперссылка 2" xfId="5030" hidden="1"/>
    <cellStyle name="Гиперссылка 2" xfId="5040" hidden="1"/>
    <cellStyle name="Гиперссылка 2" xfId="5042" hidden="1"/>
    <cellStyle name="Гиперссылка 2" xfId="5035" hidden="1"/>
    <cellStyle name="Гиперссылка 2" xfId="5033" hidden="1"/>
    <cellStyle name="Гиперссылка 2" xfId="5038" hidden="1"/>
    <cellStyle name="Гиперссылка 2" xfId="5037" hidden="1"/>
    <cellStyle name="Гиперссылка 2" xfId="5046" hidden="1"/>
    <cellStyle name="Гиперссылка 2" xfId="5045" hidden="1"/>
    <cellStyle name="Гиперссылка 2" xfId="5048" hidden="1"/>
    <cellStyle name="Гиперссылка 2" xfId="5050" hidden="1"/>
    <cellStyle name="Гиперссылка 2" xfId="5060" hidden="1"/>
    <cellStyle name="Гиперссылка 2" xfId="5062" hidden="1"/>
    <cellStyle name="Гиперссылка 2" xfId="5055" hidden="1"/>
    <cellStyle name="Гиперссылка 2" xfId="5053" hidden="1"/>
    <cellStyle name="Гиперссылка 2" xfId="5058" hidden="1"/>
    <cellStyle name="Гиперссылка 2" xfId="5057" hidden="1"/>
    <cellStyle name="Гиперссылка 2" xfId="5066" hidden="1"/>
    <cellStyle name="Гиперссылка 2" xfId="5065" hidden="1"/>
    <cellStyle name="Гиперссылка 2" xfId="4868" hidden="1"/>
    <cellStyle name="Гиперссылка 2" xfId="4778" hidden="1"/>
    <cellStyle name="Гиперссылка 2" xfId="4884" hidden="1"/>
    <cellStyle name="Гиперссылка 2" xfId="4670" hidden="1"/>
    <cellStyle name="Гиперссылка 2" xfId="4919" hidden="1"/>
    <cellStyle name="Гиперссылка 2" xfId="4998" hidden="1"/>
    <cellStyle name="Гиперссылка 2" xfId="4819" hidden="1"/>
    <cellStyle name="Гиперссылка 2" xfId="4900" hidden="1"/>
    <cellStyle name="Гиперссылка 2" xfId="5164" hidden="1"/>
    <cellStyle name="Гиперссылка 2" xfId="5163" hidden="1"/>
    <cellStyle name="Гиперссылка 2" xfId="5186" hidden="1"/>
    <cellStyle name="Гиперссылка 2" xfId="5188" hidden="1"/>
    <cellStyle name="Гиперссылка 2" xfId="5198" hidden="1"/>
    <cellStyle name="Гиперссылка 2" xfId="5200" hidden="1"/>
    <cellStyle name="Гиперссылка 2" xfId="5193" hidden="1"/>
    <cellStyle name="Гиперссылка 2" xfId="5191" hidden="1"/>
    <cellStyle name="Гиперссылка 2" xfId="5196" hidden="1"/>
    <cellStyle name="Гиперссылка 2" xfId="5195" hidden="1"/>
    <cellStyle name="Гиперссылка 2" xfId="5204" hidden="1"/>
    <cellStyle name="Гиперссылка 2" xfId="5203" hidden="1"/>
    <cellStyle name="Гиперссылка 2" xfId="5208" hidden="1"/>
    <cellStyle name="Гиперссылка 2" xfId="5210" hidden="1"/>
    <cellStyle name="Гиперссылка 2" xfId="5220" hidden="1"/>
    <cellStyle name="Гиперссылка 2" xfId="5222" hidden="1"/>
    <cellStyle name="Гиперссылка 2" xfId="5215" hidden="1"/>
    <cellStyle name="Гиперссылка 2" xfId="5213" hidden="1"/>
    <cellStyle name="Гиперссылка 2" xfId="5218" hidden="1"/>
    <cellStyle name="Гиперссылка 2" xfId="5217" hidden="1"/>
    <cellStyle name="Гиперссылка 2" xfId="5226" hidden="1"/>
    <cellStyle name="Гиперссылка 2" xfId="5225" hidden="1"/>
    <cellStyle name="Гиперссылка 2" xfId="5228" hidden="1"/>
    <cellStyle name="Гиперссылка 2" xfId="5230" hidden="1"/>
    <cellStyle name="Гиперссылка 2" xfId="5240" hidden="1"/>
    <cellStyle name="Гиперссылка 2" xfId="5242" hidden="1"/>
    <cellStyle name="Гиперссылка 2" xfId="5235" hidden="1"/>
    <cellStyle name="Гиперссылка 2" xfId="5233" hidden="1"/>
    <cellStyle name="Гиперссылка 2" xfId="5238" hidden="1"/>
    <cellStyle name="Гиперссылка 2" xfId="5237" hidden="1"/>
    <cellStyle name="Гиперссылка 2" xfId="5246" hidden="1"/>
    <cellStyle name="Гиперссылка 2" xfId="5245" hidden="1"/>
    <cellStyle name="Гиперссылка 2" xfId="4901" hidden="1"/>
    <cellStyle name="Гиперссылка 2" xfId="4053" hidden="1"/>
    <cellStyle name="Гиперссылка 2" xfId="4079" hidden="1"/>
    <cellStyle name="Гиперссылка 2" xfId="4757" hidden="1"/>
    <cellStyle name="Гиперссылка 2" xfId="5099" hidden="1"/>
    <cellStyle name="Гиперссылка 2" xfId="5180" hidden="1"/>
    <cellStyle name="Гиперссылка 2" xfId="4864" hidden="1"/>
    <cellStyle name="Гиперссылка 2" xfId="5079" hidden="1"/>
    <cellStyle name="Гиперссылка 2" xfId="5335" hidden="1"/>
    <cellStyle name="Гиперссылка 2" xfId="5334" hidden="1"/>
    <cellStyle name="Гиперссылка 2" xfId="5358" hidden="1"/>
    <cellStyle name="Гиперссылка 2" xfId="5360" hidden="1"/>
    <cellStyle name="Гиперссылка 2" xfId="5371" hidden="1"/>
    <cellStyle name="Гиперссылка 2" xfId="5373" hidden="1"/>
    <cellStyle name="Гиперссылка 2" xfId="5366" hidden="1"/>
    <cellStyle name="Гиперссылка 2" xfId="5364" hidden="1"/>
    <cellStyle name="Гиперссылка 2" xfId="5369" hidden="1"/>
    <cellStyle name="Гиперссылка 2" xfId="5368" hidden="1"/>
    <cellStyle name="Гиперссылка 2" xfId="5377" hidden="1"/>
    <cellStyle name="Гиперссылка 2" xfId="5376" hidden="1"/>
    <cellStyle name="Гиперссылка 2" xfId="5381" hidden="1"/>
    <cellStyle name="Гиперссылка 2" xfId="5383" hidden="1"/>
    <cellStyle name="Гиперссылка 2" xfId="5393" hidden="1"/>
    <cellStyle name="Гиперссылка 2" xfId="5395" hidden="1"/>
    <cellStyle name="Гиперссылка 2" xfId="5388" hidden="1"/>
    <cellStyle name="Гиперссылка 2" xfId="5386" hidden="1"/>
    <cellStyle name="Гиперссылка 2" xfId="5391" hidden="1"/>
    <cellStyle name="Гиперссылка 2" xfId="5390" hidden="1"/>
    <cellStyle name="Гиперссылка 2" xfId="5399" hidden="1"/>
    <cellStyle name="Гиперссылка 2" xfId="5398" hidden="1"/>
    <cellStyle name="Гиперссылка 2" xfId="5401" hidden="1"/>
    <cellStyle name="Гиперссылка 2" xfId="5403" hidden="1"/>
    <cellStyle name="Гиперссылка 2" xfId="5413" hidden="1"/>
    <cellStyle name="Гиперссылка 2" xfId="5415" hidden="1"/>
    <cellStyle name="Гиперссылка 2" xfId="5408" hidden="1"/>
    <cellStyle name="Гиперссылка 2" xfId="5406" hidden="1"/>
    <cellStyle name="Гиперссылка 2" xfId="5411" hidden="1"/>
    <cellStyle name="Гиперссылка 2" xfId="5410" hidden="1"/>
    <cellStyle name="Гиперссылка 2" xfId="5419" hidden="1"/>
    <cellStyle name="Гиперссылка 2" xfId="5418" hidden="1"/>
    <cellStyle name="Гиперссылка 2" xfId="5080" hidden="1"/>
    <cellStyle name="Гиперссылка 2" xfId="4091" hidden="1"/>
    <cellStyle name="Гиперссылка 2" xfId="4764" hidden="1"/>
    <cellStyle name="Гиперссылка 2" xfId="4098" hidden="1"/>
    <cellStyle name="Гиперссылка 2" xfId="5276" hidden="1"/>
    <cellStyle name="Гиперссылка 2" xfId="5351" hidden="1"/>
    <cellStyle name="Гиперссылка 2" xfId="4795" hidden="1"/>
    <cellStyle name="Гиперссылка 2" xfId="5260" hidden="1"/>
    <cellStyle name="Гиперссылка 2" xfId="5509" hidden="1"/>
    <cellStyle name="Гиперссылка 2" xfId="5508" hidden="1"/>
    <cellStyle name="Гиперссылка 2" xfId="5541" hidden="1"/>
    <cellStyle name="Гиперссылка 2" xfId="5543" hidden="1"/>
    <cellStyle name="Гиперссылка 2" xfId="5553" hidden="1"/>
    <cellStyle name="Гиперссылка 2" xfId="5555" hidden="1"/>
    <cellStyle name="Гиперссылка 2" xfId="5548" hidden="1"/>
    <cellStyle name="Гиперссылка 2" xfId="5546" hidden="1"/>
    <cellStyle name="Гиперссылка 2" xfId="5551" hidden="1"/>
    <cellStyle name="Гиперссылка 2" xfId="5550" hidden="1"/>
    <cellStyle name="Гиперссылка 2" xfId="5559" hidden="1"/>
    <cellStyle name="Гиперссылка 2" xfId="5558" hidden="1"/>
    <cellStyle name="Гиперссылка 2" xfId="5563" hidden="1"/>
    <cellStyle name="Гиперссылка 2" xfId="5565" hidden="1"/>
    <cellStyle name="Гиперссылка 2" xfId="5575" hidden="1"/>
    <cellStyle name="Гиперссылка 2" xfId="5577" hidden="1"/>
    <cellStyle name="Гиперссылка 2" xfId="5570" hidden="1"/>
    <cellStyle name="Гиперссылка 2" xfId="5568" hidden="1"/>
    <cellStyle name="Гиперссылка 2" xfId="5573" hidden="1"/>
    <cellStyle name="Гиперссылка 2" xfId="5572" hidden="1"/>
    <cellStyle name="Гиперссылка 2" xfId="5581" hidden="1"/>
    <cellStyle name="Гиперссылка 2" xfId="5580" hidden="1"/>
    <cellStyle name="Гиперссылка 2" xfId="5583" hidden="1"/>
    <cellStyle name="Гиперссылка 2" xfId="5585" hidden="1"/>
    <cellStyle name="Гиперссылка 2" xfId="5595" hidden="1"/>
    <cellStyle name="Гиперссылка 2" xfId="5597" hidden="1"/>
    <cellStyle name="Гиперссылка 2" xfId="5590" hidden="1"/>
    <cellStyle name="Гиперссылка 2" xfId="5588" hidden="1"/>
    <cellStyle name="Гиперссылка 2" xfId="5593" hidden="1"/>
    <cellStyle name="Гиперссылка 2" xfId="5592" hidden="1"/>
    <cellStyle name="Гиперссылка 2" xfId="5601" hidden="1"/>
    <cellStyle name="Гиперссылка 2" xfId="5600" hidden="1"/>
    <cellStyle name="Гиперссылка 2" xfId="5261" hidden="1"/>
    <cellStyle name="Гиперссылка 2" xfId="4774" hidden="1"/>
    <cellStyle name="Гиперссылка 2" xfId="4635" hidden="1"/>
    <cellStyle name="Гиперссылка 2" xfId="4763" hidden="1"/>
    <cellStyle name="Гиперссылка 2" xfId="5446" hidden="1"/>
    <cellStyle name="Гиперссылка 2" xfId="5529" hidden="1"/>
    <cellStyle name="Гиперссылка 2" xfId="4631" hidden="1"/>
    <cellStyle name="Гиперссылка 2" xfId="5427" hidden="1"/>
    <cellStyle name="Гиперссылка 2" xfId="5675" hidden="1"/>
    <cellStyle name="Гиперссылка 2" xfId="5674" hidden="1"/>
    <cellStyle name="Гиперссылка 2" xfId="5695" hidden="1"/>
    <cellStyle name="Гиперссылка 2" xfId="5697" hidden="1"/>
    <cellStyle name="Гиперссылка 2" xfId="5708" hidden="1"/>
    <cellStyle name="Гиперссылка 2" xfId="5710" hidden="1"/>
    <cellStyle name="Гиперссылка 2" xfId="5703" hidden="1"/>
    <cellStyle name="Гиперссылка 2" xfId="5701" hidden="1"/>
    <cellStyle name="Гиперссылка 2" xfId="5706" hidden="1"/>
    <cellStyle name="Гиперссылка 2" xfId="5705" hidden="1"/>
    <cellStyle name="Гиперссылка 2" xfId="5714" hidden="1"/>
    <cellStyle name="Гиперссылка 2" xfId="5713" hidden="1"/>
    <cellStyle name="Гиперссылка 2" xfId="5718" hidden="1"/>
    <cellStyle name="Гиперссылка 2" xfId="5720" hidden="1"/>
    <cellStyle name="Гиперссылка 2" xfId="5730" hidden="1"/>
    <cellStyle name="Гиперссылка 2" xfId="5732" hidden="1"/>
    <cellStyle name="Гиперссылка 2" xfId="5725" hidden="1"/>
    <cellStyle name="Гиперссылка 2" xfId="5723" hidden="1"/>
    <cellStyle name="Гиперссылка 2" xfId="5728" hidden="1"/>
    <cellStyle name="Гиперссылка 2" xfId="5727" hidden="1"/>
    <cellStyle name="Гиперссылка 2" xfId="5736" hidden="1"/>
    <cellStyle name="Гиперссылка 2" xfId="5735" hidden="1"/>
    <cellStyle name="Гиперссылка 2" xfId="5738" hidden="1"/>
    <cellStyle name="Гиперссылка 2" xfId="5740" hidden="1"/>
    <cellStyle name="Гиперссылка 2" xfId="5750" hidden="1"/>
    <cellStyle name="Гиперссылка 2" xfId="5752" hidden="1"/>
    <cellStyle name="Гиперссылка 2" xfId="5745" hidden="1"/>
    <cellStyle name="Гиперссылка 2" xfId="5743" hidden="1"/>
    <cellStyle name="Гиперссылка 2" xfId="5748" hidden="1"/>
    <cellStyle name="Гиперссылка 2" xfId="5747" hidden="1"/>
    <cellStyle name="Гиперссылка 2" xfId="5756" hidden="1"/>
    <cellStyle name="Гиперссылка 2" xfId="5755" hidden="1"/>
    <cellStyle name="Гиперссылка 2" xfId="5428" hidden="1"/>
    <cellStyle name="Гиперссылка 2" xfId="4827" hidden="1"/>
    <cellStyle name="Гиперссылка 2" xfId="4915" hidden="1"/>
    <cellStyle name="Гиперссылка 2" xfId="4647" hidden="1"/>
    <cellStyle name="Гиперссылка 2" xfId="5625" hidden="1"/>
    <cellStyle name="Гиперссылка 2" xfId="5686" hidden="1"/>
    <cellStyle name="Гиперссылка 2" xfId="4946" hidden="1"/>
    <cellStyle name="Гиперссылка 2" xfId="5613" hidden="1"/>
    <cellStyle name="Гиперссылка 2" xfId="5840" hidden="1"/>
    <cellStyle name="Гиперссылка 2" xfId="5839" hidden="1"/>
    <cellStyle name="Гиперссылка 2" xfId="5863" hidden="1"/>
    <cellStyle name="Гиперссылка 2" xfId="5865" hidden="1"/>
    <cellStyle name="Гиперссылка 2" xfId="5876" hidden="1"/>
    <cellStyle name="Гиперссылка 2" xfId="5878" hidden="1"/>
    <cellStyle name="Гиперссылка 2" xfId="5871" hidden="1"/>
    <cellStyle name="Гиперссылка 2" xfId="5869" hidden="1"/>
    <cellStyle name="Гиперссылка 2" xfId="5874" hidden="1"/>
    <cellStyle name="Гиперссылка 2" xfId="5873" hidden="1"/>
    <cellStyle name="Гиперссылка 2" xfId="5882" hidden="1"/>
    <cellStyle name="Гиперссылка 2" xfId="5881" hidden="1"/>
    <cellStyle name="Гиперссылка 2" xfId="5885" hidden="1"/>
    <cellStyle name="Гиперссылка 2" xfId="5887" hidden="1"/>
    <cellStyle name="Гиперссылка 2" xfId="5897" hidden="1"/>
    <cellStyle name="Гиперссылка 2" xfId="5899" hidden="1"/>
    <cellStyle name="Гиперссылка 2" xfId="5892" hidden="1"/>
    <cellStyle name="Гиперссылка 2" xfId="5890" hidden="1"/>
    <cellStyle name="Гиперссылка 2" xfId="5895" hidden="1"/>
    <cellStyle name="Гиперссылка 2" xfId="5894" hidden="1"/>
    <cellStyle name="Гиперссылка 2" xfId="5903" hidden="1"/>
    <cellStyle name="Гиперссылка 2" xfId="5902" hidden="1"/>
    <cellStyle name="Гиперссылка 2" xfId="5905" hidden="1"/>
    <cellStyle name="Гиперссылка 2" xfId="5907" hidden="1"/>
    <cellStyle name="Гиперссылка 2" xfId="5917" hidden="1"/>
    <cellStyle name="Гиперссылка 2" xfId="5919" hidden="1"/>
    <cellStyle name="Гиперссылка 2" xfId="5912" hidden="1"/>
    <cellStyle name="Гиперссылка 2" xfId="5910" hidden="1"/>
    <cellStyle name="Гиперссылка 2" xfId="5915" hidden="1"/>
    <cellStyle name="Гиперссылка 2" xfId="5914" hidden="1"/>
    <cellStyle name="Гиперссылка 2" xfId="5923" hidden="1"/>
    <cellStyle name="Гиперссылка 2" xfId="5922" hidden="1"/>
    <cellStyle name="Гиперссылка 2" xfId="5614" hidden="1"/>
    <cellStyle name="Гиперссылка 2" xfId="4124" hidden="1"/>
    <cellStyle name="Гиперссылка 2" xfId="5095" hidden="1"/>
    <cellStyle name="Гиперссылка 2" xfId="4667" hidden="1"/>
    <cellStyle name="Гиперссылка 2" xfId="5784" hidden="1"/>
    <cellStyle name="Гиперссылка 2" xfId="5855" hidden="1"/>
    <cellStyle name="Гиперссылка 2" xfId="5127" hidden="1"/>
    <cellStyle name="Гиперссылка 2" xfId="5768" hidden="1"/>
    <cellStyle name="Гиперссылка 2" xfId="5999" hidden="1"/>
    <cellStyle name="Гиперссылка 2" xfId="5998" hidden="1"/>
    <cellStyle name="Гиперссылка 2" xfId="6018" hidden="1"/>
    <cellStyle name="Гиперссылка 2" xfId="6020" hidden="1"/>
    <cellStyle name="Гиперссылка 2" xfId="6031" hidden="1"/>
    <cellStyle name="Гиперссылка 2" xfId="6033" hidden="1"/>
    <cellStyle name="Гиперссылка 2" xfId="6026" hidden="1"/>
    <cellStyle name="Гиперссылка 2" xfId="6024" hidden="1"/>
    <cellStyle name="Гиперссылка 2" xfId="6029" hidden="1"/>
    <cellStyle name="Гиперссылка 2" xfId="6028" hidden="1"/>
    <cellStyle name="Гиперссылка 2" xfId="6037" hidden="1"/>
    <cellStyle name="Гиперссылка 2" xfId="6036" hidden="1"/>
    <cellStyle name="Гиперссылка 2" xfId="6041" hidden="1"/>
    <cellStyle name="Гиперссылка 2" xfId="6043" hidden="1"/>
    <cellStyle name="Гиперссылка 2" xfId="6053" hidden="1"/>
    <cellStyle name="Гиперссылка 2" xfId="6055" hidden="1"/>
    <cellStyle name="Гиперссылка 2" xfId="6048" hidden="1"/>
    <cellStyle name="Гиперссылка 2" xfId="6046" hidden="1"/>
    <cellStyle name="Гиперссылка 2" xfId="6051" hidden="1"/>
    <cellStyle name="Гиперссылка 2" xfId="6050" hidden="1"/>
    <cellStyle name="Гиперссылка 2" xfId="6059" hidden="1"/>
    <cellStyle name="Гиперссылка 2" xfId="6058" hidden="1"/>
    <cellStyle name="Гиперссылка 2" xfId="6061" hidden="1"/>
    <cellStyle name="Гиперссылка 2" xfId="6063" hidden="1"/>
    <cellStyle name="Гиперссылка 2" xfId="6073" hidden="1"/>
    <cellStyle name="Гиперссылка 2" xfId="6075" hidden="1"/>
    <cellStyle name="Гиперссылка 2" xfId="6068" hidden="1"/>
    <cellStyle name="Гиперссылка 2" xfId="6066" hidden="1"/>
    <cellStyle name="Гиперссылка 2" xfId="6071" hidden="1"/>
    <cellStyle name="Гиперссылка 2" xfId="6070" hidden="1"/>
    <cellStyle name="Гиперссылка 2" xfId="6079" hidden="1"/>
    <cellStyle name="Гиперссылка 2" xfId="6078" hidden="1"/>
    <cellStyle name="Гиперссылка 2" xfId="5769" hidden="1"/>
    <cellStyle name="Гиперссылка 2" xfId="4619" hidden="1"/>
    <cellStyle name="Гиперссылка 2" xfId="5273" hidden="1"/>
    <cellStyle name="Гиперссылка 2" xfId="4961" hidden="1"/>
    <cellStyle name="Гиперссылка 2" xfId="5948" hidden="1"/>
    <cellStyle name="Гиперссылка 2" xfId="6014" hidden="1"/>
    <cellStyle name="Гиперссылка 2" xfId="5299" hidden="1"/>
    <cellStyle name="Гиперссылка 2" xfId="5934" hidden="1"/>
    <cellStyle name="Гиперссылка 2" xfId="6137" hidden="1"/>
    <cellStyle name="Гиперссылка 2" xfId="6136" hidden="1"/>
    <cellStyle name="Гиперссылка 2" xfId="6159" hidden="1"/>
    <cellStyle name="Гиперссылка 2" xfId="6161" hidden="1"/>
    <cellStyle name="Гиперссылка 2" xfId="6172" hidden="1"/>
    <cellStyle name="Гиперссылка 2" xfId="6174" hidden="1"/>
    <cellStyle name="Гиперссылка 2" xfId="6167" hidden="1"/>
    <cellStyle name="Гиперссылка 2" xfId="6165" hidden="1"/>
    <cellStyle name="Гиперссылка 2" xfId="6170" hidden="1"/>
    <cellStyle name="Гиперссылка 2" xfId="6169" hidden="1"/>
    <cellStyle name="Гиперссылка 2" xfId="6178" hidden="1"/>
    <cellStyle name="Гиперссылка 2" xfId="6177" hidden="1"/>
    <cellStyle name="Гиперссылка 2" xfId="6182" hidden="1"/>
    <cellStyle name="Гиперссылка 2" xfId="6184" hidden="1"/>
    <cellStyle name="Гиперссылка 2" xfId="6194" hidden="1"/>
    <cellStyle name="Гиперссылка 2" xfId="6196" hidden="1"/>
    <cellStyle name="Гиперссылка 2" xfId="6189" hidden="1"/>
    <cellStyle name="Гиперссылка 2" xfId="6187" hidden="1"/>
    <cellStyle name="Гиперссылка 2" xfId="6192" hidden="1"/>
    <cellStyle name="Гиперссылка 2" xfId="6191" hidden="1"/>
    <cellStyle name="Гиперссылка 2" xfId="6200" hidden="1"/>
    <cellStyle name="Гиперссылка 2" xfId="6199" hidden="1"/>
    <cellStyle name="Гиперссылка 2" xfId="6202" hidden="1"/>
    <cellStyle name="Гиперссылка 2" xfId="6204" hidden="1"/>
    <cellStyle name="Гиперссылка 2" xfId="6214" hidden="1"/>
    <cellStyle name="Гиперссылка 2" xfId="6216" hidden="1"/>
    <cellStyle name="Гиперссылка 2" xfId="6209" hidden="1"/>
    <cellStyle name="Гиперссылка 2" xfId="6207" hidden="1"/>
    <cellStyle name="Гиперссылка 2" xfId="6212" hidden="1"/>
    <cellStyle name="Гиперссылка 2" xfId="6211" hidden="1"/>
    <cellStyle name="Гиперссылка 2" xfId="6220" hidden="1"/>
    <cellStyle name="Гиперссылка 2" xfId="6219" hidden="1"/>
    <cellStyle name="Гиперссылка 2" xfId="5935" hidden="1"/>
    <cellStyle name="Гиперссылка 2" xfId="4927" hidden="1"/>
    <cellStyle name="Гиперссылка 2" xfId="5440" hidden="1"/>
    <cellStyle name="Гиперссылка 2" xfId="5142" hidden="1"/>
    <cellStyle name="Гиперссылка 2" xfId="6095" hidden="1"/>
    <cellStyle name="Гиперссылка 2" xfId="6151" hidden="1"/>
    <cellStyle name="Гиперссылка 2" xfId="5472" hidden="1"/>
    <cellStyle name="Гиперссылка 2" xfId="6087" hidden="1"/>
    <cellStyle name="Гиперссылка 2" xfId="6278" hidden="1"/>
    <cellStyle name="Гиперссылка 2" xfId="6277" hidden="1"/>
    <cellStyle name="Гиперссылка 2" xfId="6297" hidden="1"/>
    <cellStyle name="Гиперссылка 2" xfId="6299" hidden="1"/>
    <cellStyle name="Гиперссылка 2" xfId="6310" hidden="1"/>
    <cellStyle name="Гиперссылка 2" xfId="6312" hidden="1"/>
    <cellStyle name="Гиперссылка 2" xfId="6305" hidden="1"/>
    <cellStyle name="Гиперссылка 2" xfId="6303" hidden="1"/>
    <cellStyle name="Гиперссылка 2" xfId="6308" hidden="1"/>
    <cellStyle name="Гиперссылка 2" xfId="6307" hidden="1"/>
    <cellStyle name="Гиперссылка 2" xfId="6316" hidden="1"/>
    <cellStyle name="Гиперссылка 2" xfId="6315" hidden="1"/>
    <cellStyle name="Гиперссылка 2" xfId="6319" hidden="1"/>
    <cellStyle name="Гиперссылка 2" xfId="6321" hidden="1"/>
    <cellStyle name="Гиперссылка 2" xfId="6331" hidden="1"/>
    <cellStyle name="Гиперссылка 2" xfId="6333" hidden="1"/>
    <cellStyle name="Гиперссылка 2" xfId="6326" hidden="1"/>
    <cellStyle name="Гиперссылка 2" xfId="6324" hidden="1"/>
    <cellStyle name="Гиперссылка 2" xfId="6329" hidden="1"/>
    <cellStyle name="Гиперссылка 2" xfId="6328" hidden="1"/>
    <cellStyle name="Гиперссылка 2" xfId="6337" hidden="1"/>
    <cellStyle name="Гиперссылка 2" xfId="6336" hidden="1"/>
    <cellStyle name="Гиперссылка 2" xfId="6339" hidden="1"/>
    <cellStyle name="Гиперссылка 2" xfId="6341" hidden="1"/>
    <cellStyle name="Гиперссылка 2" xfId="6351" hidden="1"/>
    <cellStyle name="Гиперссылка 2" xfId="6353" hidden="1"/>
    <cellStyle name="Гиперссылка 2" xfId="6346" hidden="1"/>
    <cellStyle name="Гиперссылка 2" xfId="6344" hidden="1"/>
    <cellStyle name="Гиперссылка 2" xfId="6349" hidden="1"/>
    <cellStyle name="Гиперссылка 2" xfId="6348" hidden="1"/>
    <cellStyle name="Гиперссылка 2" xfId="6357" hidden="1"/>
    <cellStyle name="Гиперссылка 2" xfId="6356" hidden="1"/>
    <cellStyle name="Гиперссылка 2" xfId="6088" hidden="1"/>
    <cellStyle name="Гиперссылка 2" xfId="5109" hidden="1"/>
    <cellStyle name="Гиперссылка 2" xfId="5621" hidden="1"/>
    <cellStyle name="Гиперссылка 2" xfId="5313" hidden="1"/>
    <cellStyle name="Гиперссылка 2" xfId="6240" hidden="1"/>
    <cellStyle name="Гиперссылка 2" xfId="6291" hidden="1"/>
    <cellStyle name="Гиперссылка 2" xfId="5648" hidden="1"/>
    <cellStyle name="Гиперссылка 2" xfId="6229" hidden="1"/>
    <cellStyle name="Гиперссылка 2" xfId="6402" hidden="1"/>
    <cellStyle name="Гиперссылка 2" xfId="6401" hidden="1"/>
    <cellStyle name="Гиперссылка 2" xfId="6416" hidden="1"/>
    <cellStyle name="Гиперссылка 2" xfId="6418" hidden="1"/>
    <cellStyle name="Гиперссылка 2" xfId="6429" hidden="1"/>
    <cellStyle name="Гиперссылка 2" xfId="6431" hidden="1"/>
    <cellStyle name="Гиперссылка 2" xfId="6424" hidden="1"/>
    <cellStyle name="Гиперссылка 2" xfId="6422" hidden="1"/>
    <cellStyle name="Гиперссылка 2" xfId="6427" hidden="1"/>
    <cellStyle name="Гиперссылка 2" xfId="6426" hidden="1"/>
    <cellStyle name="Гиперссылка 2" xfId="6435" hidden="1"/>
    <cellStyle name="Гиперссылка 2" xfId="6434" hidden="1"/>
    <cellStyle name="Гиперссылка 2" xfId="6438" hidden="1"/>
    <cellStyle name="Гиперссылка 2" xfId="6440" hidden="1"/>
    <cellStyle name="Гиперссылка 2" xfId="6450" hidden="1"/>
    <cellStyle name="Гиперссылка 2" xfId="6452" hidden="1"/>
    <cellStyle name="Гиперссылка 2" xfId="6445" hidden="1"/>
    <cellStyle name="Гиперссылка 2" xfId="6443" hidden="1"/>
    <cellStyle name="Гиперссылка 2" xfId="6448" hidden="1"/>
    <cellStyle name="Гиперссылка 2" xfId="6447" hidden="1"/>
    <cellStyle name="Гиперссылка 2" xfId="6456" hidden="1"/>
    <cellStyle name="Гиперссылка 2" xfId="6455" hidden="1"/>
    <cellStyle name="Гиперссылка 2" xfId="6458" hidden="1"/>
    <cellStyle name="Гиперссылка 2" xfId="6460" hidden="1"/>
    <cellStyle name="Гиперссылка 2" xfId="6470" hidden="1"/>
    <cellStyle name="Гиперссылка 2" xfId="6472" hidden="1"/>
    <cellStyle name="Гиперссылка 2" xfId="6465" hidden="1"/>
    <cellStyle name="Гиперссылка 2" xfId="6463" hidden="1"/>
    <cellStyle name="Гиперссылка 2" xfId="6468" hidden="1"/>
    <cellStyle name="Гиперссылка 2" xfId="6467" hidden="1"/>
    <cellStyle name="Гиперссылка 2" xfId="6476" hidden="1"/>
    <cellStyle name="Гиперссылка 2" xfId="6475" hidden="1"/>
    <cellStyle name="Гиперссылка 2" xfId="6230" hidden="1"/>
    <cellStyle name="Гиперссылка 2" xfId="5282" hidden="1"/>
    <cellStyle name="Гиперссылка 2" xfId="5780" hidden="1"/>
    <cellStyle name="Гиперссылка 2" xfId="5488" hidden="1"/>
    <cellStyle name="Гиперссылка 2" xfId="6370" hidden="1"/>
    <cellStyle name="Гиперссылка 2" xfId="6413" hidden="1"/>
    <cellStyle name="Гиперссылка 2" xfId="5809" hidden="1"/>
    <cellStyle name="Гиперссылка 2" xfId="6362" hidden="1"/>
    <cellStyle name="Гиперссылка 2" xfId="6502" hidden="1"/>
    <cellStyle name="Гиперссылка 2" xfId="6501" hidden="1"/>
    <cellStyle name="Гиперссылка 2" xfId="6513" hidden="1"/>
    <cellStyle name="Гиперссылка 2" xfId="6515" hidden="1"/>
    <cellStyle name="Гиперссылка 2" xfId="6526" hidden="1"/>
    <cellStyle name="Гиперссылка 2" xfId="6528" hidden="1"/>
    <cellStyle name="Гиперссылка 2" xfId="6521" hidden="1"/>
    <cellStyle name="Гиперссылка 2" xfId="6519" hidden="1"/>
    <cellStyle name="Гиперссылка 2" xfId="6524" hidden="1"/>
    <cellStyle name="Гиперссылка 2" xfId="6523" hidden="1"/>
    <cellStyle name="Гиперссылка 2" xfId="6532" hidden="1"/>
    <cellStyle name="Гиперссылка 2" xfId="6531" hidden="1"/>
    <cellStyle name="Гиперссылка 2" xfId="6534" hidden="1"/>
    <cellStyle name="Гиперссылка 2" xfId="6536" hidden="1"/>
    <cellStyle name="Гиперссылка 2" xfId="6546" hidden="1"/>
    <cellStyle name="Гиперссылка 2" xfId="6548" hidden="1"/>
    <cellStyle name="Гиперссылка 2" xfId="6541" hidden="1"/>
    <cellStyle name="Гиперссылка 2" xfId="6539" hidden="1"/>
    <cellStyle name="Гиперссылка 2" xfId="6544" hidden="1"/>
    <cellStyle name="Гиперссылка 2" xfId="6543" hidden="1"/>
    <cellStyle name="Гиперссылка 2" xfId="6552" hidden="1"/>
    <cellStyle name="Гиперссылка 2" xfId="6551" hidden="1"/>
    <cellStyle name="Гиперссылка 2" xfId="6554" hidden="1"/>
    <cellStyle name="Гиперссылка 2" xfId="6556" hidden="1"/>
    <cellStyle name="Гиперссылка 2" xfId="6566" hidden="1"/>
    <cellStyle name="Гиперссылка 2" xfId="6568" hidden="1"/>
    <cellStyle name="Гиперссылка 2" xfId="6561" hidden="1"/>
    <cellStyle name="Гиперссылка 2" xfId="6559" hidden="1"/>
    <cellStyle name="Гиперссылка 2" xfId="6564" hidden="1"/>
    <cellStyle name="Гиперссылка 2" xfId="6563" hidden="1"/>
    <cellStyle name="Гиперссылка 2" xfId="6572" hidden="1"/>
    <cellStyle name="Гиперссылка 2" xfId="6571" hidden="1"/>
    <cellStyle name="Гиперссылка 2" xfId="6363" hidden="1"/>
    <cellStyle name="Гиперссылка 2" xfId="5457" hidden="1"/>
    <cellStyle name="Гиперссылка 2" xfId="5945" hidden="1"/>
    <cellStyle name="Гиперссылка 2" xfId="5658" hidden="1"/>
    <cellStyle name="Гиперссылка 2" xfId="6484" hidden="1"/>
    <cellStyle name="Гиперссылка 2" xfId="6511" hidden="1"/>
    <cellStyle name="Гиперссылка 2" xfId="5971" hidden="1"/>
    <cellStyle name="Гиперссылка 2" xfId="6481" hidden="1"/>
    <cellStyle name="Гиперссылка 2" xfId="6576" hidden="1"/>
    <cellStyle name="Гиперссылка 2" xfId="6575" hidden="1"/>
    <cellStyle name="Гиперссылка 2" xfId="6578" hidden="1"/>
    <cellStyle name="Гиперссылка 2" xfId="6580" hidden="1"/>
    <cellStyle name="Гиперссылка 2" xfId="6590" hidden="1"/>
    <cellStyle name="Гиперссылка 2" xfId="6592" hidden="1"/>
    <cellStyle name="Гиперссылка 2" xfId="6585" hidden="1"/>
    <cellStyle name="Гиперссылка 2" xfId="6583" hidden="1"/>
    <cellStyle name="Гиперссылка 2" xfId="6588" hidden="1"/>
    <cellStyle name="Гиперссылка 2" xfId="6587" hidden="1"/>
    <cellStyle name="Гиперссылка 2" xfId="6596" hidden="1"/>
    <cellStyle name="Гиперссылка 2" xfId="6595" hidden="1"/>
    <cellStyle name="Гиперссылка 2" xfId="6598" hidden="1"/>
    <cellStyle name="Гиперссылка 2" xfId="6600" hidden="1"/>
    <cellStyle name="Гиперссылка 2" xfId="6610" hidden="1"/>
    <cellStyle name="Гиперссылка 2" xfId="6612" hidden="1"/>
    <cellStyle name="Гиперссылка 2" xfId="6605" hidden="1"/>
    <cellStyle name="Гиперссылка 2" xfId="6603" hidden="1"/>
    <cellStyle name="Гиперссылка 2" xfId="6608" hidden="1"/>
    <cellStyle name="Гиперссылка 2" xfId="6607" hidden="1"/>
    <cellStyle name="Гиперссылка 2" xfId="6616" hidden="1"/>
    <cellStyle name="Гиперссылка 2" xfId="6615" hidden="1"/>
    <cellStyle name="Гиперссылка 2" xfId="6618" hidden="1"/>
    <cellStyle name="Гиперссылка 2" xfId="6620" hidden="1"/>
    <cellStyle name="Гиперссылка 2" xfId="6630" hidden="1"/>
    <cellStyle name="Гиперссылка 2" xfId="6632" hidden="1"/>
    <cellStyle name="Гиперссылка 2" xfId="6625" hidden="1"/>
    <cellStyle name="Гиперссылка 2" xfId="6623" hidden="1"/>
    <cellStyle name="Гиперссылка 2" xfId="6628" hidden="1"/>
    <cellStyle name="Гиперссылка 2" xfId="6627" hidden="1"/>
    <cellStyle name="Гиперссылка 2" xfId="6636" hidden="1"/>
    <cellStyle name="Гиперссылка 2" xfId="6635" hidden="1"/>
    <cellStyle name="Гиперссылка 2" xfId="5357" hidden="1"/>
    <cellStyle name="Гиперссылка 2" xfId="242" hidden="1"/>
    <cellStyle name="Гиперссылка 2" xfId="6142" hidden="1"/>
    <cellStyle name="Гиперссылка 2" xfId="4077" hidden="1"/>
    <cellStyle name="Гиперссылка 2" xfId="5801" hidden="1"/>
    <cellStyle name="Гиперссылка 2" xfId="4630" hidden="1"/>
    <cellStyle name="Гиперссылка 2" xfId="4430" hidden="1"/>
    <cellStyle name="Гиперссылка 2" xfId="4416" hidden="1"/>
    <cellStyle name="Гиперссылка 2" xfId="4455" hidden="1"/>
    <cellStyle name="Гиперссылка 2" xfId="4050" hidden="1"/>
    <cellStyle name="Гиперссылка 2" xfId="6393" hidden="1"/>
    <cellStyle name="Гиперссылка 2" xfId="6121" hidden="1"/>
    <cellStyle name="Гиперссылка 2" xfId="5149" hidden="1"/>
    <cellStyle name="Гиперссылка 2" xfId="338" hidden="1"/>
    <cellStyle name="Гиперссылка 2" xfId="5990" hidden="1"/>
    <cellStyle name="Гиперссылка 2" xfId="6269" hidden="1"/>
    <cellStyle name="Гиперссылка 2" xfId="5495" hidden="1"/>
    <cellStyle name="Гиперссылка 2" xfId="5666" hidden="1"/>
    <cellStyle name="Гиперссылка 2" xfId="5642" hidden="1"/>
    <cellStyle name="Гиперссылка 2" xfId="230" hidden="1"/>
    <cellStyle name="Гиперссылка 2" xfId="264" hidden="1"/>
    <cellStyle name="Гиперссылка 2" xfId="4604" hidden="1"/>
    <cellStyle name="Гиперссылка 2" xfId="4163" hidden="1"/>
    <cellStyle name="Гиперссылка 2" xfId="4159" hidden="1"/>
    <cellStyle name="Гиперссылка 2" xfId="4787" hidden="1"/>
    <cellStyle name="Гиперссылка 2" xfId="4855" hidden="1"/>
    <cellStyle name="Гиперссылка 2" xfId="4386" hidden="1"/>
    <cellStyle name="Гиперссылка 2" xfId="4390" hidden="1"/>
    <cellStyle name="Гиперссылка 2" xfId="4511" hidden="1"/>
    <cellStyle name="Гиперссылка 2" xfId="4136" hidden="1"/>
    <cellStyle name="Гиперссылка 2" xfId="4379" hidden="1"/>
    <cellStyle name="Гиперссылка 2" xfId="4279" hidden="1"/>
    <cellStyle name="Гиперссылка 2" xfId="4365" hidden="1"/>
    <cellStyle name="Гиперссылка 2" xfId="4292" hidden="1"/>
    <cellStyle name="Гиперссылка 2" xfId="4343" hidden="1"/>
    <cellStyle name="Гиперссылка 2" xfId="4477" hidden="1"/>
    <cellStyle name="Гиперссылка 2" xfId="4500" hidden="1"/>
    <cellStyle name="Гиперссылка 2" xfId="4007" hidden="1"/>
    <cellStyle name="Гиперссылка 2" xfId="4369" hidden="1"/>
    <cellStyle name="Гиперссылка 2" xfId="4462" hidden="1"/>
    <cellStyle name="Гиперссылка 2" xfId="322" hidden="1"/>
    <cellStyle name="Гиперссылка 2" xfId="4655" hidden="1"/>
    <cellStyle name="Гиперссылка 2" xfId="4445" hidden="1"/>
    <cellStyle name="Гиперссылка 2" xfId="4314" hidden="1"/>
    <cellStyle name="Гиперссылка 2" xfId="4497" hidden="1"/>
    <cellStyle name="Гиперссылка 2" xfId="5094" hidden="1"/>
    <cellStyle name="Гиперссылка 2" xfId="6250" hidden="1"/>
    <cellStyle name="Гиперссылка 2" xfId="6381" hidden="1"/>
    <cellStyle name="Гиперссылка 2" xfId="4235" hidden="1"/>
    <cellStyle name="Гиперссылка 2" xfId="4738" hidden="1"/>
    <cellStyle name="Гиперссылка 2" xfId="5772" hidden="1"/>
    <cellStyle name="Гиперссылка 2" xfId="5432" hidden="1"/>
    <cellStyle name="Гиперссылка 2" xfId="4303" hidden="1"/>
    <cellStyle name="Гиперссылка 2" xfId="5532" hidden="1"/>
    <cellStyle name="Гиперссылка 2" xfId="4954" hidden="1"/>
    <cellStyle name="Гиперссылка 2" xfId="277" hidden="1"/>
    <cellStyle name="Гиперссылка 2" xfId="4435" hidden="1"/>
    <cellStyle name="Гиперссылка 2" xfId="4405" hidden="1"/>
    <cellStyle name="Гиперссылка 2" xfId="4810" hidden="1"/>
    <cellStyle name="Гиперссылка 2" xfId="5001" hidden="1"/>
    <cellStyle name="Гиперссылка 2" xfId="6293" hidden="1"/>
    <cellStyle name="Гиперссылка 2" xfId="6015" hidden="1"/>
    <cellStyle name="Гиперссылка 2" xfId="5480" hidden="1"/>
    <cellStyle name="Гиперссылка 2" xfId="282" hidden="1"/>
    <cellStyle name="Гиперссылка 2" xfId="6260" hidden="1"/>
    <cellStyle name="Гиперссылка 2" xfId="6496" hidden="1"/>
    <cellStyle name="Гиперссылка 2" xfId="5817" hidden="1"/>
    <cellStyle name="Гиперссылка 2" xfId="5979" hidden="1"/>
    <cellStyle name="Гиперссылка 2" xfId="4409" hidden="1"/>
    <cellStyle name="Гиперссылка 2" xfId="4580" hidden="1"/>
    <cellStyle name="Гиперссылка 2" xfId="4232" hidden="1"/>
    <cellStyle name="Гиперссылка 2" xfId="5519" hidden="1"/>
    <cellStyle name="Гиперссылка 2" xfId="6007" hidden="1"/>
    <cellStyle name="Гиперссылка 2" xfId="5682" hidden="1"/>
    <cellStyle name="Гиперссылка 2" xfId="4869" hidden="1"/>
    <cellStyle name="Гиперссылка 2" xfId="4991" hidden="1"/>
    <cellStyle name="Гиперссылка 2" xfId="6286" hidden="1"/>
    <cellStyle name="Гиперссылка 2" xfId="4229" hidden="1"/>
    <cellStyle name="Гиперссылка 2" xfId="6288" hidden="1"/>
    <cellStyle name="Гиперссылка 2" xfId="6410" hidden="1"/>
    <cellStyle name="Гиперссылка 2" xfId="5158" hidden="1"/>
    <cellStyle name="Гиперссылка 2" xfId="5115" hidden="1"/>
    <cellStyle name="Гиперссылка 2" xfId="6122" hidden="1"/>
    <cellStyle name="Гиперссылка 2" xfId="4181" hidden="1"/>
    <cellStyle name="Гиперссылка 2" xfId="4894" hidden="1"/>
    <cellStyle name="Гиперссылка 2" xfId="4589" hidden="1"/>
    <cellStyle name="Гиперссылка 2" xfId="5630" hidden="1"/>
    <cellStyle name="Гиперссылка 2" xfId="5615" hidden="1"/>
    <cellStyle name="Гиперссылка 2" xfId="4425" hidden="1"/>
    <cellStyle name="Гиперссылка 2" xfId="4433" hidden="1"/>
    <cellStyle name="Гиперссылка 2" xfId="4716" hidden="1"/>
    <cellStyle name="Гиперссылка 2" xfId="4582" hidden="1"/>
    <cellStyle name="Гиперссылка 2" xfId="5379" hidden="1"/>
    <cellStyle name="Гиперссылка 2" xfId="5027" hidden="1"/>
    <cellStyle name="Гиперссылка 2" xfId="6180" hidden="1"/>
    <cellStyle name="Гиперссылка 2" xfId="4649" hidden="1"/>
    <cellStyle name="Гиперссылка 2" xfId="5716" hidden="1"/>
    <cellStyle name="Гиперссылка 2" xfId="5884" hidden="1"/>
    <cellStyle name="Гиперссылка 2" xfId="307" hidden="1"/>
    <cellStyle name="Гиперссылка 2" xfId="302" hidden="1"/>
    <cellStyle name="Гиперссылка 2" xfId="5649" hidden="1"/>
    <cellStyle name="Гиперссылка 2" xfId="5475" hidden="1"/>
    <cellStyle name="Гиперссылка 2" xfId="341" hidden="1"/>
    <cellStyle name="Гиперссылка 2" xfId="4339" hidden="1"/>
    <cellStyle name="Гиперссылка 2" xfId="4785" hidden="1"/>
    <cellStyle name="Гиперссылка 2" xfId="4949" hidden="1"/>
    <cellStyle name="Гиперссылка 2" xfId="4015" hidden="1"/>
    <cellStyle name="Гиперссылка 2" xfId="4097" hidden="1"/>
    <cellStyle name="Гиперссылка 2" xfId="4145" hidden="1"/>
    <cellStyle name="Гиперссылка 2" xfId="4151" hidden="1"/>
    <cellStyle name="Гиперссылка 2" xfId="4509" hidden="1"/>
    <cellStyle name="Гиперссылка 2" xfId="4377" hidden="1"/>
    <cellStyle name="Гиперссылка 2" xfId="4501" hidden="1"/>
    <cellStyle name="Гиперссылка 2" xfId="4367" hidden="1"/>
    <cellStyle name="Гиперссылка 2" xfId="4481" hidden="1"/>
    <cellStyle name="Гиперссылка 2" xfId="4130" hidden="1"/>
    <cellStyle name="Гиперссылка 2" xfId="4280" hidden="1"/>
    <cellStyle name="Гиперссылка 2" xfId="4347" hidden="1"/>
    <cellStyle name="Гиперссылка 2" xfId="4506" hidden="1"/>
    <cellStyle name="Гиперссылка 2" xfId="4285" hidden="1"/>
    <cellStyle name="Гиперссылка 2" xfId="5429" hidden="1"/>
    <cellStyle name="Гиперссылка 2" xfId="4689" hidden="1"/>
    <cellStyle name="Гиперссылка 2" xfId="4496" hidden="1"/>
    <cellStyle name="Гиперссылка 2" xfId="4326" hidden="1"/>
    <cellStyle name="Гиперссылка 2" xfId="4008" hidden="1"/>
    <cellStyle name="Гиперссылка 2" xfId="285" hidden="1"/>
    <cellStyle name="Гиперссылка 2" xfId="6134" hidden="1"/>
    <cellStyle name="Гиперссылка 2" xfId="4786" hidden="1"/>
    <cellStyle name="Гиперссылка 2" xfId="314" hidden="1"/>
    <cellStyle name="Гиперссылка 2" xfId="4129" hidden="1"/>
    <cellStyle name="Гиперссылка 2" xfId="5650" hidden="1"/>
    <cellStyle name="Гиперссылка 2" xfId="5302" hidden="1"/>
    <cellStyle name="Гиперссылка 2" xfId="4626" hidden="1"/>
    <cellStyle name="Гиперссылка 2" xfId="4762" hidden="1"/>
    <cellStyle name="Гиперссылка 2" xfId="6384" hidden="1"/>
    <cellStyle name="Гиперссылка 2" xfId="4208" hidden="1"/>
    <cellStyle name="Гиперссылка 2" xfId="5974" hidden="1"/>
    <cellStyle name="Гиперссылка 2" xfId="6114" hidden="1"/>
    <cellStyle name="Гиперссылка 2" xfId="4090" hidden="1"/>
    <cellStyle name="Гиперссылка 2" xfId="4880" hidden="1"/>
    <cellStyle name="Гиперссылка 2" xfId="4672" hidden="1"/>
    <cellStyle name="Гиперссылка 2" xfId="4074" hidden="1"/>
    <cellStyle name="Гиперссылка 2" xfId="4784" hidden="1"/>
    <cellStyle name="Гиперссылка 2" xfId="4204" hidden="1"/>
    <cellStyle name="Гиперссылка 2" xfId="5068" hidden="1"/>
    <cellStyle name="Гиперссылка 2" xfId="4344" hidden="1"/>
    <cellStyle name="Гиперссылка 2" xfId="4852" hidden="1"/>
    <cellStyle name="Гиперссылка 2" xfId="4686" hidden="1"/>
    <cellStyle name="Гиперссылка 2" xfId="5421" hidden="1"/>
    <cellStyle name="Гиперссылка 2" xfId="5603" hidden="1"/>
    <cellStyle name="Гиперссылка 2" xfId="4055" hidden="1"/>
    <cellStyle name="Гиперссылка 2" xfId="5263" hidden="1"/>
    <cellStyle name="Гиперссылка 2" xfId="4972" hidden="1"/>
    <cellStyle name="Гиперссылка 2" xfId="4424" hidden="1"/>
    <cellStyle name="Гиперссылка 2" xfId="4781" hidden="1"/>
    <cellStyle name="Гиперссылка 2" xfId="4744" hidden="1"/>
    <cellStyle name="Гиперссылка 2" xfId="244" hidden="1"/>
    <cellStyle name="Гиперссылка 2" xfId="4613" hidden="1"/>
    <cellStyle name="Гиперссылка 2" xfId="5342" hidden="1"/>
    <cellStyle name="Гиперссылка 2" xfId="4219" hidden="1"/>
    <cellStyle name="Гиперссылка 2" xfId="4889" hidden="1"/>
    <cellStyle name="Гиперссылка 2" xfId="5932" hidden="1"/>
    <cellStyle name="Гиперссылка 2" xfId="5536" hidden="1"/>
    <cellStyle name="Гиперссылка 2" xfId="4627" hidden="1"/>
    <cellStyle name="Гиперссылка 2" xfId="4140" hidden="1"/>
    <cellStyle name="Гиперссылка 2" xfId="5958" hidden="1"/>
    <cellStyle name="Гиперссылка 2" xfId="4322" hidden="1"/>
    <cellStyle name="Гиперссылка 2" xfId="272" hidden="1"/>
    <cellStyle name="Гиперссылка 2" xfId="4194" hidden="1"/>
    <cellStyle name="Гиперссылка 2" xfId="4694" hidden="1"/>
    <cellStyle name="Гиперссылка 2" xfId="6261" hidden="1"/>
    <cellStyle name="Гиперссылка 2" xfId="5982" hidden="1"/>
    <cellStyle name="Гиперссылка 2" xfId="317" hidden="1"/>
    <cellStyle name="Гиперссылка 2" xfId="231" hidden="1"/>
    <cellStyle name="Гиперссылка 2" xfId="320" hidden="1"/>
    <cellStyle name="Гиперссылка 2" xfId="5310" hidden="1"/>
    <cellStyle name="Гиперссылка 2" xfId="289" hidden="1"/>
    <cellStyle name="Гиперссылка 2" xfId="276" hidden="1"/>
    <cellStyle name="Гиперссылка 2" xfId="221" hidden="1"/>
    <cellStyle name="Гиперссылка 2" xfId="312" hidden="1"/>
    <cellStyle name="Гиперссылка 2" xfId="4483" hidden="1"/>
    <cellStyle name="Гиперссылка 2" xfId="4349" hidden="1"/>
    <cellStyle name="Гиперссылка 2" xfId="6498" hidden="1"/>
    <cellStyle name="Гиперссылка 2" xfId="6262" hidden="1"/>
    <cellStyle name="Гиперссылка 2" xfId="5314" hidden="1"/>
    <cellStyle name="Гиперссылка 2" xfId="5659" hidden="1"/>
    <cellStyle name="Гиперссылка 2" xfId="4706" hidden="1"/>
    <cellStyle name="Гиперссылка 2" xfId="4962" hidden="1"/>
    <cellStyle name="Гиперссылка 2" xfId="5806" hidden="1"/>
    <cellStyle name="Гиперссылка 2" xfId="4057" hidden="1"/>
    <cellStyle name="Гиперссылка 2" xfId="5467" hidden="1"/>
    <cellStyle name="Гиперссылка 2" xfId="5125" hidden="1"/>
    <cellStyle name="Гиперссылка 2" xfId="4413" hidden="1"/>
    <cellStyle name="Гиперссылка 2" xfId="4281" hidden="1"/>
    <cellStyle name="Гиперссылка 2" xfId="240" hidden="1"/>
    <cellStyle name="Гиперссылка 2" xfId="4833" hidden="1"/>
    <cellStyle name="Гиперссылка 2" xfId="4085" hidden="1"/>
    <cellStyle name="Гиперссылка 2" xfId="4838" hidden="1"/>
    <cellStyle name="Гиперссылка 2" xfId="4677" hidden="1"/>
    <cellStyle name="Гиперссылка 2" xfId="4576" hidden="1"/>
    <cellStyle name="Гиперссылка 2" xfId="258" hidden="1"/>
    <cellStyle name="Гиперссылка 2" xfId="4616" hidden="1"/>
    <cellStyle name="Гиперссылка 2" xfId="4387" hidden="1"/>
    <cellStyle name="Гиперссылка 2" xfId="5691" hidden="1"/>
    <cellStyle name="Гиперссылка 2" xfId="6389" hidden="1"/>
    <cellStyle name="Гиперссылка 2" xfId="5460" hidden="1"/>
    <cellStyle name="Гиперссылка 2" xfId="5354" hidden="1"/>
    <cellStyle name="Гиперссылка 2" xfId="6398" hidden="1"/>
    <cellStyle name="Гиперссылка 2" xfId="4662" hidden="1"/>
    <cellStyle name="Гиперссылка 2" xfId="4996" hidden="1"/>
    <cellStyle name="Гиперссылка 2" xfId="6437" hidden="1"/>
    <cellStyle name="Гиперссылка 2" xfId="6181" hidden="1"/>
    <cellStyle name="Гиперссылка 2" xfId="4707" hidden="1"/>
    <cellStyle name="Гиперссылка 2" xfId="238" hidden="1"/>
    <cellStyle name="Гиперссылка 2" xfId="5455" hidden="1"/>
    <cellStyle name="Гиперссылка 2" xfId="5790" hidden="1"/>
    <cellStyle name="Гиперссылка 2" xfId="4925" hidden="1"/>
    <cellStyle name="Гиперссылка 2" xfId="5106" hidden="1"/>
    <cellStyle name="Гиперссылка 2" xfId="4480" hidden="1"/>
    <cellStyle name="Гиперссылка 2" xfId="4013" hidden="1"/>
    <cellStyle name="Гиперссылка 2" xfId="5096" hidden="1"/>
    <cellStyle name="Гиперссылка 2" xfId="4860" hidden="1"/>
    <cellStyle name="Гиперссылка 2" xfId="5274" hidden="1"/>
    <cellStyle name="Гиперссылка 2" xfId="6499" hidden="1"/>
    <cellStyle name="Гиперссылка 2" xfId="4189" hidden="1"/>
    <cellStyle name="Гиперссылка 2" xfId="4671" hidden="1"/>
    <cellStyle name="Гиперссылка 2" xfId="5622" hidden="1"/>
    <cellStyle name="Гиперссылка 2" xfId="5781" hidden="1"/>
    <cellStyle name="Гиперссылка 2" xfId="5988" hidden="1"/>
    <cellStyle name="Гиперссылка 2" xfId="6125" hidden="1"/>
    <cellStyle name="Гиперссылка 2" xfId="5664" hidden="1"/>
    <cellStyle name="Гиперссылка 2" xfId="5317" hidden="1"/>
    <cellStyle name="Гиперссылка 2" xfId="5166" hidden="1"/>
    <cellStyle name="Гиперссылка 2" xfId="4749" hidden="1"/>
    <cellStyle name="Гиперссылка 2" xfId="4417" hidden="1"/>
    <cellStyle name="Гиперссылка 2" xfId="4865" hidden="1"/>
    <cellStyle name="Гиперссылка 2" xfId="4228" hidden="1"/>
    <cellStyle name="Гиперссылка 2" xfId="4199" hidden="1"/>
    <cellStyle name="Гиперссылка 2" xfId="4187" hidden="1"/>
    <cellStyle name="Гиперссылка 2" xfId="4684" hidden="1"/>
    <cellStyle name="Гиперссылка 2" xfId="6272" hidden="1"/>
    <cellStyle name="Гиперссылка 2" xfId="6378" hidden="1"/>
    <cellStyle name="Гиперссылка 2" xfId="4310" hidden="1"/>
    <cellStyle name="Гиперссылка 2" xfId="5122" hidden="1"/>
    <cellStyle name="Гиперссылка 2" xfId="6510" hidden="1"/>
    <cellStyle name="Гиперссылка 2" xfId="4067" hidden="1"/>
    <cellStyle name="Гиперссылка 2" xfId="6284" hidden="1"/>
    <cellStyle name="Гиперссылка 2" xfId="5504" hidden="1"/>
    <cellStyle name="Гиперссылка 2" xfId="6664" hidden="1"/>
    <cellStyle name="Гиперссылка 2" xfId="6663" hidden="1"/>
    <cellStyle name="Гиперссылка 2" xfId="6680" hidden="1"/>
    <cellStyle name="Гиперссылка 2" xfId="6682" hidden="1"/>
    <cellStyle name="Гиперссылка 2" xfId="6693" hidden="1"/>
    <cellStyle name="Гиперссылка 2" xfId="6695" hidden="1"/>
    <cellStyle name="Гиперссылка 2" xfId="6688" hidden="1"/>
    <cellStyle name="Гиперссылка 2" xfId="6686" hidden="1"/>
    <cellStyle name="Гиперссылка 2" xfId="6691" hidden="1"/>
    <cellStyle name="Гиперссылка 2" xfId="6690" hidden="1"/>
    <cellStyle name="Гиперссылка 2" xfId="6699" hidden="1"/>
    <cellStyle name="Гиперссылка 2" xfId="6698" hidden="1"/>
    <cellStyle name="Гиперссылка 2" xfId="6702" hidden="1"/>
    <cellStyle name="Гиперссылка 2" xfId="6704" hidden="1"/>
    <cellStyle name="Гиперссылка 2" xfId="6714" hidden="1"/>
    <cellStyle name="Гиперссылка 2" xfId="6716" hidden="1"/>
    <cellStyle name="Гиперссылка 2" xfId="6709" hidden="1"/>
    <cellStyle name="Гиперссылка 2" xfId="6707" hidden="1"/>
    <cellStyle name="Гиперссылка 2" xfId="6712" hidden="1"/>
    <cellStyle name="Гиперссылка 2" xfId="6711" hidden="1"/>
    <cellStyle name="Гиперссылка 2" xfId="6720" hidden="1"/>
    <cellStyle name="Гиперссылка 2" xfId="6719" hidden="1"/>
    <cellStyle name="Гиперссылка 2" xfId="6722" hidden="1"/>
    <cellStyle name="Гиперссылка 2" xfId="6724" hidden="1"/>
    <cellStyle name="Гиперссылка 2" xfId="6734" hidden="1"/>
    <cellStyle name="Гиперссылка 2" xfId="6736" hidden="1"/>
    <cellStyle name="Гиперссылка 2" xfId="6729" hidden="1"/>
    <cellStyle name="Гиперссылка 2" xfId="6727" hidden="1"/>
    <cellStyle name="Гиперссылка 2" xfId="6732" hidden="1"/>
    <cellStyle name="Гиперссылка 2" xfId="6731" hidden="1"/>
    <cellStyle name="Гиперссылка 2" xfId="6740" hidden="1"/>
    <cellStyle name="Гиперссылка 2" xfId="6739" hidden="1"/>
    <cellStyle name="Гиперссылка 2" xfId="5327" hidden="1"/>
    <cellStyle name="Гиперссылка 2" xfId="4615" hidden="1"/>
    <cellStyle name="Гиперссылка 2" xfId="4921" hidden="1"/>
    <cellStyle name="Гиперссылка 2" xfId="4914" hidden="1"/>
    <cellStyle name="Гиперссылка 2" xfId="6082" hidden="1"/>
    <cellStyle name="Гиперссылка 2" xfId="6673" hidden="1"/>
    <cellStyle name="Гиперссылка 2" xfId="4723" hidden="1"/>
    <cellStyle name="Гиперссылка 2" xfId="5119" hidden="1"/>
    <cellStyle name="Гиперссылка 2" xfId="6810" hidden="1"/>
    <cellStyle name="Гиперссылка 2" xfId="6809" hidden="1"/>
    <cellStyle name="Гиперссылка 2" xfId="6822" hidden="1"/>
    <cellStyle name="Гиперссылка 2" xfId="6824" hidden="1"/>
    <cellStyle name="Гиперссылка 2" xfId="6835" hidden="1"/>
    <cellStyle name="Гиперссылка 2" xfId="6837" hidden="1"/>
    <cellStyle name="Гиперссылка 2" xfId="6830" hidden="1"/>
    <cellStyle name="Гиперссылка 2" xfId="6828" hidden="1"/>
    <cellStyle name="Гиперссылка 2" xfId="6833" hidden="1"/>
    <cellStyle name="Гиперссылка 2" xfId="6832" hidden="1"/>
    <cellStyle name="Гиперссылка 2" xfId="6841" hidden="1"/>
    <cellStyle name="Гиперссылка 2" xfId="6840" hidden="1"/>
    <cellStyle name="Гиперссылка 2" xfId="6845" hidden="1"/>
    <cellStyle name="Гиперссылка 2" xfId="6847" hidden="1"/>
    <cellStyle name="Гиперссылка 2" xfId="6857" hidden="1"/>
    <cellStyle name="Гиперссылка 2" xfId="6859" hidden="1"/>
    <cellStyle name="Гиперссылка 2" xfId="6852" hidden="1"/>
    <cellStyle name="Гиперссылка 2" xfId="6850" hidden="1"/>
    <cellStyle name="Гиперссылка 2" xfId="6855" hidden="1"/>
    <cellStyle name="Гиперссылка 2" xfId="6854" hidden="1"/>
    <cellStyle name="Гиперссылка 2" xfId="6863" hidden="1"/>
    <cellStyle name="Гиперссылка 2" xfId="6862" hidden="1"/>
    <cellStyle name="Гиперссылка 2" xfId="6865" hidden="1"/>
    <cellStyle name="Гиперссылка 2" xfId="6867" hidden="1"/>
    <cellStyle name="Гиперссылка 2" xfId="6877" hidden="1"/>
    <cellStyle name="Гиперссылка 2" xfId="6879" hidden="1"/>
    <cellStyle name="Гиперссылка 2" xfId="6872" hidden="1"/>
    <cellStyle name="Гиперссылка 2" xfId="6870" hidden="1"/>
    <cellStyle name="Гиперссылка 2" xfId="6875" hidden="1"/>
    <cellStyle name="Гиперссылка 2" xfId="6874" hidden="1"/>
    <cellStyle name="Гиперссылка 2" xfId="6883" hidden="1"/>
    <cellStyle name="Гиперссылка 2" xfId="6882" hidden="1"/>
    <cellStyle name="Гиперссылка 2" xfId="304" hidden="1"/>
    <cellStyle name="Гиперссылка 2" xfId="4955" hidden="1"/>
    <cellStyle name="Гиперссылка 2" xfId="4134" hidden="1"/>
    <cellStyle name="Гиперссылка 2" xfId="6282" hidden="1"/>
    <cellStyle name="Гиперссылка 2" xfId="6762" hidden="1"/>
    <cellStyle name="Гиперссылка 2" xfId="6819" hidden="1"/>
    <cellStyle name="Гиперссылка 2" xfId="4760" hidden="1"/>
    <cellStyle name="Гиперссылка 2" xfId="6750" hidden="1"/>
    <cellStyle name="Гиперссылка 2" xfId="6935" hidden="1"/>
    <cellStyle name="Гиперссылка 2" xfId="6934" hidden="1"/>
    <cellStyle name="Гиперссылка 2" xfId="6956" hidden="1"/>
    <cellStyle name="Гиперссылка 2" xfId="6958" hidden="1"/>
    <cellStyle name="Гиперссылка 2" xfId="6969" hidden="1"/>
    <cellStyle name="Гиперссылка 2" xfId="6971" hidden="1"/>
    <cellStyle name="Гиперссылка 2" xfId="6964" hidden="1"/>
    <cellStyle name="Гиперссылка 2" xfId="6962" hidden="1"/>
    <cellStyle name="Гиперссылка 2" xfId="6967" hidden="1"/>
    <cellStyle name="Гиперссылка 2" xfId="6966" hidden="1"/>
    <cellStyle name="Гиперссылка 2" xfId="6975" hidden="1"/>
    <cellStyle name="Гиперссылка 2" xfId="6974" hidden="1"/>
    <cellStyle name="Гиперссылка 2" xfId="6979" hidden="1"/>
    <cellStyle name="Гиперссылка 2" xfId="6981" hidden="1"/>
    <cellStyle name="Гиперссылка 2" xfId="6991" hidden="1"/>
    <cellStyle name="Гиперссылка 2" xfId="6993" hidden="1"/>
    <cellStyle name="Гиперссылка 2" xfId="6986" hidden="1"/>
    <cellStyle name="Гиперссылка 2" xfId="6984" hidden="1"/>
    <cellStyle name="Гиперссылка 2" xfId="6989" hidden="1"/>
    <cellStyle name="Гиперссылка 2" xfId="6988" hidden="1"/>
    <cellStyle name="Гиперссылка 2" xfId="6997" hidden="1"/>
    <cellStyle name="Гиперссылка 2" xfId="6996" hidden="1"/>
    <cellStyle name="Гиперссылка 2" xfId="6999" hidden="1"/>
    <cellStyle name="Гиперссылка 2" xfId="7001" hidden="1"/>
    <cellStyle name="Гиперссылка 2" xfId="7011" hidden="1"/>
    <cellStyle name="Гиперссылка 2" xfId="7013" hidden="1"/>
    <cellStyle name="Гиперссылка 2" xfId="7006" hidden="1"/>
    <cellStyle name="Гиперссылка 2" xfId="7004" hidden="1"/>
    <cellStyle name="Гиперссылка 2" xfId="7009" hidden="1"/>
    <cellStyle name="Гиперссылка 2" xfId="7008" hidden="1"/>
    <cellStyle name="Гиперссылка 2" xfId="7017" hidden="1"/>
    <cellStyle name="Гиперссылка 2" xfId="7016" hidden="1"/>
    <cellStyle name="Гиперссылка 2" xfId="6751" hidden="1"/>
    <cellStyle name="Гиперссылка 2" xfId="5810" hidden="1"/>
    <cellStyle name="Гиперссылка 2" xfId="5308" hidden="1"/>
    <cellStyle name="Гиперссылка 2" xfId="4176" hidden="1"/>
    <cellStyle name="Гиперссылка 2" xfId="6897" hidden="1"/>
    <cellStyle name="Гиперссылка 2" xfId="6949" hidden="1"/>
    <cellStyle name="Гиперссылка 2" xfId="5968" hidden="1"/>
    <cellStyle name="Гиперссылка 2" xfId="6889" hidden="1"/>
    <cellStyle name="Гиперссылка 2" xfId="7070" hidden="1"/>
    <cellStyle name="Гиперссылка 2" xfId="7069" hidden="1"/>
    <cellStyle name="Гиперссылка 2" xfId="7085" hidden="1"/>
    <cellStyle name="Гиперссылка 2" xfId="7087" hidden="1"/>
    <cellStyle name="Гиперссылка 2" xfId="7097" hidden="1"/>
    <cellStyle name="Гиперссылка 2" xfId="7099" hidden="1"/>
    <cellStyle name="Гиперссылка 2" xfId="7092" hidden="1"/>
    <cellStyle name="Гиперссылка 2" xfId="7090" hidden="1"/>
    <cellStyle name="Гиперссылка 2" xfId="7095" hidden="1"/>
    <cellStyle name="Гиперссылка 2" xfId="7094" hidden="1"/>
    <cellStyle name="Гиперссылка 2" xfId="7103" hidden="1"/>
    <cellStyle name="Гиперссылка 2" xfId="7102" hidden="1"/>
    <cellStyle name="Гиперссылка 2" xfId="7106" hidden="1"/>
    <cellStyle name="Гиперссылка 2" xfId="7108" hidden="1"/>
    <cellStyle name="Гиперссылка 2" xfId="7118" hidden="1"/>
    <cellStyle name="Гиперссылка 2" xfId="7120" hidden="1"/>
    <cellStyle name="Гиперссылка 2" xfId="7113" hidden="1"/>
    <cellStyle name="Гиперссылка 2" xfId="7111" hidden="1"/>
    <cellStyle name="Гиперссылка 2" xfId="7116" hidden="1"/>
    <cellStyle name="Гиперссылка 2" xfId="7115" hidden="1"/>
    <cellStyle name="Гиперссылка 2" xfId="7124" hidden="1"/>
    <cellStyle name="Гиперссылка 2" xfId="7123" hidden="1"/>
    <cellStyle name="Гиперссылка 2" xfId="7126" hidden="1"/>
    <cellStyle name="Гиперссылка 2" xfId="7128" hidden="1"/>
    <cellStyle name="Гиперссылка 2" xfId="7138" hidden="1"/>
    <cellStyle name="Гиперссылка 2" xfId="7140" hidden="1"/>
    <cellStyle name="Гиперссылка 2" xfId="7133" hidden="1"/>
    <cellStyle name="Гиперссылка 2" xfId="7131" hidden="1"/>
    <cellStyle name="Гиперссылка 2" xfId="7136" hidden="1"/>
    <cellStyle name="Гиперссылка 2" xfId="7135" hidden="1"/>
    <cellStyle name="Гиперссылка 2" xfId="7144" hidden="1"/>
    <cellStyle name="Гиперссылка 2" xfId="7143" hidden="1"/>
    <cellStyle name="Гиперссылка 2" xfId="6890" hidden="1"/>
    <cellStyle name="Гиперссылка 2" xfId="5770" hidden="1"/>
    <cellStyle name="Гиперссылка 2" xfId="5526" hidden="1"/>
    <cellStyle name="Гиперссылка 2" xfId="4887" hidden="1"/>
    <cellStyle name="Гиперссылка 2" xfId="7033" hidden="1"/>
    <cellStyle name="Гиперссылка 2" xfId="7081" hidden="1"/>
    <cellStyle name="Гиперссылка 2" xfId="6152" hidden="1"/>
    <cellStyle name="Гиперссылка 2" xfId="7024" hidden="1"/>
    <cellStyle name="Гиперссылка 2" xfId="7183" hidden="1"/>
    <cellStyle name="Гиперссылка 2" xfId="7182" hidden="1"/>
    <cellStyle name="Гиперссылка 2" xfId="7196" hidden="1"/>
    <cellStyle name="Гиперссылка 2" xfId="7198" hidden="1"/>
    <cellStyle name="Гиперссылка 2" xfId="7208" hidden="1"/>
    <cellStyle name="Гиперссылка 2" xfId="7210" hidden="1"/>
    <cellStyle name="Гиперссылка 2" xfId="7203" hidden="1"/>
    <cellStyle name="Гиперссылка 2" xfId="7201" hidden="1"/>
    <cellStyle name="Гиперссылка 2" xfId="7206" hidden="1"/>
    <cellStyle name="Гиперссылка 2" xfId="7205" hidden="1"/>
    <cellStyle name="Гиперссылка 2" xfId="7214" hidden="1"/>
    <cellStyle name="Гиперссылка 2" xfId="7213" hidden="1"/>
    <cellStyle name="Гиперссылка 2" xfId="7217" hidden="1"/>
    <cellStyle name="Гиперссылка 2" xfId="7219" hidden="1"/>
    <cellStyle name="Гиперссылка 2" xfId="7229" hidden="1"/>
    <cellStyle name="Гиперссылка 2" xfId="7231" hidden="1"/>
    <cellStyle name="Гиперссылка 2" xfId="7224" hidden="1"/>
    <cellStyle name="Гиперссылка 2" xfId="7222" hidden="1"/>
    <cellStyle name="Гиперссылка 2" xfId="7227" hidden="1"/>
    <cellStyle name="Гиперссылка 2" xfId="7226" hidden="1"/>
    <cellStyle name="Гиперссылка 2" xfId="7235" hidden="1"/>
    <cellStyle name="Гиперссылка 2" xfId="7234" hidden="1"/>
    <cellStyle name="Гиперссылка 2" xfId="7237" hidden="1"/>
    <cellStyle name="Гиперссылка 2" xfId="7239" hidden="1"/>
    <cellStyle name="Гиперссылка 2" xfId="7249" hidden="1"/>
    <cellStyle name="Гиперссылка 2" xfId="7251" hidden="1"/>
    <cellStyle name="Гиперссылка 2" xfId="7244" hidden="1"/>
    <cellStyle name="Гиперссылка 2" xfId="7242" hidden="1"/>
    <cellStyle name="Гиперссылка 2" xfId="7247" hidden="1"/>
    <cellStyle name="Гиперссылка 2" xfId="7246" hidden="1"/>
    <cellStyle name="Гиперссылка 2" xfId="7255" hidden="1"/>
    <cellStyle name="Гиперссылка 2" xfId="7254" hidden="1"/>
    <cellStyle name="Гиперссылка 2" xfId="7025" hidden="1"/>
    <cellStyle name="Гиперссылка 2" xfId="5950" hidden="1"/>
    <cellStyle name="Гиперссылка 2" xfId="4682" hidden="1"/>
    <cellStyle name="Гиперссылка 2" xfId="5507" hidden="1"/>
    <cellStyle name="Гиперссылка 2" xfId="7155" hidden="1"/>
    <cellStyle name="Гиперссылка 2" xfId="7193" hidden="1"/>
    <cellStyle name="Гиперссылка 2" xfId="6638" hidden="1"/>
    <cellStyle name="Гиперссылка 2" xfId="7147" hidden="1"/>
    <cellStyle name="Гиперссылка 2" xfId="7280" hidden="1"/>
    <cellStyle name="Гиперссылка 2" xfId="7279" hidden="1"/>
    <cellStyle name="Гиперссылка 2" xfId="7289" hidden="1"/>
    <cellStyle name="Гиперссылка 2" xfId="7291" hidden="1"/>
    <cellStyle name="Гиперссылка 2" xfId="7301" hidden="1"/>
    <cellStyle name="Гиперссылка 2" xfId="7303" hidden="1"/>
    <cellStyle name="Гиперссылка 2" xfId="7296" hidden="1"/>
    <cellStyle name="Гиперссылка 2" xfId="7294" hidden="1"/>
    <cellStyle name="Гиперссылка 2" xfId="7299" hidden="1"/>
    <cellStyle name="Гиперссылка 2" xfId="7298" hidden="1"/>
    <cellStyle name="Гиперссылка 2" xfId="7307" hidden="1"/>
    <cellStyle name="Гиперссылка 2" xfId="7306" hidden="1"/>
    <cellStyle name="Гиперссылка 2" xfId="7309" hidden="1"/>
    <cellStyle name="Гиперссылка 2" xfId="7311" hidden="1"/>
    <cellStyle name="Гиперссылка 2" xfId="7321" hidden="1"/>
    <cellStyle name="Гиперссылка 2" xfId="7323" hidden="1"/>
    <cellStyle name="Гиперссылка 2" xfId="7316" hidden="1"/>
    <cellStyle name="Гиперссылка 2" xfId="7314" hidden="1"/>
    <cellStyle name="Гиперссылка 2" xfId="7319" hidden="1"/>
    <cellStyle name="Гиперссылка 2" xfId="7318" hidden="1"/>
    <cellStyle name="Гиперссылка 2" xfId="7327" hidden="1"/>
    <cellStyle name="Гиперссылка 2" xfId="7326" hidden="1"/>
    <cellStyle name="Гиперссылка 2" xfId="7329" hidden="1"/>
    <cellStyle name="Гиперссылка 2" xfId="7331" hidden="1"/>
    <cellStyle name="Гиперссылка 2" xfId="7341" hidden="1"/>
    <cellStyle name="Гиперссылка 2" xfId="7343" hidden="1"/>
    <cellStyle name="Гиперссылка 2" xfId="7336" hidden="1"/>
    <cellStyle name="Гиперссылка 2" xfId="7334" hidden="1"/>
    <cellStyle name="Гиперссылка 2" xfId="7339" hidden="1"/>
    <cellStyle name="Гиперссылка 2" xfId="7338" hidden="1"/>
    <cellStyle name="Гиперссылка 2" xfId="7347" hidden="1"/>
    <cellStyle name="Гиперссылка 2" xfId="7346" hidden="1"/>
    <cellStyle name="Гиперссылка 2" xfId="7148" hidden="1"/>
    <cellStyle name="Гиперссылка 2" xfId="5323" hidden="1"/>
    <cellStyle name="Гиперссылка 2" xfId="6760" hidden="1"/>
    <cellStyle name="Гиперссылка 2" xfId="4879" hidden="1"/>
    <cellStyle name="Гиперссылка 2" xfId="7262" hidden="1"/>
    <cellStyle name="Гиперссылка 2" xfId="7287" hidden="1"/>
    <cellStyle name="Гиперссылка 2" xfId="6783" hidden="1"/>
    <cellStyle name="Гиперссылка 2" xfId="7260" hidden="1"/>
    <cellStyle name="Гиперссылка 2" xfId="7351" hidden="1"/>
    <cellStyle name="Гиперссылка 2" xfId="7350" hidden="1"/>
    <cellStyle name="Гиперссылка 2" xfId="7353" hidden="1"/>
    <cellStyle name="Гиперссылка 2" xfId="7355" hidden="1"/>
    <cellStyle name="Гиперссылка 2" xfId="7365" hidden="1"/>
    <cellStyle name="Гиперссылка 2" xfId="7367" hidden="1"/>
    <cellStyle name="Гиперссылка 2" xfId="7360" hidden="1"/>
    <cellStyle name="Гиперссылка 2" xfId="7358" hidden="1"/>
    <cellStyle name="Гиперссылка 2" xfId="7363" hidden="1"/>
    <cellStyle name="Гиперссылка 2" xfId="7362" hidden="1"/>
    <cellStyle name="Гиперссылка 2" xfId="7371" hidden="1"/>
    <cellStyle name="Гиперссылка 2" xfId="7370" hidden="1"/>
    <cellStyle name="Гиперссылка 2" xfId="7373" hidden="1"/>
    <cellStyle name="Гиперссылка 2" xfId="7375" hidden="1"/>
    <cellStyle name="Гиперссылка 2" xfId="7385" hidden="1"/>
    <cellStyle name="Гиперссылка 2" xfId="7387" hidden="1"/>
    <cellStyle name="Гиперссылка 2" xfId="7380" hidden="1"/>
    <cellStyle name="Гиперссылка 2" xfId="7378" hidden="1"/>
    <cellStyle name="Гиперссылка 2" xfId="7383" hidden="1"/>
    <cellStyle name="Гиперссылка 2" xfId="7382" hidden="1"/>
    <cellStyle name="Гиперссылка 2" xfId="7391" hidden="1"/>
    <cellStyle name="Гиперссылка 2" xfId="7390" hidden="1"/>
    <cellStyle name="Гиперссылка 2" xfId="7393" hidden="1"/>
    <cellStyle name="Гиперссылка 2" xfId="7395" hidden="1"/>
    <cellStyle name="Гиперссылка 2" xfId="7405" hidden="1"/>
    <cellStyle name="Гиперссылка 2" xfId="7407" hidden="1"/>
    <cellStyle name="Гиперссылка 2" xfId="7400" hidden="1"/>
    <cellStyle name="Гиперссылка 2" xfId="7398" hidden="1"/>
    <cellStyle name="Гиперссылка 2" xfId="7403" hidden="1"/>
    <cellStyle name="Гиперссылка 2" xfId="7402" hidden="1"/>
    <cellStyle name="Гиперссылка 2" xfId="7411" hidden="1"/>
    <cellStyle name="Гиперссылка 2" xfId="7410" hidden="1"/>
    <cellStyle name="Гиперссылка 2" xfId="4205" hidden="1"/>
    <cellStyle name="Гиперссылка 2" xfId="4051" hidden="1"/>
    <cellStyle name="Гиперссылка 2" xfId="6940" hidden="1"/>
    <cellStyle name="Гиперссылка 2" xfId="4710" hidden="1"/>
    <cellStyle name="Гиперссылка 2" xfId="223" hidden="1"/>
    <cellStyle name="Гиперссылка 2" xfId="5533" hidden="1"/>
    <cellStyle name="Гиперссылка 2" xfId="6408" hidden="1"/>
    <cellStyle name="Гиперссылка 2" xfId="5178" hidden="1"/>
    <cellStyle name="Гиперссылка 2" xfId="5986" hidden="1"/>
    <cellStyle name="Гиперссылка 2" xfId="4364" hidden="1"/>
    <cellStyle name="Гиперссылка 2" xfId="7175" hidden="1"/>
    <cellStyle name="Гиперссылка 2" xfId="6923" hidden="1"/>
    <cellStyle name="Гиперссылка 2" xfId="6385" hidden="1"/>
    <cellStyle name="Гиперссылка 2" xfId="4759" hidden="1"/>
    <cellStyle name="Гиперссылка 2" xfId="6803" hidden="1"/>
    <cellStyle name="Гиперссылка 2" xfId="7062" hidden="1"/>
    <cellStyle name="Гиперссылка 2" xfId="4975" hidden="1"/>
    <cellStyle name="Гиперссылка 2" xfId="5803" hidden="1"/>
    <cellStyle name="Гиперссылка 2" xfId="4646" hidden="1"/>
    <cellStyle name="Гиперссылка 2" xfId="4508" hidden="1"/>
    <cellStyle name="Гиперссылка 2" xfId="4271" hidden="1"/>
    <cellStyle name="Гиперссылка 2" xfId="6128" hidden="1"/>
    <cellStyle name="Гиперссылка 2" xfId="4702" hidden="1"/>
    <cellStyle name="Гиперссылка 2" xfId="4451" hidden="1"/>
    <cellStyle name="Гиперссылка 2" xfId="5942" hidden="1"/>
    <cellStyle name="Гиперссылка 2" xfId="5292" hidden="1"/>
    <cellStyle name="Гиперссылка 2" xfId="5940" hidden="1"/>
    <cellStyle name="Гиперссылка 2" xfId="4918" hidden="1"/>
    <cellStyle name="Гиперссылка 2" xfId="4963" hidden="1"/>
    <cellStyle name="Гиперссылка 2" xfId="305" hidden="1"/>
    <cellStyle name="Гиперссылка 2" xfId="4987" hidden="1"/>
    <cellStyle name="Гиперссылка 2" xfId="5471" hidden="1"/>
    <cellStyle name="Гиперссылка 2" xfId="5657" hidden="1"/>
    <cellStyle name="Гиперссылка 2" xfId="4221" hidden="1"/>
    <cellStyle name="Гиперссылка 2" xfId="5430" hidden="1"/>
    <cellStyle name="Гиперссылка 2" xfId="5952" hidden="1"/>
    <cellStyle name="Гиперссылка 2" xfId="5539" hidden="1"/>
    <cellStyle name="Гиперссылка 2" xfId="4719" hidden="1"/>
    <cellStyle name="Гиперссылка 2" xfId="4859" hidden="1"/>
    <cellStyle name="Гиперссылка 2" xfId="4421" hidden="1"/>
    <cellStyle name="Гиперссылка 2" xfId="4375" hidden="1"/>
    <cellStyle name="Гиперссылка 2" xfId="5333" hidden="1"/>
    <cellStyle name="Гиперссылка 2" xfId="4737" hidden="1"/>
    <cellStyle name="Гиперссылка 2" xfId="4941" hidden="1"/>
    <cellStyle name="Гиперссылка 2" xfId="6017" hidden="1"/>
    <cellStyle name="Гиперссылка 2" xfId="5101" hidden="1"/>
    <cellStyle name="Гиперссылка 2" xfId="7046" hidden="1"/>
    <cellStyle name="Гиперссылка 2" xfId="7162" hidden="1"/>
    <cellStyle name="Гиперссылка 2" xfId="269" hidden="1"/>
    <cellStyle name="Гиперссылка 2" xfId="5097" hidden="1"/>
    <cellStyle name="Гиперссылка 2" xfId="4426" hidden="1"/>
    <cellStyle name="Гиперссылка 2" xfId="5498" hidden="1"/>
    <cellStyle name="Гиперссылка 2" xfId="6147" hidden="1"/>
    <cellStyle name="Гиперссылка 2" xfId="4691" hidden="1"/>
    <cellStyle name="Гиперссылка 2" xfId="4392" hidden="1"/>
    <cellStyle name="Гиперссылка 2" xfId="6295" hidden="1"/>
    <cellStyle name="Гиперссылка 2" xfId="6223" hidden="1"/>
    <cellStyle name="Гиперссылка 2" xfId="5444" hidden="1"/>
    <cellStyle name="Гиперссылка 2" xfId="256" hidden="1"/>
    <cellStyle name="Гиперссылка 2" xfId="4734" hidden="1"/>
    <cellStyle name="Гиперссылка 2" xfId="7082" hidden="1"/>
    <cellStyle name="Гиперссылка 2" xfId="6820" hidden="1"/>
    <cellStyle name="Гиперссылка 2" xfId="4317" hidden="1"/>
    <cellStyle name="Гиперссылка 2" xfId="5690" hidden="1"/>
    <cellStyle name="Гиперссылка 2" xfId="7054" hidden="1"/>
    <cellStyle name="Гиперссылка 2" xfId="7272" hidden="1"/>
    <cellStyle name="Гиперссылка 2" xfId="6647" hidden="1"/>
    <cellStyle name="Гиперссылка 2" xfId="6791" hidden="1"/>
    <cellStyle name="Гиперссылка 2" xfId="4009" hidden="1"/>
    <cellStyle name="Гиперссылка 2" xfId="249" hidden="1"/>
    <cellStyle name="Гиперссылка 2" xfId="6141" hidden="1"/>
    <cellStyle name="Гиперссылка 2" xfId="5528" hidden="1"/>
    <cellStyle name="Гиперссылка 2" xfId="6815" hidden="1"/>
    <cellStyle name="Гиперссылка 2" xfId="6232" hidden="1"/>
    <cellStyle name="Гиперссылка 2" xfId="4601" hidden="1"/>
    <cellStyle name="Гиперссылка 2" xfId="5322" hidden="1"/>
    <cellStyle name="Гиперссылка 2" xfId="7076" hidden="1"/>
    <cellStyle name="Гиперссылка 2" xfId="4107" hidden="1"/>
    <cellStyle name="Гиперссылка 2" xfId="7079" hidden="1"/>
    <cellStyle name="Гиперссылка 2" xfId="7190" hidden="1"/>
    <cellStyle name="Гиперссылка 2" xfId="4777" hidden="1"/>
    <cellStyle name="Гиперссылка 2" xfId="6411" hidden="1"/>
    <cellStyle name="Гиперссылка 2" xfId="6924" hidden="1"/>
    <cellStyle name="Гиперссылка 2" xfId="4605" hidden="1"/>
    <cellStyle name="Гиперссылка 2" xfId="4609" hidden="1"/>
    <cellStyle name="Гиперссылка 2" xfId="290" hidden="1"/>
    <cellStyle name="Гиперссылка 2" xfId="5176" hidden="1"/>
    <cellStyle name="Гиперссылка 2" xfId="5157" hidden="1"/>
    <cellStyle name="Гиперссылка 2" xfId="4032" hidden="1"/>
    <cellStyle name="Гиперссылка 2" xfId="6005" hidden="1"/>
    <cellStyle name="Гиперссылка 2" xfId="5249" hidden="1"/>
    <cellStyle name="Гиперссылка 2" xfId="261" hidden="1"/>
    <cellStyle name="Гиперссылка 2" xfId="4575" hidden="1"/>
    <cellStyle name="Гиперссылка 2" xfId="4231" hidden="1"/>
    <cellStyle name="Гиперссылка 2" xfId="6977" hidden="1"/>
    <cellStyle name="Гиперссылка 2" xfId="4628" hidden="1"/>
    <cellStyle name="Гиперссылка 2" xfId="4346" hidden="1"/>
    <cellStyle name="Гиперссылка 2" xfId="6701" hidden="1"/>
    <cellStyle name="Гиперссылка 2" xfId="4466" hidden="1"/>
    <cellStyle name="Гиперссылка 2" xfId="4266" hidden="1"/>
    <cellStyle name="Гиперссылка 2" xfId="5688" hidden="1"/>
    <cellStyle name="Гиперссылка 2" xfId="5468" hidden="1"/>
    <cellStyle name="Гиперссылка 2" xfId="4376" hidden="1"/>
    <cellStyle name="Гиперссылка 2" xfId="6089" hidden="1"/>
    <cellStyle name="Гиперссылка 2" xfId="6482" hidden="1"/>
    <cellStyle name="Гиперссылка 2" xfId="5849" hidden="1"/>
    <cellStyle name="Гиперссылка 2" xfId="4591" hidden="1"/>
    <cellStyle name="Гиперссылка 2" xfId="4687" hidden="1"/>
    <cellStyle name="Гиперссылка 2" xfId="4246" hidden="1"/>
    <cellStyle name="Гиперссылка 2" xfId="5862" hidden="1"/>
    <cellStyle name="Гиперссылка 2" xfId="5315" hidden="1"/>
    <cellStyle name="Гиперссылка 2" xfId="5343" hidden="1"/>
    <cellStyle name="Гиперссылка 2" xfId="5184" hidden="1"/>
    <cellStyle name="Гиперссылка 2" xfId="5312" hidden="1"/>
    <cellStyle name="Гиперссылка 2" xfId="5278" hidden="1"/>
    <cellStyle name="Гиперссылка 2" xfId="5673" hidden="1"/>
    <cellStyle name="Гиперссылка 2" xfId="4096" hidden="1"/>
    <cellStyle name="Гиперссылка 2" xfId="4866" hidden="1"/>
    <cellStyle name="Гиперссылка 2" xfId="4064" hidden="1"/>
    <cellStyle name="Гиперссылка 2" xfId="5651" hidden="1"/>
    <cellStyle name="Гиперссылка 2" xfId="6129" hidden="1"/>
    <cellStyle name="Гиперссылка 2" xfId="6243" hidden="1"/>
    <cellStyle name="Гиперссылка 2" xfId="6158" hidden="1"/>
    <cellStyle name="Гиперссылка 2" xfId="4907" hidden="1"/>
    <cellStyle name="Гиперссылка 2" xfId="4769" hidden="1"/>
    <cellStyle name="Гиперссылка 2" xfId="316" hidden="1"/>
    <cellStyle name="Гиперссылка 2" xfId="6931" hidden="1"/>
    <cellStyle name="Гиперссылка 2" xfId="6092" hidden="1"/>
    <cellStyle name="Гиперссылка 2" xfId="4011" hidden="1"/>
    <cellStyle name="Гиперссылка 2" xfId="5838" hidden="1"/>
    <cellStyle name="Гиперссылка 2" xfId="5531" hidden="1"/>
    <cellStyle name="Гиперссылка 2" xfId="4471" hidden="1"/>
    <cellStyle name="Гиперссылка 2" xfId="6294" hidden="1"/>
    <cellStyle name="Гиперссылка 2" xfId="5859" hidden="1"/>
    <cellStyle name="Гиперссылка 2" xfId="7167" hidden="1"/>
    <cellStyle name="Гиперссылка 2" xfId="6487" hidden="1"/>
    <cellStyle name="Гиперссылка 2" xfId="6786" hidden="1"/>
    <cellStyle name="Гиперссылка 2" xfId="6911" hidden="1"/>
    <cellStyle name="Гиперссылка 2" xfId="6227" hidden="1"/>
    <cellStyle name="Гиперссылка 2" xfId="4239" hidden="1"/>
    <cellStyle name="Гиперссылка 2" xfId="5779" hidden="1"/>
    <cellStyle name="Гиперссылка 2" xfId="5341" hidden="1"/>
    <cellStyle name="Гиперссылка 2" xfId="4119" hidden="1"/>
    <cellStyle name="Гиперссылка 2" xfId="5284" hidden="1"/>
    <cellStyle name="Гиперссылка 2" xfId="6010" hidden="1"/>
    <cellStyle name="Гиперссылка 2" xfId="5262" hidden="1"/>
    <cellStyle name="Гиперссылка 2" xfId="4875" hidden="1"/>
    <cellStyle name="Гиперссылка 2" xfId="4289" hidden="1"/>
    <cellStyle name="Гиперссылка 2" xfId="4986" hidden="1"/>
    <cellStyle name="Гиперссылка 2" xfId="4792" hidden="1"/>
    <cellStyle name="Гиперссылка 2" xfId="4503" hidden="1"/>
    <cellStyle name="Гиперссылка 2" xfId="273" hidden="1"/>
    <cellStyle name="Гиперссылка 2" xfId="4970" hidden="1"/>
    <cellStyle name="Гиперссылка 2" xfId="4876" hidden="1"/>
    <cellStyle name="Гиперссылка 2" xfId="6488" hidden="1"/>
    <cellStyle name="Гиперссылка 2" xfId="5103" hidden="1"/>
    <cellStyle name="Гиперссылка 2" xfId="4338" hidden="1"/>
    <cellStyle name="Гиперссылка 2" xfId="5002" hidden="1"/>
    <cellStyle name="Гиперссылка 2" xfId="4195" hidden="1"/>
    <cellStyle name="Гиперссылка 2" xfId="4490" hidden="1"/>
    <cellStyle name="Гиперссылка 2" xfId="4489" hidden="1"/>
    <cellStyle name="Гиперссылка 2" xfId="6748" hidden="1"/>
    <cellStyle name="Гиперссылка 2" xfId="6247" hidden="1"/>
    <cellStyle name="Гиперссылка 2" xfId="6154" hidden="1"/>
    <cellStyle name="Гиперссылка 2" xfId="4828" hidden="1"/>
    <cellStyle name="Гиперссылка 2" xfId="6770" hidden="1"/>
    <cellStyle name="Гиперссылка 2" xfId="5774" hidden="1"/>
    <cellStyle name="Гиперссылка 2" xfId="4679" hidden="1"/>
    <cellStyle name="Гиперссылка 2" xfId="4923" hidden="1"/>
    <cellStyle name="Гиперссылка 2" xfId="6396" hidden="1"/>
    <cellStyle name="Гиперссылка 2" xfId="7055" hidden="1"/>
    <cellStyle name="Гиперссылка 2" xfId="6795" hidden="1"/>
    <cellStyle name="Гиперссылка 2" xfId="308" hidden="1"/>
    <cellStyle name="Гиперссылка 2" xfId="4282" hidden="1"/>
    <cellStyle name="Гиперссылка 2" xfId="295" hidden="1"/>
    <cellStyle name="Гиперссылка 2" xfId="300" hidden="1"/>
    <cellStyle name="Гиперссылка 2" xfId="330" hidden="1"/>
    <cellStyle name="Гиперссылка 2" xfId="4389" hidden="1"/>
    <cellStyle name="Гиперссылка 2" xfId="299" hidden="1"/>
    <cellStyle name="Гиперссылка 2" xfId="4135" hidden="1"/>
    <cellStyle name="Гиперссылка 2" xfId="4653" hidden="1"/>
    <cellStyle name="Гиперссылка 2" xfId="4960" hidden="1"/>
    <cellStyle name="Гиперссылка 2" xfId="7274" hidden="1"/>
    <cellStyle name="Гиперссылка 2" xfId="7057" hidden="1"/>
    <cellStyle name="Гиперссылка 2" xfId="4043" hidden="1"/>
    <cellStyle name="Гиперссылка 2" xfId="4698" hidden="1"/>
    <cellStyle name="Гиперссылка 2" xfId="4459" hidden="1"/>
    <cellStyle name="Гиперссылка 2" xfId="6143" hidden="1"/>
    <cellStyle name="Гиперссылка 2" xfId="4153" hidden="1"/>
    <cellStyle name="Гиперссылка 2" xfId="4368" hidden="1"/>
    <cellStyle name="Гиперссылка 2" xfId="4772" hidden="1"/>
    <cellStyle name="Гиперссылка 2" xfId="4160" hidden="1"/>
    <cellStyle name="Гиперссылка 2" xfId="4220" hidden="1"/>
    <cellStyle name="Гиперссылка 2" xfId="6386" hidden="1"/>
    <cellStyle name="Гиперссылка 2" xfId="4958" hidden="1"/>
    <cellStyle name="Гиперссылка 2" xfId="4936" hidden="1"/>
    <cellStyle name="Гиперссылка 2" xfId="4899" hidden="1"/>
    <cellStyle name="Гиперссылка 2" xfId="5632" hidden="1"/>
    <cellStyle name="Гиперссылка 2" xfId="4474" hidden="1"/>
    <cellStyle name="Гиперссылка 2" xfId="4257" hidden="1"/>
    <cellStyle name="Гиперссылка 2" xfId="4742" hidden="1"/>
    <cellStyle name="Гиперссылка 2" xfId="4168" hidden="1"/>
    <cellStyle name="Гиперссылка 2" xfId="5775" hidden="1"/>
    <cellStyle name="Гиперссылка 2" xfId="5207" hidden="1"/>
    <cellStyle name="Гиперссылка 2" xfId="7171" hidden="1"/>
    <cellStyle name="Гиперссылка 2" xfId="4308" hidden="1"/>
    <cellStyle name="Гиперссылка 2" xfId="329" hidden="1"/>
    <cellStyle name="Гиперссылка 2" xfId="7178" hidden="1"/>
    <cellStyle name="Гиперссылка 2" xfId="4434" hidden="1"/>
    <cellStyle name="Гиперссылка 2" xfId="4213" hidden="1"/>
    <cellStyle name="Гиперссылка 2" xfId="7216" hidden="1"/>
    <cellStyle name="Гиперссылка 2" xfId="6978" hidden="1"/>
    <cellStyle name="Гиперссылка 2" xfId="4366" hidden="1"/>
    <cellStyle name="Гиперссылка 2" xfId="4327" hidden="1"/>
    <cellStyle name="Гиперссылка 2" xfId="5832" hidden="1"/>
    <cellStyle name="Гиперссылка 2" xfId="5356" hidden="1"/>
    <cellStyle name="Гиперссылка 2" xfId="6255" hidden="1"/>
    <cellStyle name="Гиперссылка 2" xfId="4724" hidden="1"/>
    <cellStyle name="Гиперссылка 2" xfId="5450" hidden="1"/>
    <cellStyle name="Гиперссылка 2" xfId="4882" hidden="1"/>
    <cellStyle name="Гиперссылка 2" xfId="4754" hidden="1"/>
    <cellStyle name="Гиперссылка 2" xfId="6110" hidden="1"/>
    <cellStyle name="Гиперссылка 2" xfId="4133" hidden="1"/>
    <cellStyle name="Гиперссылка 2" xfId="7275" hidden="1"/>
    <cellStyle name="Гиперссылка 2" xfId="4747" hidden="1"/>
    <cellStyle name="Гиперссылка 2" xfId="5944" hidden="1"/>
    <cellStyle name="Гиперссылка 2" xfId="5350" hidden="1"/>
    <cellStyle name="Гиперссылка 2" xfId="4185" hidden="1"/>
    <cellStyle name="Гиперссылка 2" xfId="6801" hidden="1"/>
    <cellStyle name="Гиперссылка 2" xfId="6925" hidden="1"/>
    <cellStyle name="Гиперссылка 2" xfId="5778" hidden="1"/>
    <cellStyle name="Гиперссылка 2" xfId="5655" hidden="1"/>
    <cellStyle name="Гиперссылка 2" xfId="5305" hidden="1"/>
    <cellStyle name="Гиперссылка 2" xfId="6101" hidden="1"/>
    <cellStyle name="Гиперссылка 2" xfId="5965" hidden="1"/>
    <cellStyle name="Гиперссылка 2" xfId="5994" hidden="1"/>
    <cellStyle name="Гиперссылка 2" xfId="5961" hidden="1"/>
    <cellStyle name="Гиперссылка 2" xfId="5124" hidden="1"/>
    <cellStyle name="Гиперссылка 2" xfId="4877" hidden="1"/>
    <cellStyle name="Гиперссылка 2" xfId="4924" hidden="1"/>
    <cellStyle name="Гиперссылка 2" xfId="7064" hidden="1"/>
    <cellStyle name="Гиперссылка 2" xfId="7160" hidden="1"/>
    <cellStyle name="Гиперссылка 2" xfId="5804" hidden="1"/>
    <cellStyle name="Гиперссылка 2" xfId="4657" hidden="1"/>
    <cellStyle name="Гиперссылка 2" xfId="7286" hidden="1"/>
    <cellStyle name="Гиперссылка 2" xfId="6115" hidden="1"/>
    <cellStyle name="Гиперссылка 2" xfId="7074" hidden="1"/>
    <cellStyle name="Гиперссылка 2" xfId="4174" hidden="1"/>
    <cellStyle name="Гиперссылка 2" xfId="7431" hidden="1"/>
    <cellStyle name="Гиперссылка 2" xfId="7430" hidden="1"/>
    <cellStyle name="Гиперссылка 2" xfId="7444" hidden="1"/>
    <cellStyle name="Гиперссылка 2" xfId="7446" hidden="1"/>
    <cellStyle name="Гиперссылка 2" xfId="7456" hidden="1"/>
    <cellStyle name="Гиперссылка 2" xfId="7458" hidden="1"/>
    <cellStyle name="Гиперссылка 2" xfId="7451" hidden="1"/>
    <cellStyle name="Гиперссылка 2" xfId="7449" hidden="1"/>
    <cellStyle name="Гиперссылка 2" xfId="7454" hidden="1"/>
    <cellStyle name="Гиперссылка 2" xfId="7453" hidden="1"/>
    <cellStyle name="Гиперссылка 2" xfId="7462" hidden="1"/>
    <cellStyle name="Гиперссылка 2" xfId="7461" hidden="1"/>
    <cellStyle name="Гиперссылка 2" xfId="7466" hidden="1"/>
    <cellStyle name="Гиперссылка 2" xfId="7468" hidden="1"/>
    <cellStyle name="Гиперссылка 2" xfId="7478" hidden="1"/>
    <cellStyle name="Гиперссылка 2" xfId="7480" hidden="1"/>
    <cellStyle name="Гиперссылка 2" xfId="7473" hidden="1"/>
    <cellStyle name="Гиперссылка 2" xfId="7471" hidden="1"/>
    <cellStyle name="Гиперссылка 2" xfId="7476" hidden="1"/>
    <cellStyle name="Гиперссылка 2" xfId="7475" hidden="1"/>
    <cellStyle name="Гиперссылка 2" xfId="7484" hidden="1"/>
    <cellStyle name="Гиперссылка 2" xfId="7483" hidden="1"/>
    <cellStyle name="Гиперссылка 2" xfId="7486" hidden="1"/>
    <cellStyle name="Гиперссылка 2" xfId="7488" hidden="1"/>
    <cellStyle name="Гиперссылка 2" xfId="7498" hidden="1"/>
    <cellStyle name="Гиперссылка 2" xfId="7500" hidden="1"/>
    <cellStyle name="Гиперссылка 2" xfId="7493" hidden="1"/>
    <cellStyle name="Гиперссылка 2" xfId="7491" hidden="1"/>
    <cellStyle name="Гиперссылка 2" xfId="7496" hidden="1"/>
    <cellStyle name="Гиперссылка 2" xfId="7495" hidden="1"/>
    <cellStyle name="Гиперссылка 2" xfId="7504" hidden="1"/>
    <cellStyle name="Гиперссылка 2" xfId="7503" hidden="1"/>
    <cellStyle name="Гиперссылка 2" xfId="4770" hidden="1"/>
    <cellStyle name="Гиперссылка 2" xfId="4193" hidden="1"/>
    <cellStyle name="Гиперссылка 2" xfId="6478" hidden="1"/>
    <cellStyle name="Гиперссылка 2" xfId="4288" hidden="1"/>
    <cellStyle name="Гиперссылка 2" xfId="6885" hidden="1"/>
    <cellStyle name="Гиперссылка 2" xfId="7439" hidden="1"/>
    <cellStyle name="Гиперссылка 2" xfId="5759" hidden="1"/>
    <cellStyle name="Гиперссылка 2" xfId="5684" hidden="1"/>
    <cellStyle name="Гиперссылка 2" xfId="7558" hidden="1"/>
    <cellStyle name="Гиперссылка 2" xfId="7557" hidden="1"/>
    <cellStyle name="Гиперссылка 2" xfId="7570" hidden="1"/>
    <cellStyle name="Гиперссылка 2" xfId="7572" hidden="1"/>
    <cellStyle name="Гиперссылка 2" xfId="7582" hidden="1"/>
    <cellStyle name="Гиперссылка 2" xfId="7584" hidden="1"/>
    <cellStyle name="Гиперссылка 2" xfId="7577" hidden="1"/>
    <cellStyle name="Гиперссылка 2" xfId="7575" hidden="1"/>
    <cellStyle name="Гиперссылка 2" xfId="7580" hidden="1"/>
    <cellStyle name="Гиперссылка 2" xfId="7579" hidden="1"/>
    <cellStyle name="Гиперссылка 2" xfId="7588" hidden="1"/>
    <cellStyle name="Гиперссылка 2" xfId="7587" hidden="1"/>
    <cellStyle name="Гиперссылка 2" xfId="7592" hidden="1"/>
    <cellStyle name="Гиперссылка 2" xfId="7594" hidden="1"/>
    <cellStyle name="Гиперссылка 2" xfId="7604" hidden="1"/>
    <cellStyle name="Гиперссылка 2" xfId="7606" hidden="1"/>
    <cellStyle name="Гиперссылка 2" xfId="7599" hidden="1"/>
    <cellStyle name="Гиперссылка 2" xfId="7597" hidden="1"/>
    <cellStyle name="Гиперссылка 2" xfId="7602" hidden="1"/>
    <cellStyle name="Гиперссылка 2" xfId="7601" hidden="1"/>
    <cellStyle name="Гиперссылка 2" xfId="7610" hidden="1"/>
    <cellStyle name="Гиперссылка 2" xfId="7609" hidden="1"/>
    <cellStyle name="Гиперссылка 2" xfId="7612" hidden="1"/>
    <cellStyle name="Гиперссылка 2" xfId="7614" hidden="1"/>
    <cellStyle name="Гиперссылка 2" xfId="7624" hidden="1"/>
    <cellStyle name="Гиперссылка 2" xfId="7626" hidden="1"/>
    <cellStyle name="Гиперссылка 2" xfId="7619" hidden="1"/>
    <cellStyle name="Гиперссылка 2" xfId="7617" hidden="1"/>
    <cellStyle name="Гиперссылка 2" xfId="7622" hidden="1"/>
    <cellStyle name="Гиперссылка 2" xfId="7621" hidden="1"/>
    <cellStyle name="Гиперссылка 2" xfId="7630" hidden="1"/>
    <cellStyle name="Гиперссылка 2" xfId="7629" hidden="1"/>
    <cellStyle name="Гиперссылка 2" xfId="4373" hidden="1"/>
    <cellStyle name="Гиперссылка 2" xfId="5516" hidden="1"/>
    <cellStyle name="Гиперссылка 2" xfId="5490" hidden="1"/>
    <cellStyle name="Гиперссылка 2" xfId="7072" hidden="1"/>
    <cellStyle name="Гиперссылка 2" xfId="7524" hidden="1"/>
    <cellStyle name="Гиперссылка 2" xfId="7566" hidden="1"/>
    <cellStyle name="Гиперссылка 2" xfId="4690" hidden="1"/>
    <cellStyle name="Гиперссылка 2" xfId="7512" hidden="1"/>
    <cellStyle name="Гиперссылка 2" xfId="7673" hidden="1"/>
    <cellStyle name="Гиперссылка 2" xfId="7672" hidden="1"/>
    <cellStyle name="Гиперссылка 2" xfId="7686" hidden="1"/>
    <cellStyle name="Гиперссылка 2" xfId="7688" hidden="1"/>
    <cellStyle name="Гиперссылка 2" xfId="7698" hidden="1"/>
    <cellStyle name="Гиперссылка 2" xfId="7700" hidden="1"/>
    <cellStyle name="Гиперссылка 2" xfId="7693" hidden="1"/>
    <cellStyle name="Гиперссылка 2" xfId="7691" hidden="1"/>
    <cellStyle name="Гиперссылка 2" xfId="7696" hidden="1"/>
    <cellStyle name="Гиперссылка 2" xfId="7695" hidden="1"/>
    <cellStyle name="Гиперссылка 2" xfId="7704" hidden="1"/>
    <cellStyle name="Гиперссылка 2" xfId="7703" hidden="1"/>
    <cellStyle name="Гиперссылка 2" xfId="7708" hidden="1"/>
    <cellStyle name="Гиперссылка 2" xfId="7710" hidden="1"/>
    <cellStyle name="Гиперссылка 2" xfId="7720" hidden="1"/>
    <cellStyle name="Гиперссылка 2" xfId="7722" hidden="1"/>
    <cellStyle name="Гиперссылка 2" xfId="7715" hidden="1"/>
    <cellStyle name="Гиперссылка 2" xfId="7713" hidden="1"/>
    <cellStyle name="Гиперссылка 2" xfId="7718" hidden="1"/>
    <cellStyle name="Гиперссылка 2" xfId="7717" hidden="1"/>
    <cellStyle name="Гиперссылка 2" xfId="7726" hidden="1"/>
    <cellStyle name="Гиперссылка 2" xfId="7725" hidden="1"/>
    <cellStyle name="Гиперссылка 2" xfId="7728" hidden="1"/>
    <cellStyle name="Гиперссылка 2" xfId="7730" hidden="1"/>
    <cellStyle name="Гиперссылка 2" xfId="7740" hidden="1"/>
    <cellStyle name="Гиперссылка 2" xfId="7742" hidden="1"/>
    <cellStyle name="Гиперссылка 2" xfId="7735" hidden="1"/>
    <cellStyle name="Гиперссылка 2" xfId="7733" hidden="1"/>
    <cellStyle name="Гиперссылка 2" xfId="7738" hidden="1"/>
    <cellStyle name="Гиперссылка 2" xfId="7737" hidden="1"/>
    <cellStyle name="Гиперссылка 2" xfId="7746" hidden="1"/>
    <cellStyle name="Гиперссылка 2" xfId="7745" hidden="1"/>
    <cellStyle name="Гиперссылка 2" xfId="7513" hidden="1"/>
    <cellStyle name="Гиперссылка 2" xfId="6639" hidden="1"/>
    <cellStyle name="Гиперссылка 2" xfId="232" hidden="1"/>
    <cellStyle name="Гиперссылка 2" xfId="5131" hidden="1"/>
    <cellStyle name="Гиперссылка 2" xfId="7645" hidden="1"/>
    <cellStyle name="Гиперссылка 2" xfId="7680" hidden="1"/>
    <cellStyle name="Гиперссылка 2" xfId="6781" hidden="1"/>
    <cellStyle name="Гиперссылка 2" xfId="7636" hidden="1"/>
    <cellStyle name="Гиперссылка 2" xfId="7786" hidden="1"/>
    <cellStyle name="Гиперссылка 2" xfId="7785" hidden="1"/>
    <cellStyle name="Гиперссылка 2" xfId="7796" hidden="1"/>
    <cellStyle name="Гиперссылка 2" xfId="7798" hidden="1"/>
    <cellStyle name="Гиперссылка 2" xfId="7809" hidden="1"/>
    <cellStyle name="Гиперссылка 2" xfId="7811" hidden="1"/>
    <cellStyle name="Гиперссылка 2" xfId="7804" hidden="1"/>
    <cellStyle name="Гиперссылка 2" xfId="7802" hidden="1"/>
    <cellStyle name="Гиперссылка 2" xfId="7807" hidden="1"/>
    <cellStyle name="Гиперссылка 2" xfId="7806" hidden="1"/>
    <cellStyle name="Гиперссылка 2" xfId="7815" hidden="1"/>
    <cellStyle name="Гиперссылка 2" xfId="7814" hidden="1"/>
    <cellStyle name="Гиперссылка 2" xfId="7818" hidden="1"/>
    <cellStyle name="Гиперссылка 2" xfId="7820" hidden="1"/>
    <cellStyle name="Гиперссылка 2" xfId="7830" hidden="1"/>
    <cellStyle name="Гиперссылка 2" xfId="7832" hidden="1"/>
    <cellStyle name="Гиперссылка 2" xfId="7825" hidden="1"/>
    <cellStyle name="Гиперссылка 2" xfId="7823" hidden="1"/>
    <cellStyle name="Гиперссылка 2" xfId="7828" hidden="1"/>
    <cellStyle name="Гиперссылка 2" xfId="7827" hidden="1"/>
    <cellStyle name="Гиперссылка 2" xfId="7836" hidden="1"/>
    <cellStyle name="Гиперссылка 2" xfId="7835" hidden="1"/>
    <cellStyle name="Гиперссылка 2" xfId="7838" hidden="1"/>
    <cellStyle name="Гиперссылка 2" xfId="7840" hidden="1"/>
    <cellStyle name="Гиперссылка 2" xfId="7850" hidden="1"/>
    <cellStyle name="Гиперссылка 2" xfId="7852" hidden="1"/>
    <cellStyle name="Гиперссылка 2" xfId="7845" hidden="1"/>
    <cellStyle name="Гиперссылка 2" xfId="7843" hidden="1"/>
    <cellStyle name="Гиперссылка 2" xfId="7848" hidden="1"/>
    <cellStyle name="Гиперссылка 2" xfId="7847" hidden="1"/>
    <cellStyle name="Гиперссылка 2" xfId="7856" hidden="1"/>
    <cellStyle name="Гиперссылка 2" xfId="7855" hidden="1"/>
    <cellStyle name="Гиперссылка 2" xfId="7637" hidden="1"/>
    <cellStyle name="Гиперссылка 2" xfId="4765" hidden="1"/>
    <cellStyle name="Гиперссылка 2" xfId="4188" hidden="1"/>
    <cellStyle name="Гиперссылка 2" xfId="257" hidden="1"/>
    <cellStyle name="Гиперссылка 2" xfId="7758" hidden="1"/>
    <cellStyle name="Гиперссылка 2" xfId="7792" hidden="1"/>
    <cellStyle name="Гиперссылка 2" xfId="6950" hidden="1"/>
    <cellStyle name="Гиперссылка 2" xfId="7751" hidden="1"/>
    <cellStyle name="Гиперссылка 2" xfId="7888" hidden="1"/>
    <cellStyle name="Гиперссылка 2" xfId="7887" hidden="1"/>
    <cellStyle name="Гиперссылка 2" xfId="7898" hidden="1"/>
    <cellStyle name="Гиперссылка 2" xfId="7900" hidden="1"/>
    <cellStyle name="Гиперссылка 2" xfId="7910" hidden="1"/>
    <cellStyle name="Гиперссылка 2" xfId="7912" hidden="1"/>
    <cellStyle name="Гиперссылка 2" xfId="7905" hidden="1"/>
    <cellStyle name="Гиперссылка 2" xfId="7903" hidden="1"/>
    <cellStyle name="Гиперссылка 2" xfId="7908" hidden="1"/>
    <cellStyle name="Гиперссылка 2" xfId="7907" hidden="1"/>
    <cellStyle name="Гиперссылка 2" xfId="7916" hidden="1"/>
    <cellStyle name="Гиперссылка 2" xfId="7915" hidden="1"/>
    <cellStyle name="Гиперссылка 2" xfId="7919" hidden="1"/>
    <cellStyle name="Гиперссылка 2" xfId="7921" hidden="1"/>
    <cellStyle name="Гиперссылка 2" xfId="7931" hidden="1"/>
    <cellStyle name="Гиперссылка 2" xfId="7933" hidden="1"/>
    <cellStyle name="Гиперссылка 2" xfId="7926" hidden="1"/>
    <cellStyle name="Гиперссылка 2" xfId="7924" hidden="1"/>
    <cellStyle name="Гиперссылка 2" xfId="7929" hidden="1"/>
    <cellStyle name="Гиперссылка 2" xfId="7928" hidden="1"/>
    <cellStyle name="Гиперссылка 2" xfId="7937" hidden="1"/>
    <cellStyle name="Гиперссылка 2" xfId="7936" hidden="1"/>
    <cellStyle name="Гиперссылка 2" xfId="7939" hidden="1"/>
    <cellStyle name="Гиперссылка 2" xfId="7941" hidden="1"/>
    <cellStyle name="Гиперссылка 2" xfId="7951" hidden="1"/>
    <cellStyle name="Гиперссылка 2" xfId="7953" hidden="1"/>
    <cellStyle name="Гиперссылка 2" xfId="7946" hidden="1"/>
    <cellStyle name="Гиперссылка 2" xfId="7944" hidden="1"/>
    <cellStyle name="Гиперссылка 2" xfId="7949" hidden="1"/>
    <cellStyle name="Гиперссылка 2" xfId="7948" hidden="1"/>
    <cellStyle name="Гиперссылка 2" xfId="7957" hidden="1"/>
    <cellStyle name="Гиперссылка 2" xfId="7956" hidden="1"/>
    <cellStyle name="Гиперссылка 2" xfId="7752" hidden="1"/>
    <cellStyle name="Гиперссылка 2" xfId="6764" hidden="1"/>
    <cellStyle name="Гиперссылка 2" xfId="5279" hidden="1"/>
    <cellStyle name="Гиперссылка 2" xfId="5155" hidden="1"/>
    <cellStyle name="Гиперссылка 2" xfId="7865" hidden="1"/>
    <cellStyle name="Гиперссылка 2" xfId="7896" hidden="1"/>
    <cellStyle name="Гиперссылка 2" xfId="7413" hidden="1"/>
    <cellStyle name="Гиперссылка 2" xfId="7861" hidden="1"/>
    <cellStyle name="Гиперссылка 2" xfId="7980" hidden="1"/>
    <cellStyle name="Гиперссылка 2" xfId="7979" hidden="1"/>
    <cellStyle name="Гиперссылка 2" xfId="7990" hidden="1"/>
    <cellStyle name="Гиперссылка 2" xfId="7992" hidden="1"/>
    <cellStyle name="Гиперссылка 2" xfId="8002" hidden="1"/>
    <cellStyle name="Гиперссылка 2" xfId="8004" hidden="1"/>
    <cellStyle name="Гиперссылка 2" xfId="7997" hidden="1"/>
    <cellStyle name="Гиперссылка 2" xfId="7995" hidden="1"/>
    <cellStyle name="Гиперссылка 2" xfId="8000" hidden="1"/>
    <cellStyle name="Гиперссылка 2" xfId="7999" hidden="1"/>
    <cellStyle name="Гиперссылка 2" xfId="8008" hidden="1"/>
    <cellStyle name="Гиперссылка 2" xfId="8007" hidden="1"/>
    <cellStyle name="Гиперссылка 2" xfId="8010" hidden="1"/>
    <cellStyle name="Гиперссылка 2" xfId="8012" hidden="1"/>
    <cellStyle name="Гиперссылка 2" xfId="8022" hidden="1"/>
    <cellStyle name="Гиперссылка 2" xfId="8024" hidden="1"/>
    <cellStyle name="Гиперссылка 2" xfId="8017" hidden="1"/>
    <cellStyle name="Гиперссылка 2" xfId="8015" hidden="1"/>
    <cellStyle name="Гиперссылка 2" xfId="8020" hidden="1"/>
    <cellStyle name="Гиперссылка 2" xfId="8019" hidden="1"/>
    <cellStyle name="Гиперссылка 2" xfId="8028" hidden="1"/>
    <cellStyle name="Гиперссылка 2" xfId="8027" hidden="1"/>
    <cellStyle name="Гиперссылка 2" xfId="8030" hidden="1"/>
    <cellStyle name="Гиперссылка 2" xfId="8032" hidden="1"/>
    <cellStyle name="Гиперссылка 2" xfId="8042" hidden="1"/>
    <cellStyle name="Гиперссылка 2" xfId="8044" hidden="1"/>
    <cellStyle name="Гиперссылка 2" xfId="8037" hidden="1"/>
    <cellStyle name="Гиперссылка 2" xfId="8035" hidden="1"/>
    <cellStyle name="Гиперссылка 2" xfId="8040" hidden="1"/>
    <cellStyle name="Гиперссылка 2" xfId="8039" hidden="1"/>
    <cellStyle name="Гиперссылка 2" xfId="8048" hidden="1"/>
    <cellStyle name="Гиперссылка 2" xfId="8047" hidden="1"/>
    <cellStyle name="Гиперссылка 2" xfId="7862" hidden="1"/>
    <cellStyle name="Гиперссылка 2" xfId="6497" hidden="1"/>
    <cellStyle name="Гиперссылка 2" xfId="7519" hidden="1"/>
    <cellStyle name="Гиперссылка 2" xfId="4798" hidden="1"/>
    <cellStyle name="Гиперссылка 2" xfId="7962" hidden="1"/>
    <cellStyle name="Гиперссылка 2" xfId="7987" hidden="1"/>
    <cellStyle name="Гиперссылка 2" xfId="7541" hidden="1"/>
    <cellStyle name="Гиперссылка 2" xfId="7960" hidden="1"/>
    <cellStyle name="Гиперссылка 2" xfId="8052" hidden="1"/>
    <cellStyle name="Гиперссылка 2" xfId="8051" hidden="1"/>
    <cellStyle name="Гиперссылка 2" xfId="8054" hidden="1"/>
    <cellStyle name="Гиперссылка 2" xfId="8056" hidden="1"/>
    <cellStyle name="Гиперссылка 2" xfId="8066" hidden="1"/>
    <cellStyle name="Гиперссылка 2" xfId="8068" hidden="1"/>
    <cellStyle name="Гиперссылка 2" xfId="8061" hidden="1"/>
    <cellStyle name="Гиперссылка 2" xfId="8059" hidden="1"/>
    <cellStyle name="Гиперссылка 2" xfId="8064" hidden="1"/>
    <cellStyle name="Гиперссылка 2" xfId="8063" hidden="1"/>
    <cellStyle name="Гиперссылка 2" xfId="8072" hidden="1"/>
    <cellStyle name="Гиперссылка 2" xfId="8071" hidden="1"/>
    <cellStyle name="Гиперссылка 2" xfId="8074" hidden="1"/>
    <cellStyle name="Гиперссылка 2" xfId="8076" hidden="1"/>
    <cellStyle name="Гиперссылка 2" xfId="8086" hidden="1"/>
    <cellStyle name="Гиперссылка 2" xfId="8088" hidden="1"/>
    <cellStyle name="Гиперссылка 2" xfId="8081" hidden="1"/>
    <cellStyle name="Гиперссылка 2" xfId="8079" hidden="1"/>
    <cellStyle name="Гиперссылка 2" xfId="8084" hidden="1"/>
    <cellStyle name="Гиперссылка 2" xfId="8083" hidden="1"/>
    <cellStyle name="Гиперссылка 2" xfId="8092" hidden="1"/>
    <cellStyle name="Гиперссылка 2" xfId="8091" hidden="1"/>
    <cellStyle name="Гиперссылка 2" xfId="8094" hidden="1"/>
    <cellStyle name="Гиперссылка 2" xfId="8096" hidden="1"/>
    <cellStyle name="Гиперссылка 2" xfId="8106" hidden="1"/>
    <cellStyle name="Гиперссылка 2" xfId="8108" hidden="1"/>
    <cellStyle name="Гиперссылка 2" xfId="8101" hidden="1"/>
    <cellStyle name="Гиперссылка 2" xfId="8099" hidden="1"/>
    <cellStyle name="Гиперссылка 2" xfId="8104" hidden="1"/>
    <cellStyle name="Гиперссылка 2" xfId="8103" hidden="1"/>
    <cellStyle name="Гиперссылка 2" xfId="8112" hidden="1"/>
    <cellStyle name="Гиперссылка 2" xfId="8111" hidden="1"/>
    <cellStyle name="Гиперссылка 2" xfId="5111" hidden="1"/>
    <cellStyle name="Гиперссылка 2" xfId="4291" hidden="1"/>
    <cellStyle name="Гиперссылка 2" xfId="7677" hidden="1"/>
    <cellStyle name="Гиперссылка 2" xfId="4284" hidden="1"/>
    <cellStyle name="Гиперссылка 2" xfId="4296" hidden="1"/>
    <cellStyle name="Гиперссылка 2" xfId="4190" hidden="1"/>
    <cellStyle name="Гиперссылка 2" xfId="7189" hidden="1"/>
    <cellStyle name="Гиперссылка 2" xfId="5112" hidden="1"/>
    <cellStyle name="Гиперссылка 2" xfId="6799" hidden="1"/>
    <cellStyle name="Гиперссылка 2" xfId="5823" hidden="1"/>
    <cellStyle name="Гиперссылка 2" xfId="7881" hidden="1"/>
    <cellStyle name="Гиперссылка 2" xfId="7662" hidden="1"/>
    <cellStyle name="Гиперссылка 2" xfId="7168" hidden="1"/>
    <cellStyle name="Гиперссылка 2" xfId="4018" hidden="1"/>
    <cellStyle name="Гиперссылка 2" xfId="7552" hidden="1"/>
    <cellStyle name="Гиперссылка 2" xfId="7782" hidden="1"/>
    <cellStyle name="Гиперссылка 2" xfId="4438" hidden="1"/>
    <cellStyle name="Гиперссылка 2" xfId="4003" hidden="1"/>
    <cellStyle name="Гиперссылка 2" xfId="5291" hidden="1"/>
    <cellStyle name="Гиперссылка 2" xfId="5491" hidden="1"/>
    <cellStyle name="Гиперссылка 2" xfId="4047" hidden="1"/>
    <cellStyle name="Гиперссылка 2" xfId="6927" hidden="1"/>
    <cellStyle name="Гиперссылка 2" xfId="4340" hidden="1"/>
    <cellStyle name="Гиперссылка 2" xfId="4035" hidden="1"/>
    <cellStyle name="Гиперссылка 2" xfId="6757" hidden="1"/>
    <cellStyle name="Гиперссылка 2" xfId="4126" hidden="1"/>
    <cellStyle name="Гиперссылка 2" xfId="6755" hidden="1"/>
    <cellStyle name="Гиперссылка 2" xfId="5252" hidden="1"/>
    <cellStyle name="Гиперссылка 2" xfId="5847" hidden="1"/>
    <cellStyle name="Гиперссылка 2" xfId="4275" hidden="1"/>
    <cellStyle name="Гиперссылка 2" xfId="6270" hidden="1"/>
    <cellStyle name="Гиперссылка 2" xfId="6111" hidden="1"/>
    <cellStyle name="Гиперссылка 2" xfId="4913" hidden="1"/>
    <cellStyle name="Гиперссылка 2" xfId="5796" hidden="1"/>
    <cellStyle name="Гиперссылка 2" xfId="5833" hidden="1"/>
    <cellStyle name="Гиперссылка 2" xfId="6766" hidden="1"/>
    <cellStyle name="Гиперссылка 2" xfId="4039" hidden="1"/>
    <cellStyle name="Гиперссылка 2" xfId="4262" hidden="1"/>
    <cellStyle name="Гиперссылка 2" xfId="4242" hidden="1"/>
    <cellStyle name="Гиперссылка 2" xfId="4937" hidden="1"/>
    <cellStyle name="Гиперссылка 2" xfId="5679" hidden="1"/>
    <cellStyle name="Гиперссылка 2" xfId="4636" hidden="1"/>
    <cellStyle name="Гиперссылка 2" xfId="5275" hidden="1"/>
    <cellStyle name="Гиперссылка 2" xfId="4741" hidden="1"/>
    <cellStyle name="Гиперссылка 2" xfId="6821" hidden="1"/>
    <cellStyle name="Гиперссылка 2" xfId="4286" hidden="1"/>
    <cellStyle name="Гиперссылка 2" xfId="7768" hidden="1"/>
    <cellStyle name="Гиперссылка 2" xfId="7874" hidden="1"/>
    <cellStyle name="Гиперссылка 2" xfId="4179" hidden="1"/>
    <cellStyle name="Гиперссылка 2" xfId="229" hidden="1"/>
    <cellStyle name="Гиперссылка 2" xfId="4299" hidden="1"/>
    <cellStyle name="Гиперссылка 2" xfId="5179" hidden="1"/>
    <cellStyle name="Гиперссылка 2" xfId="6944" hidden="1"/>
    <cellStyle name="Гиперссылка 2" xfId="5788" hidden="1"/>
    <cellStyle name="Гиперссылка 2" xfId="4297" hidden="1"/>
    <cellStyle name="Гиперссылка 2" xfId="7084" hidden="1"/>
    <cellStyle name="Гиперссылка 2" xfId="7020" hidden="1"/>
    <cellStyle name="Гиперссылка 2" xfId="4703" hidden="1"/>
    <cellStyle name="Гиперссылка 2" xfId="4395" hidden="1"/>
    <cellStyle name="Гиперссылка 2" xfId="5782" hidden="1"/>
    <cellStyle name="Гиперссылка 2" xfId="7793" hidden="1"/>
    <cellStyle name="Гиперссылка 2" xfId="7567" hidden="1"/>
    <cellStyle name="Гиперссылка 2" xfId="6109" hidden="1"/>
    <cellStyle name="Гиперссылка 2" xfId="5562" hidden="1"/>
    <cellStyle name="Гиперссылка 2" xfId="7773" hidden="1"/>
    <cellStyle name="Гиперссылка 2" xfId="7969" hidden="1"/>
    <cellStyle name="Гиперссылка 2" xfId="7417" hidden="1"/>
    <cellStyle name="Гиперссылка 2" xfId="7545" hidden="1"/>
    <cellStyle name="Гиперссылка 2" xfId="4465" hidden="1"/>
    <cellStyle name="Гиперссылка 2" xfId="337" hidden="1"/>
    <cellStyle name="Гиперссылка 2" xfId="6938" hidden="1"/>
    <cellStyle name="Гиперссылка 2" xfId="5638" hidden="1"/>
    <cellStyle name="Гиперссылка 2" xfId="7564" hidden="1"/>
    <cellStyle name="Гиперссылка 2" xfId="7026" hidden="1"/>
    <cellStyle name="Гиперссылка 2" xfId="6483" hidden="1"/>
    <cellStyle name="Гиперссылка 2" xfId="4214" hidden="1"/>
    <cellStyle name="Гиперссылка 2" xfId="7790" hidden="1"/>
    <cellStyle name="Гиперссылка 2" xfId="4715" hidden="1"/>
    <cellStyle name="Гиперссылка 2" xfId="7791" hidden="1"/>
    <cellStyle name="Гиперссылка 2" xfId="7892" hidden="1"/>
    <cellStyle name="Гиперссылка 2" xfId="5636" hidden="1"/>
    <cellStyle name="Гиперссылка 2" xfId="7191" hidden="1"/>
    <cellStyle name="Гиперссылка 2" xfId="7663" hidden="1"/>
    <cellStyle name="Гиперссылка 2" xfId="5991" hidden="1"/>
    <cellStyle name="Гиперссылка 2" xfId="4969" hidden="1"/>
    <cellStyle name="Гиперссылка 2" xfId="5362" hidden="1"/>
    <cellStyle name="Гиперссылка 2" xfId="5794" hidden="1"/>
    <cellStyle name="Гиперссылка 2" xfId="4830" hidden="1"/>
    <cellStyle name="Гиперссылка 2" xfId="4210" hidden="1"/>
    <cellStyle name="Гиперссылка 2" xfId="6814" hidden="1"/>
    <cellStyle name="Гиперссылка 2" xfId="4332" hidden="1"/>
    <cellStyle name="Гиперссылка 2" xfId="5608" hidden="1"/>
    <cellStyle name="Гиперссылка 2" xfId="4261" hidden="1"/>
    <cellStyle name="Гиперссылка 2" xfId="6281" hidden="1"/>
    <cellStyle name="Гиперссылка 2" xfId="7706" hidden="1"/>
    <cellStyle name="Гиперссылка 2" xfId="6016" hidden="1"/>
    <cellStyle name="Гиперссылка 2" xfId="4903" hidden="1"/>
    <cellStyle name="Гиперссылка 2" xfId="7464" hidden="1"/>
    <cellStyle name="Гиперссылка 2" xfId="4094" hidden="1"/>
    <cellStyle name="Гиперссылка 2" xfId="5841" hidden="1"/>
    <cellStyle name="Гиперссылка 2" xfId="4166" hidden="1"/>
    <cellStyle name="Гиперссылка 2" xfId="4046" hidden="1"/>
    <cellStyle name="Гиперссылка 2" xfId="5515" hidden="1"/>
    <cellStyle name="Гиперссылка 2" xfId="6891" hidden="1"/>
    <cellStyle name="Гиперссылка 2" xfId="7261" hidden="1"/>
    <cellStyle name="Гиперссылка 2" xfId="6668" hidden="1"/>
    <cellStyle name="Гиперссылка 2" xfId="333" hidden="1"/>
    <cellStyle name="Гиперссылка 2" xfId="4678" hidden="1"/>
    <cellStyle name="Гиперссылка 2" xfId="4637" hidden="1"/>
    <cellStyle name="Гиперссылка 2" xfId="6679" hidden="1"/>
    <cellStyle name="Гиперссылка 2" xfId="4419" hidden="1"/>
    <cellStyle name="Гиперссылка 2" xfId="5852" hidden="1"/>
    <cellStyle name="Гиперссылка 2" xfId="4758" hidden="1"/>
    <cellStyle name="Гиперссылка 2" xfId="4014" hidden="1"/>
    <cellStyle name="Гиперссылка 2" xfId="4354" hidden="1"/>
    <cellStyle name="Гиперссылка 2" xfId="4407" hidden="1"/>
    <cellStyle name="Гиперссылка 2" xfId="4693" hidden="1"/>
    <cellStyle name="Гиперссылка 2" xfId="5836" hidden="1"/>
    <cellStyle name="Гиперссылка 2" xfId="6130" hidden="1"/>
    <cellStyle name="Гиперссылка 2" xfId="5000" hidden="1"/>
    <cellStyle name="Гиперссылка 2" xfId="6928" hidden="1"/>
    <cellStyle name="Гиперссылка 2" xfId="7037" hidden="1"/>
    <cellStyle name="Гиперссылка 2" xfId="6955" hidden="1"/>
    <cellStyle name="Гиперссылка 2" xfId="5254" hidden="1"/>
    <cellStyle name="Гиперссылка 2" xfId="5494" hidden="1"/>
    <cellStyle name="Гиперссылка 2" xfId="4518" hidden="1"/>
    <cellStyle name="Гиперссылка 2" xfId="7670" hidden="1"/>
    <cellStyle name="Гиперссылка 2" xfId="6893" hidden="1"/>
    <cellStyle name="Гиперссылка 2" xfId="4333" hidden="1"/>
    <cellStyle name="Гиперссылка 2" xfId="6662" hidden="1"/>
    <cellStyle name="Гиперссылка 2" xfId="4931" hidden="1"/>
    <cellStyle name="Гиперссылка 2" xfId="5683" hidden="1"/>
    <cellStyle name="Гиперссылка 2" xfId="7083" hidden="1"/>
    <cellStyle name="Гиперссылка 2" xfId="6677" hidden="1"/>
    <cellStyle name="Гиперссылка 2" xfId="7877" hidden="1"/>
    <cellStyle name="Гиперссылка 2" xfId="7265" hidden="1"/>
    <cellStyle name="Гиперссылка 2" xfId="7543" hidden="1"/>
    <cellStyle name="Гиперссылка 2" xfId="7653" hidden="1"/>
    <cellStyle name="Гиперссылка 2" xfId="7023" hidden="1"/>
    <cellStyle name="Гиперссылка 2" xfId="6377" hidden="1"/>
    <cellStyle name="Гиперссылка 2" xfId="4892" hidden="1"/>
    <cellStyle name="Гиперссылка 2" xfId="4180" hidden="1"/>
    <cellStyle name="Гиперссылка 2" xfId="4472" hidden="1"/>
    <cellStyle name="Гиперссылка 2" xfId="5626" hidden="1"/>
    <cellStyle name="Гиперссылка 2" xfId="6817" hidden="1"/>
    <cellStyle name="Гиперссылка 2" xfId="254" hidden="1"/>
    <cellStyle name="Гиперссылка 2" xfId="5511" hidden="1"/>
    <cellStyle name="Гиперссылка 2" xfId="4587" hidden="1"/>
    <cellStyle name="Гиперссылка 2" xfId="6397" hidden="1"/>
    <cellStyle name="Гиперссылка 2" xfId="5078" hidden="1"/>
    <cellStyle name="Гиперссылка 2" xfId="325" hidden="1"/>
    <cellStyle name="Гиперссылка 2" xfId="6155" hidden="1"/>
    <cellStyle name="Гиперссылка 2" xfId="4745" hidden="1"/>
    <cellStyle name="Гиперссылка 2" xfId="5337" hidden="1"/>
    <cellStyle name="Гиперссылка 2" xfId="7266" hidden="1"/>
    <cellStyle name="Гиперссылка 2" xfId="4902" hidden="1"/>
    <cellStyle name="Гиперссылка 2" xfId="4086" hidden="1"/>
    <cellStyle name="Гиперссылка 2" xfId="4233" hidden="1"/>
    <cellStyle name="Гиперссылка 2" xfId="4625" hidden="1"/>
    <cellStyle name="Гиперссылка 2" xfId="4632" hidden="1"/>
    <cellStyle name="Гиперссылка 2" xfId="4815" hidden="1"/>
    <cellStyle name="Гиперссылка 2" xfId="7510" hidden="1"/>
    <cellStyle name="Гиперссылка 2" xfId="7043" hidden="1"/>
    <cellStyle name="Гиперссылка 2" xfId="6952" hidden="1"/>
    <cellStyle name="Гиперссылка 2" xfId="6248" hidden="1"/>
    <cellStyle name="Гиперссылка 2" xfId="7534" hidden="1"/>
    <cellStyle name="Гиперссылка 2" xfId="4234" hidden="1"/>
    <cellStyle name="Гиперссылка 2" xfId="4967" hidden="1"/>
    <cellStyle name="Гиперссылка 2" xfId="6224" hidden="1"/>
    <cellStyle name="Гиперссылка 2" xfId="7177" hidden="1"/>
    <cellStyle name="Гиперссылка 2" xfId="7776" hidden="1"/>
    <cellStyle name="Гиперссылка 2" xfId="7547" hidden="1"/>
    <cellStyle name="Гиперссылка 2" xfId="4276" hidden="1"/>
    <cellStyle name="Гиперссылка 2" xfId="6259" hidden="1"/>
    <cellStyle name="Гиперссылка 2" xfId="4273" hidden="1"/>
    <cellStyle name="Гиперссылка 2" xfId="286" hidden="1"/>
    <cellStyle name="Гиперссылка 2" xfId="5004" hidden="1"/>
    <cellStyle name="Гиперссылка 2" xfId="5267" hidden="1"/>
    <cellStyle name="Гиперссылка 2" xfId="4274" hidden="1"/>
    <cellStyle name="Гиперссылка 2" xfId="5144" hidden="1"/>
    <cellStyle name="Гиперссылка 2" xfId="5997" hidden="1"/>
    <cellStyle name="Гиперссылка 2" xfId="6406" hidden="1"/>
    <cellStyle name="Гиперссылка 2" xfId="7972" hidden="1"/>
    <cellStyle name="Гиперссылка 2" xfId="7777" hidden="1"/>
    <cellStyle name="Гиперссылка 2" xfId="5447" hidden="1"/>
    <cellStyle name="Гиперссылка 2" xfId="5665" hidden="1"/>
    <cellStyle name="Гиперссылка 2" xfId="4922" hidden="1"/>
    <cellStyle name="Гиперссылка 2" xfId="6941" hidden="1"/>
    <cellStyle name="Гиперссылка 2" xfId="5540" hidden="1"/>
    <cellStyle name="Гиперссылка 2" xfId="4909" hidden="1"/>
    <cellStyle name="Гиперссылка 2" xfId="5092" hidden="1"/>
    <cellStyle name="Гиперссылка 2" xfId="4359" hidden="1"/>
    <cellStyle name="Гиперссылка 2" xfId="4312" hidden="1"/>
    <cellStyle name="Гиперссылка 2" xfId="7169" hidden="1"/>
    <cellStyle name="Гиперссылка 2" xfId="4593" hidden="1"/>
    <cellStyle name="Гиперссылка 2" xfId="4004" hidden="1"/>
    <cellStyle name="Гиперссылка 2" xfId="5936" hidden="1"/>
    <cellStyle name="Гиперссылка 2" xfId="4856" hidden="1"/>
    <cellStyle name="Гиперссылка 2" xfId="6371" hidden="1"/>
    <cellStyle name="Гиперссылка 2" xfId="5290" hidden="1"/>
    <cellStyle name="Гиперссылка 2" xfId="4448" hidden="1"/>
    <cellStyle name="Гиперссылка 2" xfId="5265" hidden="1"/>
    <cellStyle name="Гиперссылка 2" xfId="5760" hidden="1"/>
    <cellStyle name="Гиперссылка 2" xfId="5812" hidden="1"/>
    <cellStyle name="Гиперссылка 2" xfId="7879" hidden="1"/>
    <cellStyle name="Гиперссылка 2" xfId="4585" hidden="1"/>
    <cellStyle name="Гиперссылка 2" xfId="5822" hidden="1"/>
    <cellStyle name="Гиперссылка 2" xfId="7885" hidden="1"/>
    <cellStyle name="Гиперссылка 2" xfId="6359" hidden="1"/>
    <cellStyle name="Гиперссылка 2" xfId="6252" hidden="1"/>
    <cellStyle name="Гиперссылка 2" xfId="7918" hidden="1"/>
    <cellStyle name="Гиперссылка 2" xfId="7707" hidden="1"/>
    <cellStyle name="Гиперссылка 2" xfId="5487" hidden="1"/>
    <cellStyle name="Гиперссылка 2" xfId="343" hidden="1"/>
    <cellStyle name="Гиперссылка 2" xfId="6657" hidden="1"/>
    <cellStyle name="Гиперссылка 2" xfId="4399" hidden="1"/>
    <cellStyle name="Гиперссылка 2" xfId="7049" hidden="1"/>
    <cellStyle name="Гиперссылка 2" xfId="6394" hidden="1"/>
    <cellStyle name="Гиперссылка 2" xfId="5819" hidden="1"/>
    <cellStyle name="Гиперссылка 2" xfId="6000" hidden="1"/>
    <cellStyle name="Гиперссылка 2" xfId="260" hidden="1"/>
    <cellStyle name="Гиперссылка 2" xfId="6908" hidden="1"/>
    <cellStyle name="Гиперссылка 2" xfId="5825" hidden="1"/>
    <cellStyle name="Гиперссылка 2" xfId="7974" hidden="1"/>
    <cellStyle name="Гиперссылка 2" xfId="6098" hidden="1"/>
    <cellStyle name="Гиперссылка 2" xfId="6759" hidden="1"/>
    <cellStyle name="Гиперссылка 2" xfId="6374" hidden="1"/>
    <cellStyle name="Гиперссылка 2" xfId="4731" hidden="1"/>
    <cellStyle name="Гиперссылка 2" xfId="7550" hidden="1"/>
    <cellStyle name="Гиперссылка 2" xfId="7664" hidden="1"/>
    <cellStyle name="Гиперссылка 2" xfId="5070" hidden="1"/>
    <cellStyle name="Гиперссылка 2" xfId="4444" hidden="1"/>
    <cellStyle name="Гиперссылка 2" xfId="4336" hidden="1"/>
    <cellStyle name="Гиперссылка 2" xfId="6900" hidden="1"/>
    <cellStyle name="Гиперссылка 2" xfId="6778" hidden="1"/>
    <cellStyle name="Гиперссылка 2" xfId="6808" hidden="1"/>
    <cellStyle name="Гиперссылка 2" xfId="6773" hidden="1"/>
    <cellStyle name="Гиперссылка 2" xfId="4355" hidden="1"/>
    <cellStyle name="Гиперссылка 2" xfId="5165" hidden="1"/>
    <cellStyle name="Гиперссылка 2" xfId="4101" hidden="1"/>
    <cellStyle name="Гиперссылка 2" xfId="7783" hidden="1"/>
    <cellStyle name="Гиперссылка 2" xfId="7873" hidden="1"/>
    <cellStyle name="Гиперссылка 2" xfId="224" hidden="1"/>
    <cellStyle name="Гиперссылка 2" xfId="4978" hidden="1"/>
    <cellStyle name="Гиперссылка 2" xfId="7986" hidden="1"/>
    <cellStyle name="Гиперссылка 2" xfId="6913" hidden="1"/>
    <cellStyle name="Гиперссылка 2" xfId="7789" hidden="1"/>
    <cellStyle name="Гиперссылка 2" xfId="5477" hidden="1"/>
    <cellStyle name="Гиперссылка 2" xfId="8124" hidden="1"/>
    <cellStyle name="Гиперссылка 2" xfId="8123" hidden="1"/>
    <cellStyle name="Гиперссылка 2" xfId="8138" hidden="1"/>
    <cellStyle name="Гиперссылка 2" xfId="8140" hidden="1"/>
    <cellStyle name="Гиперссылка 2" xfId="8151" hidden="1"/>
    <cellStyle name="Гиперссылка 2" xfId="8153" hidden="1"/>
    <cellStyle name="Гиперссылка 2" xfId="8146" hidden="1"/>
    <cellStyle name="Гиперссылка 2" xfId="8144" hidden="1"/>
    <cellStyle name="Гиперссылка 2" xfId="8149" hidden="1"/>
    <cellStyle name="Гиперссылка 2" xfId="8148" hidden="1"/>
    <cellStyle name="Гиперссылка 2" xfId="8157" hidden="1"/>
    <cellStyle name="Гиперссылка 2" xfId="8156" hidden="1"/>
    <cellStyle name="Гиперссылка 2" xfId="8159" hidden="1"/>
    <cellStyle name="Гиперссылка 2" xfId="8161" hidden="1"/>
    <cellStyle name="Гиперссылка 2" xfId="8171" hidden="1"/>
    <cellStyle name="Гиперссылка 2" xfId="8173" hidden="1"/>
    <cellStyle name="Гиперссылка 2" xfId="8166" hidden="1"/>
    <cellStyle name="Гиперссылка 2" xfId="8164" hidden="1"/>
    <cellStyle name="Гиперссылка 2" xfId="8169" hidden="1"/>
    <cellStyle name="Гиперссылка 2" xfId="8168" hidden="1"/>
    <cellStyle name="Гиперссылка 2" xfId="8177" hidden="1"/>
    <cellStyle name="Гиперссылка 2" xfId="8176" hidden="1"/>
    <cellStyle name="Гиперссылка 2" xfId="8179" hidden="1"/>
    <cellStyle name="Гиперссылка 2" xfId="8181" hidden="1"/>
    <cellStyle name="Гиперссылка 2" xfId="8191" hidden="1"/>
    <cellStyle name="Гиперссылка 2" xfId="8193" hidden="1"/>
    <cellStyle name="Гиперссылка 2" xfId="8186" hidden="1"/>
    <cellStyle name="Гиперссылка 2" xfId="8184" hidden="1"/>
    <cellStyle name="Гиперссылка 2" xfId="8189" hidden="1"/>
    <cellStyle name="Гиперссылка 2" xfId="8188" hidden="1"/>
    <cellStyle name="Гиперссылка 2" xfId="8197" hidden="1"/>
    <cellStyle name="Гиперссылка 2" xfId="8196" hidden="1"/>
    <cellStyle name="Гиперссылка 2" xfId="5148" hidden="1"/>
    <cellStyle name="Гиперссылка 2" xfId="5102" hidden="1"/>
    <cellStyle name="Гиперссылка 2" xfId="7257" hidden="1"/>
    <cellStyle name="Гиперссылка 2" xfId="4992" hidden="1"/>
    <cellStyle name="Гиперссылка 2" xfId="7633" hidden="1"/>
    <cellStyle name="Гиперссылка 2" xfId="8132" hidden="1"/>
    <cellStyle name="Гиперссылка 2" xfId="5843" hidden="1"/>
    <cellStyle name="Гиперссылка 2" xfId="5266" hidden="1"/>
    <cellStyle name="Гиперссылка 2" xfId="8237" hidden="1"/>
    <cellStyle name="Гиперссылка 2" xfId="8236" hidden="1"/>
    <cellStyle name="Гиперссылка 2" xfId="8247" hidden="1"/>
    <cellStyle name="Гиперссылка 2" xfId="8249" hidden="1"/>
    <cellStyle name="Гиперссылка 2" xfId="8260" hidden="1"/>
    <cellStyle name="Гиперссылка 2" xfId="8262" hidden="1"/>
    <cellStyle name="Гиперссылка 2" xfId="8255" hidden="1"/>
    <cellStyle name="Гиперссылка 2" xfId="8253" hidden="1"/>
    <cellStyle name="Гиперссылка 2" xfId="8258" hidden="1"/>
    <cellStyle name="Гиперссылка 2" xfId="8257" hidden="1"/>
    <cellStyle name="Гиперссылка 2" xfId="8266" hidden="1"/>
    <cellStyle name="Гиперссылка 2" xfId="8265" hidden="1"/>
    <cellStyle name="Гиперссылка 2" xfId="8268" hidden="1"/>
    <cellStyle name="Гиперссылка 2" xfId="8270" hidden="1"/>
    <cellStyle name="Гиперссылка 2" xfId="8280" hidden="1"/>
    <cellStyle name="Гиперссылка 2" xfId="8282" hidden="1"/>
    <cellStyle name="Гиперссылка 2" xfId="8275" hidden="1"/>
    <cellStyle name="Гиперссылка 2" xfId="8273" hidden="1"/>
    <cellStyle name="Гиперссылка 2" xfId="8278" hidden="1"/>
    <cellStyle name="Гиперссылка 2" xfId="8277" hidden="1"/>
    <cellStyle name="Гиперссылка 2" xfId="8286" hidden="1"/>
    <cellStyle name="Гиперссылка 2" xfId="8285" hidden="1"/>
    <cellStyle name="Гиперссылка 2" xfId="8288" hidden="1"/>
    <cellStyle name="Гиперссылка 2" xfId="8290" hidden="1"/>
    <cellStyle name="Гиперссылка 2" xfId="8300" hidden="1"/>
    <cellStyle name="Гиперссылка 2" xfId="8302" hidden="1"/>
    <cellStyle name="Гиперссылка 2" xfId="8295" hidden="1"/>
    <cellStyle name="Гиперссылка 2" xfId="8293" hidden="1"/>
    <cellStyle name="Гиперссылка 2" xfId="8298" hidden="1"/>
    <cellStyle name="Гиперссылка 2" xfId="8297" hidden="1"/>
    <cellStyle name="Гиперссылка 2" xfId="8306" hidden="1"/>
    <cellStyle name="Гиперссылка 2" xfId="8305" hidden="1"/>
    <cellStyle name="Гиперссылка 2" xfId="4300" hidden="1"/>
    <cellStyle name="Гиперссылка 2" xfId="6290" hidden="1"/>
    <cellStyle name="Гиперссылка 2" xfId="5161" hidden="1"/>
    <cellStyle name="Гиперссылка 2" xfId="7788" hidden="1"/>
    <cellStyle name="Гиперссылка 2" xfId="8213" hidden="1"/>
    <cellStyle name="Гиперссылка 2" xfId="8242" hidden="1"/>
    <cellStyle name="Гиперссылка 2" xfId="6100" hidden="1"/>
    <cellStyle name="Гиперссылка 2" xfId="8202" hidden="1"/>
    <cellStyle name="Гиперссылка 2" xfId="8348" hidden="1"/>
    <cellStyle name="Гиперссылка 2" xfId="8347" hidden="1"/>
    <cellStyle name="Гиперссылка 2" xfId="8356" hidden="1"/>
    <cellStyle name="Гиперссылка 2" xfId="8358" hidden="1"/>
    <cellStyle name="Гиперссылка 2" xfId="8369" hidden="1"/>
    <cellStyle name="Гиперссылка 2" xfId="8371" hidden="1"/>
    <cellStyle name="Гиперссылка 2" xfId="8364" hidden="1"/>
    <cellStyle name="Гиперссылка 2" xfId="8362" hidden="1"/>
    <cellStyle name="Гиперссылка 2" xfId="8367" hidden="1"/>
    <cellStyle name="Гиперссылка 2" xfId="8366" hidden="1"/>
    <cellStyle name="Гиперссылка 2" xfId="8375" hidden="1"/>
    <cellStyle name="Гиперссылка 2" xfId="8374" hidden="1"/>
    <cellStyle name="Гиперссылка 2" xfId="8377" hidden="1"/>
    <cellStyle name="Гиперссылка 2" xfId="8379" hidden="1"/>
    <cellStyle name="Гиперссылка 2" xfId="8389" hidden="1"/>
    <cellStyle name="Гиперссылка 2" xfId="8391" hidden="1"/>
    <cellStyle name="Гиперссылка 2" xfId="8384" hidden="1"/>
    <cellStyle name="Гиперссылка 2" xfId="8382" hidden="1"/>
    <cellStyle name="Гиперссылка 2" xfId="8387" hidden="1"/>
    <cellStyle name="Гиперссылка 2" xfId="8386" hidden="1"/>
    <cellStyle name="Гиперссылка 2" xfId="8395" hidden="1"/>
    <cellStyle name="Гиперссылка 2" xfId="8394" hidden="1"/>
    <cellStyle name="Гиперссылка 2" xfId="8397" hidden="1"/>
    <cellStyle name="Гиперссылка 2" xfId="8399" hidden="1"/>
    <cellStyle name="Гиперссылка 2" xfId="8409" hidden="1"/>
    <cellStyle name="Гиперссылка 2" xfId="8411" hidden="1"/>
    <cellStyle name="Гиперссылка 2" xfId="8404" hidden="1"/>
    <cellStyle name="Гиперссылка 2" xfId="8402" hidden="1"/>
    <cellStyle name="Гиперссылка 2" xfId="8407" hidden="1"/>
    <cellStyle name="Гиперссылка 2" xfId="8406" hidden="1"/>
    <cellStyle name="Гиперссылка 2" xfId="8415" hidden="1"/>
    <cellStyle name="Гиперссылка 2" xfId="8414" hidden="1"/>
    <cellStyle name="Гиперссылка 2" xfId="8203" hidden="1"/>
    <cellStyle name="Гиперссылка 2" xfId="7414" hidden="1"/>
    <cellStyle name="Гиперссылка 2" xfId="4028" hidden="1"/>
    <cellStyle name="Гиперссылка 2" xfId="6144" hidden="1"/>
    <cellStyle name="Гиперссылка 2" xfId="8319" hidden="1"/>
    <cellStyle name="Гиперссылка 2" xfId="8353" hidden="1"/>
    <cellStyle name="Гиперссылка 2" xfId="7539" hidden="1"/>
    <cellStyle name="Гиперссылка 2" xfId="8312" hidden="1"/>
    <cellStyle name="Гиперссылка 2" xfId="8445" hidden="1"/>
    <cellStyle name="Гиперссылка 2" xfId="8444" hidden="1"/>
    <cellStyle name="Гиперссылка 2" xfId="8454" hidden="1"/>
    <cellStyle name="Гиперссылка 2" xfId="8456" hidden="1"/>
    <cellStyle name="Гиперссылка 2" xfId="8466" hidden="1"/>
    <cellStyle name="Гиперссылка 2" xfId="8468" hidden="1"/>
    <cellStyle name="Гиперссылка 2" xfId="8461" hidden="1"/>
    <cellStyle name="Гиперссылка 2" xfId="8459" hidden="1"/>
    <cellStyle name="Гиперссылка 2" xfId="8464" hidden="1"/>
    <cellStyle name="Гиперссылка 2" xfId="8463" hidden="1"/>
    <cellStyle name="Гиперссылка 2" xfId="8472" hidden="1"/>
    <cellStyle name="Гиперссылка 2" xfId="8471" hidden="1"/>
    <cellStyle name="Гиперссылка 2" xfId="8474" hidden="1"/>
    <cellStyle name="Гиперссылка 2" xfId="8476" hidden="1"/>
    <cellStyle name="Гиперссылка 2" xfId="8486" hidden="1"/>
    <cellStyle name="Гиперссылка 2" xfId="8488" hidden="1"/>
    <cellStyle name="Гиперссылка 2" xfId="8481" hidden="1"/>
    <cellStyle name="Гиперссылка 2" xfId="8479" hidden="1"/>
    <cellStyle name="Гиперссылка 2" xfId="8484" hidden="1"/>
    <cellStyle name="Гиперссылка 2" xfId="8483" hidden="1"/>
    <cellStyle name="Гиперссылка 2" xfId="8492" hidden="1"/>
    <cellStyle name="Гиперссылка 2" xfId="8491" hidden="1"/>
    <cellStyle name="Гиперссылка 2" xfId="8494" hidden="1"/>
    <cellStyle name="Гиперссылка 2" xfId="8496" hidden="1"/>
    <cellStyle name="Гиперссылка 2" xfId="8506" hidden="1"/>
    <cellStyle name="Гиперссылка 2" xfId="8508" hidden="1"/>
    <cellStyle name="Гиперссылка 2" xfId="8501" hidden="1"/>
    <cellStyle name="Гиперссылка 2" xfId="8499" hidden="1"/>
    <cellStyle name="Гиперссылка 2" xfId="8504" hidden="1"/>
    <cellStyle name="Гиперссылка 2" xfId="8503" hidden="1"/>
    <cellStyle name="Гиперссылка 2" xfId="8512" hidden="1"/>
    <cellStyle name="Гиперссылка 2" xfId="8511" hidden="1"/>
    <cellStyle name="Гиперссылка 2" xfId="8313" hidden="1"/>
    <cellStyle name="Гиперссылка 2" xfId="5355" hidden="1"/>
    <cellStyle name="Гиперссылка 2" xfId="4650" hidden="1"/>
    <cellStyle name="Гиперссылка 2" xfId="5423" hidden="1"/>
    <cellStyle name="Гиперссылка 2" xfId="8426" hidden="1"/>
    <cellStyle name="Гиперссылка 2" xfId="8449" hidden="1"/>
    <cellStyle name="Гиперссылка 2" xfId="7681" hidden="1"/>
    <cellStyle name="Гиперссылка 2" xfId="8419" hidden="1"/>
    <cellStyle name="Гиперссылка 2" xfId="8538" hidden="1"/>
    <cellStyle name="Гиперссылка 2" xfId="8537" hidden="1"/>
    <cellStyle name="Гиперссылка 2" xfId="8547" hidden="1"/>
    <cellStyle name="Гиперссылка 2" xfId="8549" hidden="1"/>
    <cellStyle name="Гиперссылка 2" xfId="8560" hidden="1"/>
    <cellStyle name="Гиперссылка 2" xfId="8562" hidden="1"/>
    <cellStyle name="Гиперссылка 2" xfId="8555" hidden="1"/>
    <cellStyle name="Гиперссылка 2" xfId="8553" hidden="1"/>
    <cellStyle name="Гиперссылка 2" xfId="8558" hidden="1"/>
    <cellStyle name="Гиперссылка 2" xfId="8557" hidden="1"/>
    <cellStyle name="Гиперссылка 2" xfId="8566" hidden="1"/>
    <cellStyle name="Гиперссылка 2" xfId="8565" hidden="1"/>
    <cellStyle name="Гиперссылка 2" xfId="8568" hidden="1"/>
    <cellStyle name="Гиперссылка 2" xfId="8570" hidden="1"/>
    <cellStyle name="Гиперссылка 2" xfId="8580" hidden="1"/>
    <cellStyle name="Гиперссылка 2" xfId="8582" hidden="1"/>
    <cellStyle name="Гиперссылка 2" xfId="8575" hidden="1"/>
    <cellStyle name="Гиперссылка 2" xfId="8573" hidden="1"/>
    <cellStyle name="Гиперссылка 2" xfId="8578" hidden="1"/>
    <cellStyle name="Гиперссылка 2" xfId="8577" hidden="1"/>
    <cellStyle name="Гиперссылка 2" xfId="8586" hidden="1"/>
    <cellStyle name="Гиперссылка 2" xfId="8585" hidden="1"/>
    <cellStyle name="Гиперссылка 2" xfId="8588" hidden="1"/>
    <cellStyle name="Гиперссылка 2" xfId="8590" hidden="1"/>
    <cellStyle name="Гиперссылка 2" xfId="8600" hidden="1"/>
    <cellStyle name="Гиперссылка 2" xfId="8602" hidden="1"/>
    <cellStyle name="Гиперссылка 2" xfId="8595" hidden="1"/>
    <cellStyle name="Гиперссылка 2" xfId="8593" hidden="1"/>
    <cellStyle name="Гиперссылка 2" xfId="8598" hidden="1"/>
    <cellStyle name="Гиперссылка 2" xfId="8597" hidden="1"/>
    <cellStyle name="Гиперссылка 2" xfId="8606" hidden="1"/>
    <cellStyle name="Гиперссылка 2" xfId="8605" hidden="1"/>
    <cellStyle name="Гиперссылка 2" xfId="8420" hidden="1"/>
    <cellStyle name="Гиперссылка 2" xfId="7525" hidden="1"/>
    <cellStyle name="Гиперссылка 2" xfId="4513" hidden="1"/>
    <cellStyle name="Гиперссылка 2" xfId="5320" hidden="1"/>
    <cellStyle name="Гиперссылка 2" xfId="8521" hidden="1"/>
    <cellStyle name="Гиперссылка 2" xfId="8544" hidden="1"/>
    <cellStyle name="Гиперссылка 2" xfId="8114" hidden="1"/>
    <cellStyle name="Гиперссылка 2" xfId="8516" hidden="1"/>
    <cellStyle name="Гиперссылка 2" xfId="8622" hidden="1"/>
    <cellStyle name="Гиперссылка 2" xfId="8621" hidden="1"/>
    <cellStyle name="Гиперссылка 2" xfId="8629" hidden="1"/>
    <cellStyle name="Гиперссылка 2" xfId="8631" hidden="1"/>
    <cellStyle name="Гиперссылка 2" xfId="8641" hidden="1"/>
    <cellStyle name="Гиперссылка 2" xfId="8643" hidden="1"/>
    <cellStyle name="Гиперссылка 2" xfId="8636" hidden="1"/>
    <cellStyle name="Гиперссылка 2" xfId="8634" hidden="1"/>
    <cellStyle name="Гиперссылка 2" xfId="8639" hidden="1"/>
    <cellStyle name="Гиперссылка 2" xfId="8638" hidden="1"/>
    <cellStyle name="Гиперссылка 2" xfId="8647" hidden="1"/>
    <cellStyle name="Гиперссылка 2" xfId="8646" hidden="1"/>
    <cellStyle name="Гиперссылка 2" xfId="8649" hidden="1"/>
    <cellStyle name="Гиперссылка 2" xfId="8651" hidden="1"/>
    <cellStyle name="Гиперссылка 2" xfId="8661" hidden="1"/>
    <cellStyle name="Гиперссылка 2" xfId="8663" hidden="1"/>
    <cellStyle name="Гиперссылка 2" xfId="8656" hidden="1"/>
    <cellStyle name="Гиперссылка 2" xfId="8654" hidden="1"/>
    <cellStyle name="Гиперссылка 2" xfId="8659" hidden="1"/>
    <cellStyle name="Гиперссылка 2" xfId="8658" hidden="1"/>
    <cellStyle name="Гиперссылка 2" xfId="8667" hidden="1"/>
    <cellStyle name="Гиперссылка 2" xfId="8666" hidden="1"/>
    <cellStyle name="Гиперссылка 2" xfId="8669" hidden="1"/>
    <cellStyle name="Гиперссылка 2" xfId="8671" hidden="1"/>
    <cellStyle name="Гиперссылка 2" xfId="8681" hidden="1"/>
    <cellStyle name="Гиперссылка 2" xfId="8683" hidden="1"/>
    <cellStyle name="Гиперссылка 2" xfId="8676" hidden="1"/>
    <cellStyle name="Гиперссылка 2" xfId="8674" hidden="1"/>
    <cellStyle name="Гиперссылка 2" xfId="8679" hidden="1"/>
    <cellStyle name="Гиперссылка 2" xfId="8678" hidden="1"/>
    <cellStyle name="Гиперссылка 2" xfId="8687" hidden="1"/>
    <cellStyle name="Гиперссылка 2" xfId="8686" hidden="1"/>
    <cellStyle name="Гиперссылка 2" xfId="8517" hidden="1"/>
    <cellStyle name="Гиперссылка 2" xfId="7273" hidden="1"/>
    <cellStyle name="Гиперссылка 2" xfId="8210" hidden="1"/>
    <cellStyle name="Гиперссылка 2" xfId="4752" hidden="1"/>
    <cellStyle name="Гиперссылка 2" xfId="8612" hidden="1"/>
    <cellStyle name="Гиперссылка 2" xfId="8626" hidden="1"/>
    <cellStyle name="Гиперссылка 2" xfId="8225" hidden="1"/>
    <cellStyle name="Гиперссылка 2" xfId="8610" hidden="1"/>
    <cellStyle name="Гиперссылка 2" xfId="8691" hidden="1"/>
    <cellStyle name="Гиперссылка 2" xfId="8690" hidden="1"/>
    <cellStyle name="Гиперссылка 2" xfId="8693" hidden="1"/>
    <cellStyle name="Гиперссылка 2" xfId="8695" hidden="1"/>
    <cellStyle name="Гиперссылка 2" xfId="8705" hidden="1"/>
    <cellStyle name="Гиперссылка 2" xfId="8707" hidden="1"/>
    <cellStyle name="Гиперссылка 2" xfId="8700" hidden="1"/>
    <cellStyle name="Гиперссылка 2" xfId="8698" hidden="1"/>
    <cellStyle name="Гиперссылка 2" xfId="8703" hidden="1"/>
    <cellStyle name="Гиперссылка 2" xfId="8702" hidden="1"/>
    <cellStyle name="Гиперссылка 2" xfId="8711" hidden="1"/>
    <cellStyle name="Гиперссылка 2" xfId="8710" hidden="1"/>
    <cellStyle name="Гиперссылка 2" xfId="8713" hidden="1"/>
    <cellStyle name="Гиперссылка 2" xfId="8715" hidden="1"/>
    <cellStyle name="Гиперссылка 2" xfId="8725" hidden="1"/>
    <cellStyle name="Гиперссылка 2" xfId="8727" hidden="1"/>
    <cellStyle name="Гиперссылка 2" xfId="8720" hidden="1"/>
    <cellStyle name="Гиперссылка 2" xfId="8718" hidden="1"/>
    <cellStyle name="Гиперссылка 2" xfId="8723" hidden="1"/>
    <cellStyle name="Гиперссылка 2" xfId="8722" hidden="1"/>
    <cellStyle name="Гиперссылка 2" xfId="8731" hidden="1"/>
    <cellStyle name="Гиперссылка 2" xfId="8730" hidden="1"/>
    <cellStyle name="Гиперссылка 2" xfId="8733" hidden="1"/>
    <cellStyle name="Гиперссылка 2" xfId="8735" hidden="1"/>
    <cellStyle name="Гиперссылка 2" xfId="8745" hidden="1"/>
    <cellStyle name="Гиперссылка 2" xfId="8747" hidden="1"/>
    <cellStyle name="Гиперссылка 2" xfId="8740" hidden="1"/>
    <cellStyle name="Гиперссылка 2" xfId="8738" hidden="1"/>
    <cellStyle name="Гиперссылка 2" xfId="8743" hidden="1"/>
    <cellStyle name="Гиперссылка 2" xfId="8742" hidden="1"/>
    <cellStyle name="Гиперссылка 2" xfId="8751" hidden="1"/>
    <cellStyle name="Гиперссылка 2" xfId="8750" hidden="1"/>
    <cellStyle name="Гиперссылка 2" xfId="7442" hidden="1"/>
    <cellStyle name="Гиперссылка 2" xfId="4908" hidden="1"/>
    <cellStyle name="Гиперссылка 2" xfId="6011" hidden="1"/>
    <cellStyle name="Гиперссылка 2" xfId="5931" hidden="1"/>
    <cellStyle name="Гиперссылка 2" xfId="8346" hidden="1"/>
    <cellStyle name="Гиперссылка 2" xfId="6744" hidden="1"/>
    <cellStyle name="Гиперссылка 2" xfId="4141" hidden="1"/>
    <cellStyle name="Гиперссылка 2" xfId="6886" hidden="1"/>
    <cellStyle name="Гиперссылка 2" xfId="5331" hidden="1"/>
    <cellStyle name="Гиперссылка 2" xfId="6948" hidden="1"/>
    <cellStyle name="Гиперссылка 2" xfId="8206" hidden="1"/>
    <cellStyle name="Гиперссылка 2" xfId="5175" hidden="1"/>
    <cellStyle name="Гиперссылка 2" xfId="4251" hidden="1"/>
    <cellStyle name="Гиперссылка 2" xfId="7440" hidden="1"/>
    <cellStyle name="Гиперссылка 2" xfId="4169" hidden="1"/>
    <cellStyle name="Гиперссылка 2" xfId="217" hidden="1"/>
    <cellStyle name="Гиперссылка 2" xfId="6672" hidden="1"/>
    <cellStyle name="Гиперссылка 2" xfId="4429" hidden="1"/>
    <cellStyle name="Гиперссылка 2" xfId="7563" hidden="1"/>
    <cellStyle name="Гиперссылка 2" xfId="7982" hidden="1"/>
    <cellStyle name="Гиперссылка 2" xfId="8531" hidden="1"/>
    <cellStyle name="Гиперссылка 2" xfId="8333" hidden="1"/>
    <cellStyle name="Гиперссылка 2" xfId="4898" hidden="1"/>
    <cellStyle name="Гиперссылка 2" xfId="4243" hidden="1"/>
    <cellStyle name="Гиперссылка 2" xfId="8317" hidden="1"/>
    <cellStyle name="Гиперссылка 2" xfId="8519" hidden="1"/>
    <cellStyle name="Гиперссылка 2" xfId="5486" hidden="1"/>
    <cellStyle name="Гиперссылка 2" xfId="7858" hidden="1"/>
    <cellStyle name="Гиперссылка 2" xfId="4735" hidden="1"/>
    <cellStyle name="Гиперссылка 2" xfId="334" hidden="1"/>
    <cellStyle name="Гиперссылка 2" xfId="6953" hidden="1"/>
    <cellStyle name="Гиперссылка 2" xfId="6645" hidden="1"/>
    <cellStyle name="Гиперссылка 2" xfId="4127" hidden="1"/>
    <cellStyle name="Гиперссылка 2" xfId="275" hidden="1"/>
    <cellStyle name="Гиперссылка 2" xfId="5069" hidden="1"/>
    <cellStyle name="Гиперссылка 2" xfId="5842" hidden="1"/>
    <cellStyle name="Гиперссылка 2" xfId="8131" hidden="1"/>
    <cellStyle name="Гиперссылка 2" xfId="4150" hidden="1"/>
    <cellStyle name="Гиперссылка 2" xfId="5352" hidden="1"/>
    <cellStyle name="Гиперссылка 2" xfId="8221" hidden="1"/>
    <cellStyle name="Гиперссылка 2" xfId="5448" hidden="1"/>
    <cellStyle name="Гиперссылка 2" xfId="8137" hidden="1"/>
    <cellStyle name="Гиперссылка 2" xfId="8327" hidden="1"/>
    <cellStyle name="Гиперссылка 2" xfId="8133" hidden="1"/>
    <cellStyle name="Гиперссылка 2" xfId="4152" hidden="1"/>
    <cellStyle name="Гиперссылка 2" xfId="7895" hidden="1"/>
    <cellStyle name="Гиперссылка 2" xfId="7523" hidden="1"/>
    <cellStyle name="Гиперссылка 2" xfId="6112" hidden="1"/>
    <cellStyle name="Гиперссылка 2" xfId="7527" hidden="1"/>
    <cellStyle name="Гиперссылка 2" xfId="313" hidden="1"/>
    <cellStyle name="Гиперссылка 2" xfId="6239" hidden="1"/>
    <cellStyle name="Гиперссылка 2" xfId="7522" hidden="1"/>
    <cellStyle name="Гиперссылка 2" xfId="8611" hidden="1"/>
    <cellStyle name="Гиперссылка 2" xfId="8425" hidden="1"/>
    <cellStyle name="Гиперссылка 2" xfId="4427" hidden="1"/>
    <cellStyle name="Гиперссылка 2" xfId="4729" hidden="1"/>
    <cellStyle name="Гиперссылка 2" xfId="6794" hidden="1"/>
    <cellStyle name="Гиперссылка 2" xfId="4680" hidden="1"/>
    <cellStyle name="Гиперссылка 2" xfId="8342" hidden="1"/>
    <cellStyle name="Гиперссылка 2" xfId="5929" hidden="1"/>
    <cellStyle name="Гиперссылка 2" xfId="6932" hidden="1"/>
    <cellStyle name="Гиперссылка 2" xfId="7654" hidden="1"/>
    <cellStyle name="Гиперссылка 2" xfId="5003" hidden="1"/>
    <cellStyle name="Гиперссылка 2" xfId="6907" hidden="1"/>
    <cellStyle name="Гиперссылка 2" xfId="6666" hidden="1"/>
    <cellStyle name="Гиперссылка 2" xfId="263" hidden="1"/>
    <cellStyle name="Гиперссылка 2" xfId="7756" hidden="1"/>
    <cellStyle name="Гиперссылка 2" xfId="5087" hidden="1"/>
    <cellStyle name="Гиперссылка 2" xfId="5681" hidden="1"/>
    <cellStyle name="Гиперссылка 2" xfId="7080" hidden="1"/>
    <cellStyle name="Гиперссылка 2" xfId="7157" hidden="1"/>
    <cellStyle name="Гиперссылка 2" xfId="8439" hidden="1"/>
    <cellStyle name="Гиперссылка 2" xfId="8134" hidden="1"/>
    <cellStyle name="Гиперссылка 2" xfId="5848" hidden="1"/>
    <cellStyle name="Гиперссылка 2" xfId="8627" hidden="1"/>
    <cellStyle name="Гиперссылка 2" xfId="8118" hidden="1"/>
    <cellStyle name="Гиперссылка 2" xfId="8354" hidden="1"/>
    <cellStyle name="Гиперссылка 2" xfId="8450" hidden="1"/>
    <cellStyle name="Гиперссылка 2" xfId="4391" hidden="1"/>
    <cellStyle name="Гиперссылка 2" xfId="7529" hidden="1"/>
    <cellStyle name="Гиперссылка 2" xfId="8224" hidden="1"/>
    <cellStyle name="Гиперссылка 2" xfId="5170" hidden="1"/>
    <cellStyle name="Гиперссылка 2" xfId="4033" hidden="1"/>
    <cellStyle name="Гиперссылка 2" xfId="5687" hidden="1"/>
    <cellStyle name="Гиперссылка 2" xfId="4952" hidden="1"/>
    <cellStyle name="Гиперссылка 2" xfId="342" hidden="1"/>
    <cellStyle name="Гиперссылка 2" xfId="4030" hidden="1"/>
    <cellStyle name="Гиперссылка 2" xfId="4981" hidden="1"/>
    <cellStyle name="Гиперссылка 2" xfId="7647" hidden="1"/>
    <cellStyle name="Гиперссылка 2" xfId="4146" hidden="1"/>
    <cellStyle name="Гиперссылка 2" xfId="8316" hidden="1"/>
    <cellStyle name="Гиперссылка 2" xfId="5076" hidden="1"/>
    <cellStyle name="Гиперссылка 2" xfId="5340" hidden="1"/>
    <cellStyle name="Гиперссылка 2" xfId="6383" hidden="1"/>
    <cellStyle name="Гиперссылка 2" xfId="5518" hidden="1"/>
    <cellStyle name="Гиперссылка 2" xfId="339" hidden="1"/>
    <cellStyle name="Гиперссылка 2" xfId="7882" hidden="1"/>
    <cellStyle name="Гиперссылка 2" xfId="5928" hidden="1"/>
    <cellStyle name="Гиперссылка 2" xfId="7508" hidden="1"/>
    <cellStyle name="Гиперссылка 2" xfId="6901" hidden="1"/>
    <cellStyle name="Гиперссылка 2" xfId="8522" hidden="1"/>
    <cellStyle name="Гиперссылка 2" xfId="8320" hidden="1"/>
    <cellStyle name="Гиперссылка 2" xfId="7976" hidden="1"/>
    <cellStyle name="Гиперссылка 2" xfId="6505" hidden="1"/>
    <cellStyle name="Гиперссылка 2" xfId="8418" hidden="1"/>
    <cellStyle name="Гиперссылка 2" xfId="8609" hidden="1"/>
    <cellStyle name="Гиперссылка 2" xfId="4452" hidden="1"/>
    <cellStyle name="Гиперссылка 2" xfId="8201" hidden="1"/>
    <cellStyle name="Гиперссылка 2" xfId="5465" hidden="1"/>
    <cellStyle name="Гиперссылка 2" xfId="5694" hidden="1"/>
    <cellStyle name="Гиперссылка 2" xfId="7651" hidden="1"/>
    <cellStyle name="Гиперссылка 2" xfId="6414" hidden="1"/>
    <cellStyle name="Гиперссылка 2" xfId="8428" hidden="1"/>
    <cellStyle name="Гиперссылка 2" xfId="8216" hidden="1"/>
    <cellStyle name="Гиперссылка 2" xfId="7966" hidden="1"/>
    <cellStyle name="Гиперссылка 2" xfId="5451" hidden="1"/>
    <cellStyle name="Гиперссылка 2" xfId="8613" hidden="1"/>
    <cellStyle name="Гиперссылка 2" xfId="234" hidden="1"/>
    <cellStyle name="Гиперссылка 2" xfId="8432" hidden="1"/>
    <cellStyle name="Гиперссылка 2" xfId="8527" hidden="1"/>
    <cellStyle name="Гиперссылка 2" xfId="9177" hidden="1"/>
    <cellStyle name="Гиперссылка 2" xfId="9178" hidden="1"/>
    <cellStyle name="Гиперссылка 2" xfId="9472" hidden="1"/>
    <cellStyle name="Гиперссылка 2" xfId="9473" hidden="1"/>
    <cellStyle name="Гиперссылка 2" xfId="9334" hidden="1"/>
    <cellStyle name="Гиперссылка 2" xfId="9183" hidden="1"/>
    <cellStyle name="Гиперссылка 2" xfId="9438" hidden="1"/>
    <cellStyle name="Гиперссылка 2" xfId="9437" hidden="1"/>
    <cellStyle name="Гиперссылка 2" xfId="9627" hidden="1"/>
    <cellStyle name="Гиперссылка 2" xfId="9626" hidden="1"/>
    <cellStyle name="Гиперссылка 2" xfId="9660" hidden="1"/>
    <cellStyle name="Гиперссылка 2" xfId="9661" hidden="1"/>
    <cellStyle name="Гиперссылка 2" xfId="9666" hidden="1"/>
    <cellStyle name="Гиперссылка 2" xfId="9667" hidden="1"/>
    <cellStyle name="Гиперссылка 2" xfId="9663" hidden="1"/>
    <cellStyle name="Гиперссылка 2" xfId="9662" hidden="1"/>
    <cellStyle name="Гиперссылка 2" xfId="9665" hidden="1"/>
    <cellStyle name="Гиперссылка 2" xfId="9664" hidden="1"/>
    <cellStyle name="Гиперссылка 2" xfId="9669" hidden="1"/>
    <cellStyle name="Гиперссылка 2" xfId="9668" hidden="1"/>
    <cellStyle name="Гиперссылка 2" xfId="9671" hidden="1"/>
    <cellStyle name="Гиперссылка 2" xfId="9672" hidden="1"/>
    <cellStyle name="Гиперссылка 2" xfId="9677" hidden="1"/>
    <cellStyle name="Гиперссылка 2" xfId="9678" hidden="1"/>
    <cellStyle name="Гиперссылка 2" xfId="9674" hidden="1"/>
    <cellStyle name="Гиперссылка 2" xfId="9673" hidden="1"/>
    <cellStyle name="Гиперссылка 2" xfId="9676" hidden="1"/>
    <cellStyle name="Гиперссылка 2" xfId="9675" hidden="1"/>
    <cellStyle name="Гиперссылка 2" xfId="9680" hidden="1"/>
    <cellStyle name="Гиперссылка 2" xfId="9679" hidden="1"/>
    <cellStyle name="Гиперссылка 2" xfId="9681" hidden="1"/>
    <cellStyle name="Гиперссылка 2" xfId="9682" hidden="1"/>
    <cellStyle name="Гиперссылка 2" xfId="9687" hidden="1"/>
    <cellStyle name="Гиперссылка 2" xfId="9688" hidden="1"/>
    <cellStyle name="Гиперссылка 2" xfId="9684" hidden="1"/>
    <cellStyle name="Гиперссылка 2" xfId="9683" hidden="1"/>
    <cellStyle name="Гиперссылка 2" xfId="9686" hidden="1"/>
    <cellStyle name="Гиперссылка 2" xfId="9685" hidden="1"/>
    <cellStyle name="Гиперссылка 2" xfId="9690" hidden="1"/>
    <cellStyle name="Гиперссылка 2" xfId="9689" hidden="1"/>
    <cellStyle name="Гиперссылка 2" xfId="9801" hidden="1"/>
    <cellStyle name="Гиперссылка 2" xfId="9802" hidden="1"/>
    <cellStyle name="Гиперссылка 2" xfId="10122" hidden="1"/>
    <cellStyle name="Гиперссылка 2" xfId="10123" hidden="1"/>
    <cellStyle name="Гиперссылка 2" xfId="9948" hidden="1"/>
    <cellStyle name="Гиперссылка 2" xfId="9808" hidden="1"/>
    <cellStyle name="Гиперссылка 2" xfId="10080" hidden="1"/>
    <cellStyle name="Гиперссылка 2" xfId="10079" hidden="1"/>
    <cellStyle name="Гиперссылка 2" xfId="10272" hidden="1"/>
    <cellStyle name="Гиперссылка 2" xfId="10271" hidden="1"/>
    <cellStyle name="Гиперссылка 2" xfId="10312" hidden="1"/>
    <cellStyle name="Гиперссылка 2" xfId="10313" hidden="1"/>
    <cellStyle name="Гиперссылка 2" xfId="10319" hidden="1"/>
    <cellStyle name="Гиперссылка 2" xfId="10320" hidden="1"/>
    <cellStyle name="Гиперссылка 2" xfId="10316" hidden="1"/>
    <cellStyle name="Гиперссылка 2" xfId="10315" hidden="1"/>
    <cellStyle name="Гиперссылка 2" xfId="10318" hidden="1"/>
    <cellStyle name="Гиперссылка 2" xfId="10317" hidden="1"/>
    <cellStyle name="Гиперссылка 2" xfId="10322" hidden="1"/>
    <cellStyle name="Гиперссылка 2" xfId="10321" hidden="1"/>
    <cellStyle name="Гиперссылка 2" xfId="10325" hidden="1"/>
    <cellStyle name="Гиперссылка 2" xfId="10326" hidden="1"/>
    <cellStyle name="Гиперссылка 2" xfId="10331" hidden="1"/>
    <cellStyle name="Гиперссылка 2" xfId="10332" hidden="1"/>
    <cellStyle name="Гиперссылка 2" xfId="10328" hidden="1"/>
    <cellStyle name="Гиперссылка 2" xfId="10327" hidden="1"/>
    <cellStyle name="Гиперссылка 2" xfId="10330" hidden="1"/>
    <cellStyle name="Гиперссылка 2" xfId="10329" hidden="1"/>
    <cellStyle name="Гиперссылка 2" xfId="10334" hidden="1"/>
    <cellStyle name="Гиперссылка 2" xfId="10333" hidden="1"/>
    <cellStyle name="Гиперссылка 2" xfId="10335" hidden="1"/>
    <cellStyle name="Гиперссылка 2" xfId="10336" hidden="1"/>
    <cellStyle name="Гиперссылка 2" xfId="10341" hidden="1"/>
    <cellStyle name="Гиперссылка 2" xfId="10342" hidden="1"/>
    <cellStyle name="Гиперссылка 2" xfId="10338" hidden="1"/>
    <cellStyle name="Гиперссылка 2" xfId="10337" hidden="1"/>
    <cellStyle name="Гиперссылка 2" xfId="10340" hidden="1"/>
    <cellStyle name="Гиперссылка 2" xfId="10339" hidden="1"/>
    <cellStyle name="Гиперссылка 2" xfId="10344" hidden="1"/>
    <cellStyle name="Гиперссылка 2" xfId="10343" hidden="1"/>
    <cellStyle name="Гиперссылка 2" xfId="10116" hidden="1"/>
    <cellStyle name="Гиперссылка 2" xfId="9985" hidden="1"/>
    <cellStyle name="Гиперссылка 2" xfId="10138" hidden="1"/>
    <cellStyle name="Гиперссылка 2" xfId="9813" hidden="1"/>
    <cellStyle name="Гиперссылка 2" xfId="10184" hidden="1"/>
    <cellStyle name="Гиперссылка 2" xfId="10297" hidden="1"/>
    <cellStyle name="Гиперссылка 2" xfId="10038" hidden="1"/>
    <cellStyle name="Гиперссылка 2" xfId="10160" hidden="1"/>
    <cellStyle name="Гиперссылка 2" xfId="10468" hidden="1"/>
    <cellStyle name="Гиперссылка 2" xfId="10467" hidden="1"/>
    <cellStyle name="Гиперссылка 2" xfId="10507" hidden="1"/>
    <cellStyle name="Гиперссылка 2" xfId="10508" hidden="1"/>
    <cellStyle name="Гиперссылка 2" xfId="10514" hidden="1"/>
    <cellStyle name="Гиперссылка 2" xfId="10515" hidden="1"/>
    <cellStyle name="Гиперссылка 2" xfId="10511" hidden="1"/>
    <cellStyle name="Гиперссылка 2" xfId="10510" hidden="1"/>
    <cellStyle name="Гиперссылка 2" xfId="10513" hidden="1"/>
    <cellStyle name="Гиперссылка 2" xfId="10512" hidden="1"/>
    <cellStyle name="Гиперссылка 2" xfId="10517" hidden="1"/>
    <cellStyle name="Гиперссылка 2" xfId="10516" hidden="1"/>
    <cellStyle name="Гиперссылка 2" xfId="10520" hidden="1"/>
    <cellStyle name="Гиперссылка 2" xfId="10521" hidden="1"/>
    <cellStyle name="Гиперссылка 2" xfId="10526" hidden="1"/>
    <cellStyle name="Гиперссылка 2" xfId="10527" hidden="1"/>
    <cellStyle name="Гиперссылка 2" xfId="10523" hidden="1"/>
    <cellStyle name="Гиперссылка 2" xfId="10522" hidden="1"/>
    <cellStyle name="Гиперссылка 2" xfId="10525" hidden="1"/>
    <cellStyle name="Гиперссылка 2" xfId="10524" hidden="1"/>
    <cellStyle name="Гиперссылка 2" xfId="10529" hidden="1"/>
    <cellStyle name="Гиперссылка 2" xfId="10528" hidden="1"/>
    <cellStyle name="Гиперссылка 2" xfId="10530" hidden="1"/>
    <cellStyle name="Гиперссылка 2" xfId="10531" hidden="1"/>
    <cellStyle name="Гиперссылка 2" xfId="10536" hidden="1"/>
    <cellStyle name="Гиперссылка 2" xfId="10537" hidden="1"/>
    <cellStyle name="Гиперссылка 2" xfId="10533" hidden="1"/>
    <cellStyle name="Гиперссылка 2" xfId="10532" hidden="1"/>
    <cellStyle name="Гиперссылка 2" xfId="10535" hidden="1"/>
    <cellStyle name="Гиперссылка 2" xfId="10534" hidden="1"/>
    <cellStyle name="Гиперссылка 2" xfId="10539" hidden="1"/>
    <cellStyle name="Гиперссылка 2" xfId="10538" hidden="1"/>
    <cellStyle name="Гиперссылка 2" xfId="10161" hidden="1"/>
    <cellStyle name="Гиперссылка 2" xfId="9032" hidden="1"/>
    <cellStyle name="Гиперссылка 2" xfId="9075" hidden="1"/>
    <cellStyle name="Гиперссылка 2" xfId="9950" hidden="1"/>
    <cellStyle name="Гиперссылка 2" xfId="10380" hidden="1"/>
    <cellStyle name="Гиперссылка 2" xfId="10493" hidden="1"/>
    <cellStyle name="Гиперссылка 2" xfId="10110" hidden="1"/>
    <cellStyle name="Гиперссылка 2" xfId="10356" hidden="1"/>
    <cellStyle name="Гиперссылка 2" xfId="10661" hidden="1"/>
    <cellStyle name="Гиперссылка 2" xfId="10660" hidden="1"/>
    <cellStyle name="Гиперссылка 2" xfId="10700" hidden="1"/>
    <cellStyle name="Гиперссылка 2" xfId="10701" hidden="1"/>
    <cellStyle name="Гиперссылка 2" xfId="10707" hidden="1"/>
    <cellStyle name="Гиперссылка 2" xfId="10708" hidden="1"/>
    <cellStyle name="Гиперссылка 2" xfId="10704" hidden="1"/>
    <cellStyle name="Гиперссылка 2" xfId="10703" hidden="1"/>
    <cellStyle name="Гиперссылка 2" xfId="10706" hidden="1"/>
    <cellStyle name="Гиперссылка 2" xfId="10705" hidden="1"/>
    <cellStyle name="Гиперссылка 2" xfId="10710" hidden="1"/>
    <cellStyle name="Гиперссылка 2" xfId="10709" hidden="1"/>
    <cellStyle name="Гиперссылка 2" xfId="10713" hidden="1"/>
    <cellStyle name="Гиперссылка 2" xfId="10714" hidden="1"/>
    <cellStyle name="Гиперссылка 2" xfId="10719" hidden="1"/>
    <cellStyle name="Гиперссылка 2" xfId="10720" hidden="1"/>
    <cellStyle name="Гиперссылка 2" xfId="10716" hidden="1"/>
    <cellStyle name="Гиперссылка 2" xfId="10715" hidden="1"/>
    <cellStyle name="Гиперссылка 2" xfId="10718" hidden="1"/>
    <cellStyle name="Гиперссылка 2" xfId="10717" hidden="1"/>
    <cellStyle name="Гиперссылка 2" xfId="10722" hidden="1"/>
    <cellStyle name="Гиперссылка 2" xfId="10721" hidden="1"/>
    <cellStyle name="Гиперссылка 2" xfId="10723" hidden="1"/>
    <cellStyle name="Гиперссылка 2" xfId="10724" hidden="1"/>
    <cellStyle name="Гиперссылка 2" xfId="10729" hidden="1"/>
    <cellStyle name="Гиперссылка 2" xfId="10730" hidden="1"/>
    <cellStyle name="Гиперссылка 2" xfId="10726" hidden="1"/>
    <cellStyle name="Гиперссылка 2" xfId="10725" hidden="1"/>
    <cellStyle name="Гиперссылка 2" xfId="10728" hidden="1"/>
    <cellStyle name="Гиперссылка 2" xfId="10727" hidden="1"/>
    <cellStyle name="Гиперссылка 2" xfId="10732" hidden="1"/>
    <cellStyle name="Гиперссылка 2" xfId="10731" hidden="1"/>
    <cellStyle name="Гиперссылка 2" xfId="10357" hidden="1"/>
    <cellStyle name="Гиперссылка 2" xfId="9089" hidden="1"/>
    <cellStyle name="Гиперссылка 2" xfId="9960" hidden="1"/>
    <cellStyle name="Гиперссылка 2" xfId="9100" hidden="1"/>
    <cellStyle name="Гиперссылка 2" xfId="10574" hidden="1"/>
    <cellStyle name="Гиперссылка 2" xfId="10686" hidden="1"/>
    <cellStyle name="Гиперссылка 2" xfId="10009" hidden="1"/>
    <cellStyle name="Гиперссылка 2" xfId="10551" hidden="1"/>
    <cellStyle name="Гиперссылка 2" xfId="10851" hidden="1"/>
    <cellStyle name="Гиперссылка 2" xfId="10850" hidden="1"/>
    <cellStyle name="Гиперссылка 2" xfId="10890" hidden="1"/>
    <cellStyle name="Гиперссылка 2" xfId="10891" hidden="1"/>
    <cellStyle name="Гиперссылка 2" xfId="10897" hidden="1"/>
    <cellStyle name="Гиперссылка 2" xfId="10898" hidden="1"/>
    <cellStyle name="Гиперссылка 2" xfId="10894" hidden="1"/>
    <cellStyle name="Гиперссылка 2" xfId="10893" hidden="1"/>
    <cellStyle name="Гиперссылка 2" xfId="10896" hidden="1"/>
    <cellStyle name="Гиперссылка 2" xfId="10895" hidden="1"/>
    <cellStyle name="Гиперссылка 2" xfId="10900" hidden="1"/>
    <cellStyle name="Гиперссылка 2" xfId="10899" hidden="1"/>
    <cellStyle name="Гиперссылка 2" xfId="10903" hidden="1"/>
    <cellStyle name="Гиперссылка 2" xfId="10904" hidden="1"/>
    <cellStyle name="Гиперссылка 2" xfId="10909" hidden="1"/>
    <cellStyle name="Гиперссылка 2" xfId="10910" hidden="1"/>
    <cellStyle name="Гиперссылка 2" xfId="10906" hidden="1"/>
    <cellStyle name="Гиперссылка 2" xfId="10905" hidden="1"/>
    <cellStyle name="Гиперссылка 2" xfId="10908" hidden="1"/>
    <cellStyle name="Гиперссылка 2" xfId="10907" hidden="1"/>
    <cellStyle name="Гиперссылка 2" xfId="10912" hidden="1"/>
    <cellStyle name="Гиперссылка 2" xfId="10911" hidden="1"/>
    <cellStyle name="Гиперссылка 2" xfId="10913" hidden="1"/>
    <cellStyle name="Гиперссылка 2" xfId="10914" hidden="1"/>
    <cellStyle name="Гиперссылка 2" xfId="10919" hidden="1"/>
    <cellStyle name="Гиперссылка 2" xfId="10920" hidden="1"/>
    <cellStyle name="Гиперссылка 2" xfId="10916" hidden="1"/>
    <cellStyle name="Гиперссылка 2" xfId="10915" hidden="1"/>
    <cellStyle name="Гиперссылка 2" xfId="10918" hidden="1"/>
    <cellStyle name="Гиперссылка 2" xfId="10917" hidden="1"/>
    <cellStyle name="Гиперссылка 2" xfId="10922" hidden="1"/>
    <cellStyle name="Гиперссылка 2" xfId="10921" hidden="1"/>
    <cellStyle name="Гиперссылка 2" xfId="10552" hidden="1"/>
    <cellStyle name="Гиперссылка 2" xfId="9976" hidden="1"/>
    <cellStyle name="Гиперссылка 2" xfId="9776" hidden="1"/>
    <cellStyle name="Гиперссылка 2" xfId="9959" hidden="1"/>
    <cellStyle name="Гиперссылка 2" xfId="10766" hidden="1"/>
    <cellStyle name="Гиперссылка 2" xfId="10876" hidden="1"/>
    <cellStyle name="Гиперссылка 2" xfId="9772" hidden="1"/>
    <cellStyle name="Гиперссылка 2" xfId="10744" hidden="1"/>
    <cellStyle name="Гиперссылка 2" xfId="11034" hidden="1"/>
    <cellStyle name="Гиперссылка 2" xfId="11033" hidden="1"/>
    <cellStyle name="Гиперссылка 2" xfId="11071" hidden="1"/>
    <cellStyle name="Гиперссылка 2" xfId="11072" hidden="1"/>
    <cellStyle name="Гиперссылка 2" xfId="11078" hidden="1"/>
    <cellStyle name="Гиперссылка 2" xfId="11079" hidden="1"/>
    <cellStyle name="Гиперссылка 2" xfId="11075" hidden="1"/>
    <cellStyle name="Гиперссылка 2" xfId="11074" hidden="1"/>
    <cellStyle name="Гиперссылка 2" xfId="11077" hidden="1"/>
    <cellStyle name="Гиперссылка 2" xfId="11076" hidden="1"/>
    <cellStyle name="Гиперссылка 2" xfId="11081" hidden="1"/>
    <cellStyle name="Гиперссылка 2" xfId="11080" hidden="1"/>
    <cellStyle name="Гиперссылка 2" xfId="11084" hidden="1"/>
    <cellStyle name="Гиперссылка 2" xfId="11085" hidden="1"/>
    <cellStyle name="Гиперссылка 2" xfId="11090" hidden="1"/>
    <cellStyle name="Гиперссылка 2" xfId="11091" hidden="1"/>
    <cellStyle name="Гиперссылка 2" xfId="11087" hidden="1"/>
    <cellStyle name="Гиперссылка 2" xfId="11086" hidden="1"/>
    <cellStyle name="Гиперссылка 2" xfId="11089" hidden="1"/>
    <cellStyle name="Гиперссылка 2" xfId="11088" hidden="1"/>
    <cellStyle name="Гиперссылка 2" xfId="11093" hidden="1"/>
    <cellStyle name="Гиперссылка 2" xfId="11092" hidden="1"/>
    <cellStyle name="Гиперссылка 2" xfId="11094" hidden="1"/>
    <cellStyle name="Гиперссылка 2" xfId="11095" hidden="1"/>
    <cellStyle name="Гиперссылка 2" xfId="11100" hidden="1"/>
    <cellStyle name="Гиперссылка 2" xfId="11101" hidden="1"/>
    <cellStyle name="Гиперссылка 2" xfId="11097" hidden="1"/>
    <cellStyle name="Гиперссылка 2" xfId="11096" hidden="1"/>
    <cellStyle name="Гиперссылка 2" xfId="11099" hidden="1"/>
    <cellStyle name="Гиперссылка 2" xfId="11098" hidden="1"/>
    <cellStyle name="Гиперссылка 2" xfId="11103" hidden="1"/>
    <cellStyle name="Гиперссылка 2" xfId="11102" hidden="1"/>
    <cellStyle name="Гиперссылка 2" xfId="10745" hidden="1"/>
    <cellStyle name="Гиперссылка 2" xfId="10052" hidden="1"/>
    <cellStyle name="Гиперссылка 2" xfId="10178" hidden="1"/>
    <cellStyle name="Гиперссылка 2" xfId="9789" hidden="1"/>
    <cellStyle name="Гиперссылка 2" xfId="10954" hidden="1"/>
    <cellStyle name="Гиперссылка 2" xfId="11058" hidden="1"/>
    <cellStyle name="Гиперссылка 2" xfId="10223" hidden="1"/>
    <cellStyle name="Гиперссылка 2" xfId="10934" hidden="1"/>
    <cellStyle name="Гиперссылка 2" xfId="11209" hidden="1"/>
    <cellStyle name="Гиперссылка 2" xfId="11208" hidden="1"/>
    <cellStyle name="Гиперссылка 2" xfId="11244" hidden="1"/>
    <cellStyle name="Гиперссылка 2" xfId="11245" hidden="1"/>
    <cellStyle name="Гиперссылка 2" xfId="11251" hidden="1"/>
    <cellStyle name="Гиперссылка 2" xfId="11252" hidden="1"/>
    <cellStyle name="Гиперссылка 2" xfId="11248" hidden="1"/>
    <cellStyle name="Гиперссылка 2" xfId="11247" hidden="1"/>
    <cellStyle name="Гиперссылка 2" xfId="11250" hidden="1"/>
    <cellStyle name="Гиперссылка 2" xfId="11249" hidden="1"/>
    <cellStyle name="Гиперссылка 2" xfId="11254" hidden="1"/>
    <cellStyle name="Гиперссылка 2" xfId="11253" hidden="1"/>
    <cellStyle name="Гиперссылка 2" xfId="11257" hidden="1"/>
    <cellStyle name="Гиперссылка 2" xfId="11258" hidden="1"/>
    <cellStyle name="Гиперссылка 2" xfId="11263" hidden="1"/>
    <cellStyle name="Гиперссылка 2" xfId="11264" hidden="1"/>
    <cellStyle name="Гиперссылка 2" xfId="11260" hidden="1"/>
    <cellStyle name="Гиперссылка 2" xfId="11259" hidden="1"/>
    <cellStyle name="Гиперссылка 2" xfId="11262" hidden="1"/>
    <cellStyle name="Гиперссылка 2" xfId="11261" hidden="1"/>
    <cellStyle name="Гиперссылка 2" xfId="11266" hidden="1"/>
    <cellStyle name="Гиперссылка 2" xfId="11265" hidden="1"/>
    <cellStyle name="Гиперссылка 2" xfId="11267" hidden="1"/>
    <cellStyle name="Гиперссылка 2" xfId="11268" hidden="1"/>
    <cellStyle name="Гиперссылка 2" xfId="11273" hidden="1"/>
    <cellStyle name="Гиперссылка 2" xfId="11274" hidden="1"/>
    <cellStyle name="Гиперссылка 2" xfId="11270" hidden="1"/>
    <cellStyle name="Гиперссылка 2" xfId="11269" hidden="1"/>
    <cellStyle name="Гиперссылка 2" xfId="11272" hidden="1"/>
    <cellStyle name="Гиперссылка 2" xfId="11271" hidden="1"/>
    <cellStyle name="Гиперссылка 2" xfId="11276" hidden="1"/>
    <cellStyle name="Гиперссылка 2" xfId="11275" hidden="1"/>
    <cellStyle name="Гиперссылка 2" xfId="10935" hidden="1"/>
    <cellStyle name="Гиперссылка 2" xfId="9145" hidden="1"/>
    <cellStyle name="Гиперссылка 2" xfId="10374" hidden="1"/>
    <cellStyle name="Гиперссылка 2" xfId="9809" hidden="1"/>
    <cellStyle name="Гиперссылка 2" xfId="11134" hidden="1"/>
    <cellStyle name="Гиперссылка 2" xfId="11232" hidden="1"/>
    <cellStyle name="Гиперссылка 2" xfId="10419" hidden="1"/>
    <cellStyle name="Гиперссылка 2" xfId="11115" hidden="1"/>
    <cellStyle name="Гиперссылка 2" xfId="11375" hidden="1"/>
    <cellStyle name="Гиперссылка 2" xfId="11374" hidden="1"/>
    <cellStyle name="Гиперссылка 2" xfId="11405" hidden="1"/>
    <cellStyle name="Гиперссылка 2" xfId="11406" hidden="1"/>
    <cellStyle name="Гиперссылка 2" xfId="11412" hidden="1"/>
    <cellStyle name="Гиперссылка 2" xfId="11413" hidden="1"/>
    <cellStyle name="Гиперссылка 2" xfId="11409" hidden="1"/>
    <cellStyle name="Гиперссылка 2" xfId="11408" hidden="1"/>
    <cellStyle name="Гиперссылка 2" xfId="11411" hidden="1"/>
    <cellStyle name="Гиперссылка 2" xfId="11410" hidden="1"/>
    <cellStyle name="Гиперссылка 2" xfId="11415" hidden="1"/>
    <cellStyle name="Гиперссылка 2" xfId="11414" hidden="1"/>
    <cellStyle name="Гиперссылка 2" xfId="11418" hidden="1"/>
    <cellStyle name="Гиперссылка 2" xfId="11419" hidden="1"/>
    <cellStyle name="Гиперссылка 2" xfId="11424" hidden="1"/>
    <cellStyle name="Гиперссылка 2" xfId="11425" hidden="1"/>
    <cellStyle name="Гиперссылка 2" xfId="11421" hidden="1"/>
    <cellStyle name="Гиперссылка 2" xfId="11420" hidden="1"/>
    <cellStyle name="Гиперссылка 2" xfId="11423" hidden="1"/>
    <cellStyle name="Гиперссылка 2" xfId="11422" hidden="1"/>
    <cellStyle name="Гиперссылка 2" xfId="11427" hidden="1"/>
    <cellStyle name="Гиперссылка 2" xfId="11426" hidden="1"/>
    <cellStyle name="Гиперссылка 2" xfId="11428" hidden="1"/>
    <cellStyle name="Гиперссылка 2" xfId="11429" hidden="1"/>
    <cellStyle name="Гиперссылка 2" xfId="11434" hidden="1"/>
    <cellStyle name="Гиперссылка 2" xfId="11435" hidden="1"/>
    <cellStyle name="Гиперссылка 2" xfId="11431" hidden="1"/>
    <cellStyle name="Гиперссылка 2" xfId="11430" hidden="1"/>
    <cellStyle name="Гиперссылка 2" xfId="11433" hidden="1"/>
    <cellStyle name="Гиперссылка 2" xfId="11432" hidden="1"/>
    <cellStyle name="Гиперссылка 2" xfId="11437" hidden="1"/>
    <cellStyle name="Гиперссылка 2" xfId="11436" hidden="1"/>
    <cellStyle name="Гиперссылка 2" xfId="11116" hidden="1"/>
    <cellStyle name="Гиперссылка 2" xfId="9756" hidden="1"/>
    <cellStyle name="Гиперссылка 2" xfId="10568" hidden="1"/>
    <cellStyle name="Гиперссылка 2" xfId="10246" hidden="1"/>
    <cellStyle name="Гиперссылка 2" xfId="11306" hidden="1"/>
    <cellStyle name="Гиперссылка 2" xfId="11395" hidden="1"/>
    <cellStyle name="Гиперссылка 2" xfId="10612" hidden="1"/>
    <cellStyle name="Гиперссылка 2" xfId="11287" hidden="1"/>
    <cellStyle name="Гиперссылка 2" xfId="11524" hidden="1"/>
    <cellStyle name="Гиперссылка 2" xfId="11523" hidden="1"/>
    <cellStyle name="Гиперссылка 2" xfId="11553" hidden="1"/>
    <cellStyle name="Гиперссылка 2" xfId="11554" hidden="1"/>
    <cellStyle name="Гиперссылка 2" xfId="11560" hidden="1"/>
    <cellStyle name="Гиперссылка 2" xfId="11561" hidden="1"/>
    <cellStyle name="Гиперссылка 2" xfId="11557" hidden="1"/>
    <cellStyle name="Гиперссылка 2" xfId="11556" hidden="1"/>
    <cellStyle name="Гиперссылка 2" xfId="11559" hidden="1"/>
    <cellStyle name="Гиперссылка 2" xfId="11558" hidden="1"/>
    <cellStyle name="Гиперссылка 2" xfId="11563" hidden="1"/>
    <cellStyle name="Гиперссылка 2" xfId="11562" hidden="1"/>
    <cellStyle name="Гиперссылка 2" xfId="11566" hidden="1"/>
    <cellStyle name="Гиперссылка 2" xfId="11567" hidden="1"/>
    <cellStyle name="Гиперссылка 2" xfId="11572" hidden="1"/>
    <cellStyle name="Гиперссылка 2" xfId="11573" hidden="1"/>
    <cellStyle name="Гиперссылка 2" xfId="11569" hidden="1"/>
    <cellStyle name="Гиперссылка 2" xfId="11568" hidden="1"/>
    <cellStyle name="Гиперссылка 2" xfId="11571" hidden="1"/>
    <cellStyle name="Гиперссылка 2" xfId="11570" hidden="1"/>
    <cellStyle name="Гиперссылка 2" xfId="11575" hidden="1"/>
    <cellStyle name="Гиперссылка 2" xfId="11574" hidden="1"/>
    <cellStyle name="Гиперссылка 2" xfId="11576" hidden="1"/>
    <cellStyle name="Гиперссылка 2" xfId="11577" hidden="1"/>
    <cellStyle name="Гиперссылка 2" xfId="11582" hidden="1"/>
    <cellStyle name="Гиперссылка 2" xfId="11583" hidden="1"/>
    <cellStyle name="Гиперссылка 2" xfId="11579" hidden="1"/>
    <cellStyle name="Гиперссылка 2" xfId="11578" hidden="1"/>
    <cellStyle name="Гиперссылка 2" xfId="11581" hidden="1"/>
    <cellStyle name="Гиперссылка 2" xfId="11580" hidden="1"/>
    <cellStyle name="Гиперссылка 2" xfId="11585" hidden="1"/>
    <cellStyle name="Гиперссылка 2" xfId="11584" hidden="1"/>
    <cellStyle name="Гиперссылка 2" xfId="11288" hidden="1"/>
    <cellStyle name="Гиперссылка 2" xfId="10197" hidden="1"/>
    <cellStyle name="Гиперссылка 2" xfId="10760" hidden="1"/>
    <cellStyle name="Гиперссылка 2" xfId="10442" hidden="1"/>
    <cellStyle name="Гиперссылка 2" xfId="11462" hidden="1"/>
    <cellStyle name="Гиперссылка 2" xfId="11543" hidden="1"/>
    <cellStyle name="Гиперссылка 2" xfId="10803" hidden="1"/>
    <cellStyle name="Гиперссылка 2" xfId="11447" hidden="1"/>
    <cellStyle name="Гиперссылка 2" xfId="11661" hidden="1"/>
    <cellStyle name="Гиперссылка 2" xfId="11660" hidden="1"/>
    <cellStyle name="Гиперссылка 2" xfId="11687" hidden="1"/>
    <cellStyle name="Гиперссылка 2" xfId="11688" hidden="1"/>
    <cellStyle name="Гиперссылка 2" xfId="11694" hidden="1"/>
    <cellStyle name="Гиперссылка 2" xfId="11695" hidden="1"/>
    <cellStyle name="Гиперссылка 2" xfId="11691" hidden="1"/>
    <cellStyle name="Гиперссылка 2" xfId="11690" hidden="1"/>
    <cellStyle name="Гиперссылка 2" xfId="11693" hidden="1"/>
    <cellStyle name="Гиперссылка 2" xfId="11692" hidden="1"/>
    <cellStyle name="Гиперссылка 2" xfId="11697" hidden="1"/>
    <cellStyle name="Гиперссылка 2" xfId="11696" hidden="1"/>
    <cellStyle name="Гиперссылка 2" xfId="11699" hidden="1"/>
    <cellStyle name="Гиперссылка 2" xfId="11700" hidden="1"/>
    <cellStyle name="Гиперссылка 2" xfId="11705" hidden="1"/>
    <cellStyle name="Гиперссылка 2" xfId="11706" hidden="1"/>
    <cellStyle name="Гиперссылка 2" xfId="11702" hidden="1"/>
    <cellStyle name="Гиперссылка 2" xfId="11701" hidden="1"/>
    <cellStyle name="Гиперссылка 2" xfId="11704" hidden="1"/>
    <cellStyle name="Гиперссылка 2" xfId="11703" hidden="1"/>
    <cellStyle name="Гиперссылка 2" xfId="11708" hidden="1"/>
    <cellStyle name="Гиперссылка 2" xfId="11707" hidden="1"/>
    <cellStyle name="Гиперссылка 2" xfId="11709" hidden="1"/>
    <cellStyle name="Гиперссылка 2" xfId="11710" hidden="1"/>
    <cellStyle name="Гиперссылка 2" xfId="11715" hidden="1"/>
    <cellStyle name="Гиперссылка 2" xfId="11716" hidden="1"/>
    <cellStyle name="Гиперссылка 2" xfId="11712" hidden="1"/>
    <cellStyle name="Гиперссылка 2" xfId="11711" hidden="1"/>
    <cellStyle name="Гиперссылка 2" xfId="11714" hidden="1"/>
    <cellStyle name="Гиперссылка 2" xfId="11713" hidden="1"/>
    <cellStyle name="Гиперссылка 2" xfId="11718" hidden="1"/>
    <cellStyle name="Гиперссылка 2" xfId="11717" hidden="1"/>
    <cellStyle name="Гиперссылка 2" xfId="11448" hidden="1"/>
    <cellStyle name="Гиперссылка 2" xfId="10393" hidden="1"/>
    <cellStyle name="Гиперссылка 2" xfId="10948" hidden="1"/>
    <cellStyle name="Гиперссылка 2" xfId="10635" hidden="1"/>
    <cellStyle name="Гиперссылка 2" xfId="11607" hidden="1"/>
    <cellStyle name="Гиперссылка 2" xfId="11678" hidden="1"/>
    <cellStyle name="Гиперссылка 2" xfId="10989" hidden="1"/>
    <cellStyle name="Гиперссылка 2" xfId="11594" hidden="1"/>
    <cellStyle name="Гиперссылка 2" xfId="11781" hidden="1"/>
    <cellStyle name="Гиперссылка 2" xfId="11780" hidden="1"/>
    <cellStyle name="Гиперссылка 2" xfId="11804" hidden="1"/>
    <cellStyle name="Гиперссылка 2" xfId="11805" hidden="1"/>
    <cellStyle name="Гиперссылка 2" xfId="11811" hidden="1"/>
    <cellStyle name="Гиперссылка 2" xfId="11812" hidden="1"/>
    <cellStyle name="Гиперссылка 2" xfId="11808" hidden="1"/>
    <cellStyle name="Гиперссылка 2" xfId="11807" hidden="1"/>
    <cellStyle name="Гиперссылка 2" xfId="11810" hidden="1"/>
    <cellStyle name="Гиперссылка 2" xfId="11809" hidden="1"/>
    <cellStyle name="Гиперссылка 2" xfId="11814" hidden="1"/>
    <cellStyle name="Гиперссылка 2" xfId="11813" hidden="1"/>
    <cellStyle name="Гиперссылка 2" xfId="11816" hidden="1"/>
    <cellStyle name="Гиперссылка 2" xfId="11817" hidden="1"/>
    <cellStyle name="Гиперссылка 2" xfId="11822" hidden="1"/>
    <cellStyle name="Гиперссылка 2" xfId="11823" hidden="1"/>
    <cellStyle name="Гиперссылка 2" xfId="11819" hidden="1"/>
    <cellStyle name="Гиперссылка 2" xfId="11818" hidden="1"/>
    <cellStyle name="Гиперссылка 2" xfId="11821" hidden="1"/>
    <cellStyle name="Гиперссылка 2" xfId="11820" hidden="1"/>
    <cellStyle name="Гиперссылка 2" xfId="11825" hidden="1"/>
    <cellStyle name="Гиперссылка 2" xfId="11824" hidden="1"/>
    <cellStyle name="Гиперссылка 2" xfId="11826" hidden="1"/>
    <cellStyle name="Гиперссылка 2" xfId="11827" hidden="1"/>
    <cellStyle name="Гиперссылка 2" xfId="11832" hidden="1"/>
    <cellStyle name="Гиперссылка 2" xfId="11833" hidden="1"/>
    <cellStyle name="Гиперссылка 2" xfId="11829" hidden="1"/>
    <cellStyle name="Гиперссылка 2" xfId="11828" hidden="1"/>
    <cellStyle name="Гиперссылка 2" xfId="11831" hidden="1"/>
    <cellStyle name="Гиперссылка 2" xfId="11830" hidden="1"/>
    <cellStyle name="Гиперссылка 2" xfId="11835" hidden="1"/>
    <cellStyle name="Гиперссылка 2" xfId="11834" hidden="1"/>
    <cellStyle name="Гиперссылка 2" xfId="11595" hidden="1"/>
    <cellStyle name="Гиперссылка 2" xfId="10586" hidden="1"/>
    <cellStyle name="Гиперссылка 2" xfId="11129" hidden="1"/>
    <cellStyle name="Гиперссылка 2" xfId="10825" hidden="1"/>
    <cellStyle name="Гиперссылка 2" xfId="11735" hidden="1"/>
    <cellStyle name="Гиперссылка 2" xfId="11797" hidden="1"/>
    <cellStyle name="Гиперссылка 2" xfId="11167" hidden="1"/>
    <cellStyle name="Гиперссылка 2" xfId="11725" hidden="1"/>
    <cellStyle name="Гиперссылка 2" xfId="11876" hidden="1"/>
    <cellStyle name="Гиперссылка 2" xfId="11875" hidden="1"/>
    <cellStyle name="Гиперссылка 2" xfId="11891" hidden="1"/>
    <cellStyle name="Гиперссылка 2" xfId="11892" hidden="1"/>
    <cellStyle name="Гиперссылка 2" xfId="11898" hidden="1"/>
    <cellStyle name="Гиперссылка 2" xfId="11899" hidden="1"/>
    <cellStyle name="Гиперссылка 2" xfId="11895" hidden="1"/>
    <cellStyle name="Гиперссылка 2" xfId="11894" hidden="1"/>
    <cellStyle name="Гиперссылка 2" xfId="11897" hidden="1"/>
    <cellStyle name="Гиперссылка 2" xfId="11896" hidden="1"/>
    <cellStyle name="Гиперссылка 2" xfId="11901" hidden="1"/>
    <cellStyle name="Гиперссылка 2" xfId="11900" hidden="1"/>
    <cellStyle name="Гиперссылка 2" xfId="11902" hidden="1"/>
    <cellStyle name="Гиперссылка 2" xfId="11903" hidden="1"/>
    <cellStyle name="Гиперссылка 2" xfId="11908" hidden="1"/>
    <cellStyle name="Гиперссылка 2" xfId="11909" hidden="1"/>
    <cellStyle name="Гиперссылка 2" xfId="11905" hidden="1"/>
    <cellStyle name="Гиперссылка 2" xfId="11904" hidden="1"/>
    <cellStyle name="Гиперссылка 2" xfId="11907" hidden="1"/>
    <cellStyle name="Гиперссылка 2" xfId="11906" hidden="1"/>
    <cellStyle name="Гиперссылка 2" xfId="11911" hidden="1"/>
    <cellStyle name="Гиперссылка 2" xfId="11910" hidden="1"/>
    <cellStyle name="Гиперссылка 2" xfId="11912" hidden="1"/>
    <cellStyle name="Гиперссылка 2" xfId="11913" hidden="1"/>
    <cellStyle name="Гиперссылка 2" xfId="11918" hidden="1"/>
    <cellStyle name="Гиперссылка 2" xfId="11919" hidden="1"/>
    <cellStyle name="Гиперссылка 2" xfId="11915" hidden="1"/>
    <cellStyle name="Гиперссылка 2" xfId="11914" hidden="1"/>
    <cellStyle name="Гиперссылка 2" xfId="11917" hidden="1"/>
    <cellStyle name="Гиперссылка 2" xfId="11916" hidden="1"/>
    <cellStyle name="Гиперссылка 2" xfId="11921" hidden="1"/>
    <cellStyle name="Гиперссылка 2" xfId="11920" hidden="1"/>
    <cellStyle name="Гиперссылка 2" xfId="11726" hidden="1"/>
    <cellStyle name="Гиперссылка 2" xfId="10778" hidden="1"/>
    <cellStyle name="Гиперссылка 2" xfId="11301" hidden="1"/>
    <cellStyle name="Гиперссылка 2" xfId="11009" hidden="1"/>
    <cellStyle name="Гиперссылка 2" xfId="11843" hidden="1"/>
    <cellStyle name="Гиперссылка 2" xfId="11888" hidden="1"/>
    <cellStyle name="Гиперссылка 2" xfId="11336" hidden="1"/>
    <cellStyle name="Гиперссылка 2" xfId="11839" hidden="1"/>
    <cellStyle name="Гиперссылка 2" xfId="11923" hidden="1"/>
    <cellStyle name="Гиперссылка 2" xfId="11922" hidden="1"/>
    <cellStyle name="Гиперссылка 2" xfId="11924" hidden="1"/>
    <cellStyle name="Гиперссылка 2" xfId="11925" hidden="1"/>
    <cellStyle name="Гиперссылка 2" xfId="11930" hidden="1"/>
    <cellStyle name="Гиперссылка 2" xfId="11931" hidden="1"/>
    <cellStyle name="Гиперссылка 2" xfId="11927" hidden="1"/>
    <cellStyle name="Гиперссылка 2" xfId="11926" hidden="1"/>
    <cellStyle name="Гиперссылка 2" xfId="11929" hidden="1"/>
    <cellStyle name="Гиперссылка 2" xfId="11928" hidden="1"/>
    <cellStyle name="Гиперссылка 2" xfId="11933" hidden="1"/>
    <cellStyle name="Гиперссылка 2" xfId="11932" hidden="1"/>
    <cellStyle name="Гиперссылка 2" xfId="11934" hidden="1"/>
    <cellStyle name="Гиперссылка 2" xfId="11935" hidden="1"/>
    <cellStyle name="Гиперссылка 2" xfId="11940" hidden="1"/>
    <cellStyle name="Гиперссылка 2" xfId="11941" hidden="1"/>
    <cellStyle name="Гиперссылка 2" xfId="11937" hidden="1"/>
    <cellStyle name="Гиперссылка 2" xfId="11936" hidden="1"/>
    <cellStyle name="Гиперссылка 2" xfId="11939" hidden="1"/>
    <cellStyle name="Гиперссылка 2" xfId="11938" hidden="1"/>
    <cellStyle name="Гиперссылка 2" xfId="11943" hidden="1"/>
    <cellStyle name="Гиперссылка 2" xfId="11942" hidden="1"/>
    <cellStyle name="Гиперссылка 2" xfId="11944" hidden="1"/>
    <cellStyle name="Гиперссылка 2" xfId="11945" hidden="1"/>
    <cellStyle name="Гиперссылка 2" xfId="11950" hidden="1"/>
    <cellStyle name="Гиперссылка 2" xfId="11951" hidden="1"/>
    <cellStyle name="Гиперссылка 2" xfId="11947" hidden="1"/>
    <cellStyle name="Гиперссылка 2" xfId="11946" hidden="1"/>
    <cellStyle name="Гиперссылка 2" xfId="11949" hidden="1"/>
    <cellStyle name="Гиперссылка 2" xfId="11948" hidden="1"/>
    <cellStyle name="Гиперссылка 2" xfId="11953" hidden="1"/>
    <cellStyle name="Гиперссылка 2" xfId="11952" hidden="1"/>
    <cellStyle name="Гиперссылка 2" xfId="12032" hidden="1"/>
    <cellStyle name="Гиперссылка 2" xfId="12033" hidden="1"/>
    <cellStyle name="Гиперссылка 2" xfId="12168" hidden="1"/>
    <cellStyle name="Гиперссылка 2" xfId="12169" hidden="1"/>
    <cellStyle name="Гиперссылка 2" xfId="12090" hidden="1"/>
    <cellStyle name="Гиперссылка 2" xfId="12036" hidden="1"/>
    <cellStyle name="Гиперссылка 2" xfId="12149" hidden="1"/>
    <cellStyle name="Гиперссылка 2" xfId="12148" hidden="1"/>
    <cellStyle name="Гиперссылка 2" xfId="12224" hidden="1"/>
    <cellStyle name="Гиперссылка 2" xfId="12223" hidden="1"/>
    <cellStyle name="Гиперссылка 2" xfId="12239" hidden="1"/>
    <cellStyle name="Гиперссылка 2" xfId="12240" hidden="1"/>
    <cellStyle name="Гиперссылка 2" xfId="12246" hidden="1"/>
    <cellStyle name="Гиперссылка 2" xfId="12247" hidden="1"/>
    <cellStyle name="Гиперссылка 2" xfId="12243" hidden="1"/>
    <cellStyle name="Гиперссылка 2" xfId="12242" hidden="1"/>
    <cellStyle name="Гиперссылка 2" xfId="12245" hidden="1"/>
    <cellStyle name="Гиперссылка 2" xfId="12244" hidden="1"/>
    <cellStyle name="Гиперссылка 2" xfId="12249" hidden="1"/>
    <cellStyle name="Гиперссылка 2" xfId="12248" hidden="1"/>
    <cellStyle name="Гиперссылка 2" xfId="12250" hidden="1"/>
    <cellStyle name="Гиперссылка 2" xfId="12251" hidden="1"/>
    <cellStyle name="Гиперссылка 2" xfId="12256" hidden="1"/>
    <cellStyle name="Гиперссылка 2" xfId="12257" hidden="1"/>
    <cellStyle name="Гиперссылка 2" xfId="12253" hidden="1"/>
    <cellStyle name="Гиперссылка 2" xfId="12252" hidden="1"/>
    <cellStyle name="Гиперссылка 2" xfId="12255" hidden="1"/>
    <cellStyle name="Гиперссылка 2" xfId="12254" hidden="1"/>
    <cellStyle name="Гиперссылка 2" xfId="12259" hidden="1"/>
    <cellStyle name="Гиперссылка 2" xfId="12258" hidden="1"/>
    <cellStyle name="Гиперссылка 2" xfId="12260" hidden="1"/>
    <cellStyle name="Гиперссылка 2" xfId="12261" hidden="1"/>
    <cellStyle name="Гиперссылка 2" xfId="12266" hidden="1"/>
    <cellStyle name="Гиперссылка 2" xfId="12267" hidden="1"/>
    <cellStyle name="Гиперссылка 2" xfId="12263" hidden="1"/>
    <cellStyle name="Гиперссылка 2" xfId="12262" hidden="1"/>
    <cellStyle name="Гиперссылка 2" xfId="12265" hidden="1"/>
    <cellStyle name="Гиперссылка 2" xfId="12264" hidden="1"/>
    <cellStyle name="Гиперссылка 2" xfId="12269" hidden="1"/>
    <cellStyle name="Гиперссылка 2" xfId="12268" hidden="1"/>
    <cellStyle name="Гиперссылка 2" xfId="12316" hidden="1"/>
    <cellStyle name="Гиперссылка 2" xfId="12317" hidden="1"/>
    <cellStyle name="Гиперссылка 2" xfId="12430" hidden="1"/>
    <cellStyle name="Гиперссылка 2" xfId="12431" hidden="1"/>
    <cellStyle name="Гиперссылка 2" xfId="12373" hidden="1"/>
    <cellStyle name="Гиперссылка 2" xfId="12319" hidden="1"/>
    <cellStyle name="Гиперссылка 2" xfId="12417" hidden="1"/>
    <cellStyle name="Гиперссылка 2" xfId="12416" hidden="1"/>
    <cellStyle name="Гиперссылка 2" xfId="12490" hidden="1"/>
    <cellStyle name="Гиперссылка 2" xfId="12489" hidden="1"/>
    <cellStyle name="Гиперссылка 2" xfId="12508" hidden="1"/>
    <cellStyle name="Гиперссылка 2" xfId="12509" hidden="1"/>
    <cellStyle name="Гиперссылка 2" xfId="12514" hidden="1"/>
    <cellStyle name="Гиперссылка 2" xfId="12515" hidden="1"/>
    <cellStyle name="Гиперссылка 2" xfId="12511" hidden="1"/>
    <cellStyle name="Гиперссылка 2" xfId="12510" hidden="1"/>
    <cellStyle name="Гиперссылка 2" xfId="12513" hidden="1"/>
    <cellStyle name="Гиперссылка 2" xfId="12512" hidden="1"/>
    <cellStyle name="Гиперссылка 2" xfId="12517" hidden="1"/>
    <cellStyle name="Гиперссылка 2" xfId="12516" hidden="1"/>
    <cellStyle name="Гиперссылка 2" xfId="12519" hidden="1"/>
    <cellStyle name="Гиперссылка 2" xfId="12520" hidden="1"/>
    <cellStyle name="Гиперссылка 2" xfId="12525" hidden="1"/>
    <cellStyle name="Гиперссылка 2" xfId="12526" hidden="1"/>
    <cellStyle name="Гиперссылка 2" xfId="12522" hidden="1"/>
    <cellStyle name="Гиперссылка 2" xfId="12521" hidden="1"/>
    <cellStyle name="Гиперссылка 2" xfId="12524" hidden="1"/>
    <cellStyle name="Гиперссылка 2" xfId="12523" hidden="1"/>
    <cellStyle name="Гиперссылка 2" xfId="12528" hidden="1"/>
    <cellStyle name="Гиперссылка 2" xfId="12527" hidden="1"/>
    <cellStyle name="Гиперссылка 2" xfId="12529" hidden="1"/>
    <cellStyle name="Гиперссылка 2" xfId="12530" hidden="1"/>
    <cellStyle name="Гиперссылка 2" xfId="12535" hidden="1"/>
    <cellStyle name="Гиперссылка 2" xfId="12536" hidden="1"/>
    <cellStyle name="Гиперссылка 2" xfId="12532" hidden="1"/>
    <cellStyle name="Гиперссылка 2" xfId="12531" hidden="1"/>
    <cellStyle name="Гиперссылка 2" xfId="12534" hidden="1"/>
    <cellStyle name="Гиперссылка 2" xfId="12533" hidden="1"/>
    <cellStyle name="Гиперссылка 2" xfId="12538" hidden="1"/>
    <cellStyle name="Гиперссылка 2" xfId="12537" hidden="1"/>
    <cellStyle name="Гиперссылка 2" xfId="12427" hidden="1"/>
    <cellStyle name="Гиперссылка 2" xfId="12389" hidden="1"/>
    <cellStyle name="Гиперссылка 2" xfId="12438" hidden="1"/>
    <cellStyle name="Гиперссылка 2" xfId="12321" hidden="1"/>
    <cellStyle name="Гиперссылка 2" xfId="12456" hidden="1"/>
    <cellStyle name="Гиперссылка 2" xfId="12499" hidden="1"/>
    <cellStyle name="Гиперссылка 2" xfId="12405" hidden="1"/>
    <cellStyle name="Гиперссылка 2" xfId="12445" hidden="1"/>
    <cellStyle name="Гиперссылка 2" xfId="12593" hidden="1"/>
    <cellStyle name="Гиперссылка 2" xfId="12592" hidden="1"/>
    <cellStyle name="Гиперссылка 2" xfId="12607" hidden="1"/>
    <cellStyle name="Гиперссылка 2" xfId="12608" hidden="1"/>
    <cellStyle name="Гиперссылка 2" xfId="12613" hidden="1"/>
    <cellStyle name="Гиперссылка 2" xfId="12614" hidden="1"/>
    <cellStyle name="Гиперссылка 2" xfId="12610" hidden="1"/>
    <cellStyle name="Гиперссылка 2" xfId="12609" hidden="1"/>
    <cellStyle name="Гиперссылка 2" xfId="12612" hidden="1"/>
    <cellStyle name="Гиперссылка 2" xfId="12611" hidden="1"/>
    <cellStyle name="Гиперссылка 2" xfId="12616" hidden="1"/>
    <cellStyle name="Гиперссылка 2" xfId="12615" hidden="1"/>
    <cellStyle name="Гиперссылка 2" xfId="12618" hidden="1"/>
    <cellStyle name="Гиперссылка 2" xfId="12619" hidden="1"/>
    <cellStyle name="Гиперссылка 2" xfId="12624" hidden="1"/>
    <cellStyle name="Гиперссылка 2" xfId="12625" hidden="1"/>
    <cellStyle name="Гиперссылка 2" xfId="12621" hidden="1"/>
    <cellStyle name="Гиперссылка 2" xfId="12620" hidden="1"/>
    <cellStyle name="Гиперссылка 2" xfId="12623" hidden="1"/>
    <cellStyle name="Гиперссылка 2" xfId="12622" hidden="1"/>
    <cellStyle name="Гиперссылка 2" xfId="12627" hidden="1"/>
    <cellStyle name="Гиперссылка 2" xfId="12626" hidden="1"/>
    <cellStyle name="Гиперссылка 2" xfId="12628" hidden="1"/>
    <cellStyle name="Гиперссылка 2" xfId="12629" hidden="1"/>
    <cellStyle name="Гиперссылка 2" xfId="12634" hidden="1"/>
    <cellStyle name="Гиперссылка 2" xfId="12635" hidden="1"/>
    <cellStyle name="Гиперссылка 2" xfId="12631" hidden="1"/>
    <cellStyle name="Гиперссылка 2" xfId="12630" hidden="1"/>
    <cellStyle name="Гиперссылка 2" xfId="12633" hidden="1"/>
    <cellStyle name="Гиперссылка 2" xfId="12632" hidden="1"/>
    <cellStyle name="Гиперссылка 2" xfId="12637" hidden="1"/>
    <cellStyle name="Гиперссылка 2" xfId="12636" hidden="1"/>
    <cellStyle name="Гиперссылка 2" xfId="12446" hidden="1"/>
    <cellStyle name="Гиперссылка 2" xfId="11980" hidden="1"/>
    <cellStyle name="Гиперссылка 2" xfId="11993" hidden="1"/>
    <cellStyle name="Гиперссылка 2" xfId="12374" hidden="1"/>
    <cellStyle name="Гиперссылка 2" xfId="12558" hidden="1"/>
    <cellStyle name="Гиперссылка 2" xfId="12603" hidden="1"/>
    <cellStyle name="Гиперссылка 2" xfId="12424" hidden="1"/>
    <cellStyle name="Гиперссылка 2" xfId="12547" hidden="1"/>
    <cellStyle name="Гиперссылка 2" xfId="12691" hidden="1"/>
    <cellStyle name="Гиперссылка 2" xfId="12690" hidden="1"/>
    <cellStyle name="Гиперссылка 2" xfId="12706" hidden="1"/>
    <cellStyle name="Гиперссылка 2" xfId="12707" hidden="1"/>
    <cellStyle name="Гиперссылка 2" xfId="12713" hidden="1"/>
    <cellStyle name="Гиперссылка 2" xfId="12714" hidden="1"/>
    <cellStyle name="Гиперссылка 2" xfId="12710" hidden="1"/>
    <cellStyle name="Гиперссылка 2" xfId="12709" hidden="1"/>
    <cellStyle name="Гиперссылка 2" xfId="12712" hidden="1"/>
    <cellStyle name="Гиперссылка 2" xfId="12711" hidden="1"/>
    <cellStyle name="Гиперссылка 2" xfId="12716" hidden="1"/>
    <cellStyle name="Гиперссылка 2" xfId="12715" hidden="1"/>
    <cellStyle name="Гиперссылка 2" xfId="12719" hidden="1"/>
    <cellStyle name="Гиперссылка 2" xfId="12720" hidden="1"/>
    <cellStyle name="Гиперссылка 2" xfId="12725" hidden="1"/>
    <cellStyle name="Гиперссылка 2" xfId="12726" hidden="1"/>
    <cellStyle name="Гиперссылка 2" xfId="12722" hidden="1"/>
    <cellStyle name="Гиперссылка 2" xfId="12721" hidden="1"/>
    <cellStyle name="Гиперссылка 2" xfId="12724" hidden="1"/>
    <cellStyle name="Гиперссылка 2" xfId="12723" hidden="1"/>
    <cellStyle name="Гиперссылка 2" xfId="12728" hidden="1"/>
    <cellStyle name="Гиперссылка 2" xfId="12727" hidden="1"/>
    <cellStyle name="Гиперссылка 2" xfId="12729" hidden="1"/>
    <cellStyle name="Гиперссылка 2" xfId="12730" hidden="1"/>
    <cellStyle name="Гиперссылка 2" xfId="12735" hidden="1"/>
    <cellStyle name="Гиперссылка 2" xfId="12736" hidden="1"/>
    <cellStyle name="Гиперссылка 2" xfId="12732" hidden="1"/>
    <cellStyle name="Гиперссылка 2" xfId="12731" hidden="1"/>
    <cellStyle name="Гиперссылка 2" xfId="12734" hidden="1"/>
    <cellStyle name="Гиперссылка 2" xfId="12733" hidden="1"/>
    <cellStyle name="Гиперссылка 2" xfId="12738" hidden="1"/>
    <cellStyle name="Гиперссылка 2" xfId="12737" hidden="1"/>
    <cellStyle name="Гиперссылка 2" xfId="12548" hidden="1"/>
    <cellStyle name="Гиперссылка 2" xfId="11999" hidden="1"/>
    <cellStyle name="Гиперссылка 2" xfId="12380" hidden="1"/>
    <cellStyle name="Гиперссылка 2" xfId="12003" hidden="1"/>
    <cellStyle name="Гиперссылка 2" xfId="12654" hidden="1"/>
    <cellStyle name="Гиперссылка 2" xfId="12700" hidden="1"/>
    <cellStyle name="Гиперссылка 2" xfId="12397" hidden="1"/>
    <cellStyle name="Гиперссылка 2" xfId="12643" hidden="1"/>
    <cellStyle name="Гиперссылка 2" xfId="12785" hidden="1"/>
    <cellStyle name="Гиперссылка 2" xfId="12784" hidden="1"/>
    <cellStyle name="Гиперссылка 2" xfId="12803" hidden="1"/>
    <cellStyle name="Гиперссылка 2" xfId="12804" hidden="1"/>
    <cellStyle name="Гиперссылка 2" xfId="12809" hidden="1"/>
    <cellStyle name="Гиперссылка 2" xfId="12810" hidden="1"/>
    <cellStyle name="Гиперссылка 2" xfId="12806" hidden="1"/>
    <cellStyle name="Гиперссылка 2" xfId="12805" hidden="1"/>
    <cellStyle name="Гиперссылка 2" xfId="12808" hidden="1"/>
    <cellStyle name="Гиперссылка 2" xfId="12807" hidden="1"/>
    <cellStyle name="Гиперссылка 2" xfId="12812" hidden="1"/>
    <cellStyle name="Гиперссылка 2" xfId="12811" hidden="1"/>
    <cellStyle name="Гиперссылка 2" xfId="12814" hidden="1"/>
    <cellStyle name="Гиперссылка 2" xfId="12815" hidden="1"/>
    <cellStyle name="Гиперссылка 2" xfId="12820" hidden="1"/>
    <cellStyle name="Гиперссылка 2" xfId="12821" hidden="1"/>
    <cellStyle name="Гиперссылка 2" xfId="12817" hidden="1"/>
    <cellStyle name="Гиперссылка 2" xfId="12816" hidden="1"/>
    <cellStyle name="Гиперссылка 2" xfId="12819" hidden="1"/>
    <cellStyle name="Гиперссылка 2" xfId="12818" hidden="1"/>
    <cellStyle name="Гиперссылка 2" xfId="12823" hidden="1"/>
    <cellStyle name="Гиперссылка 2" xfId="12822" hidden="1"/>
    <cellStyle name="Гиперссылка 2" xfId="12824" hidden="1"/>
    <cellStyle name="Гиперссылка 2" xfId="12825" hidden="1"/>
    <cellStyle name="Гиперссылка 2" xfId="12830" hidden="1"/>
    <cellStyle name="Гиперссылка 2" xfId="12831" hidden="1"/>
    <cellStyle name="Гиперссылка 2" xfId="12827" hidden="1"/>
    <cellStyle name="Гиперссылка 2" xfId="12826" hidden="1"/>
    <cellStyle name="Гиперссылка 2" xfId="12829" hidden="1"/>
    <cellStyle name="Гиперссылка 2" xfId="12828" hidden="1"/>
    <cellStyle name="Гиперссылка 2" xfId="12833" hidden="1"/>
    <cellStyle name="Гиперссылка 2" xfId="12832" hidden="1"/>
    <cellStyle name="Гиперссылка 2" xfId="12644" hidden="1"/>
    <cellStyle name="Гиперссылка 2" xfId="12387" hidden="1"/>
    <cellStyle name="Гиперссылка 2" xfId="12303" hidden="1"/>
    <cellStyle name="Гиперссылка 2" xfId="12379" hidden="1"/>
    <cellStyle name="Гиперссылка 2" xfId="12750" hidden="1"/>
    <cellStyle name="Гиперссылка 2" xfId="12795" hidden="1"/>
    <cellStyle name="Гиперссылка 2" xfId="12300" hidden="1"/>
    <cellStyle name="Гиперссылка 2" xfId="12741" hidden="1"/>
    <cellStyle name="Гиперссылка 2" xfId="12871" hidden="1"/>
    <cellStyle name="Гиперссылка 2" xfId="12870" hidden="1"/>
    <cellStyle name="Гиперссылка 2" xfId="12885" hidden="1"/>
    <cellStyle name="Гиперссылка 2" xfId="12886" hidden="1"/>
    <cellStyle name="Гиперссылка 2" xfId="12891" hidden="1"/>
    <cellStyle name="Гиперссылка 2" xfId="12892" hidden="1"/>
    <cellStyle name="Гиперссылка 2" xfId="12888" hidden="1"/>
    <cellStyle name="Гиперссылка 2" xfId="12887" hidden="1"/>
    <cellStyle name="Гиперссылка 2" xfId="12890" hidden="1"/>
    <cellStyle name="Гиперссылка 2" xfId="12889" hidden="1"/>
    <cellStyle name="Гиперссылка 2" xfId="12894" hidden="1"/>
    <cellStyle name="Гиперссылка 2" xfId="12893" hidden="1"/>
    <cellStyle name="Гиперссылка 2" xfId="12897" hidden="1"/>
    <cellStyle name="Гиперссылка 2" xfId="12898" hidden="1"/>
    <cellStyle name="Гиперссылка 2" xfId="12903" hidden="1"/>
    <cellStyle name="Гиперссылка 2" xfId="12904" hidden="1"/>
    <cellStyle name="Гиперссылка 2" xfId="12900" hidden="1"/>
    <cellStyle name="Гиперссылка 2" xfId="12899" hidden="1"/>
    <cellStyle name="Гиперссылка 2" xfId="12902" hidden="1"/>
    <cellStyle name="Гиперссылка 2" xfId="12901" hidden="1"/>
    <cellStyle name="Гиперссылка 2" xfId="12906" hidden="1"/>
    <cellStyle name="Гиперссылка 2" xfId="12905" hidden="1"/>
    <cellStyle name="Гиперссылка 2" xfId="12907" hidden="1"/>
    <cellStyle name="Гиперссылка 2" xfId="12908" hidden="1"/>
    <cellStyle name="Гиперссылка 2" xfId="12913" hidden="1"/>
    <cellStyle name="Гиперссылка 2" xfId="12914" hidden="1"/>
    <cellStyle name="Гиперссылка 2" xfId="12910" hidden="1"/>
    <cellStyle name="Гиперссылка 2" xfId="12909" hidden="1"/>
    <cellStyle name="Гиперссылка 2" xfId="12912" hidden="1"/>
    <cellStyle name="Гиперссылка 2" xfId="12911" hidden="1"/>
    <cellStyle name="Гиперссылка 2" xfId="12916" hidden="1"/>
    <cellStyle name="Гиперссылка 2" xfId="12915" hidden="1"/>
    <cellStyle name="Гиперссылка 2" xfId="12742" hidden="1"/>
    <cellStyle name="Гиперссылка 2" xfId="12408" hidden="1"/>
    <cellStyle name="Гиперссылка 2" xfId="12454" hidden="1"/>
    <cellStyle name="Гиперссылка 2" xfId="12310" hidden="1"/>
    <cellStyle name="Гиперссылка 2" xfId="12847" hidden="1"/>
    <cellStyle name="Гиперссылка 2" xfId="12879" hidden="1"/>
    <cellStyle name="Гиперссылка 2" xfId="12468" hidden="1"/>
    <cellStyle name="Гиперссылка 2" xfId="12840" hidden="1"/>
    <cellStyle name="Гиперссылка 2" xfId="12958" hidden="1"/>
    <cellStyle name="Гиперссылка 2" xfId="12957" hidden="1"/>
    <cellStyle name="Гиперссылка 2" xfId="12972" hidden="1"/>
    <cellStyle name="Гиперссылка 2" xfId="12973" hidden="1"/>
    <cellStyle name="Гиперссылка 2" xfId="12978" hidden="1"/>
    <cellStyle name="Гиперссылка 2" xfId="12979" hidden="1"/>
    <cellStyle name="Гиперссылка 2" xfId="12975" hidden="1"/>
    <cellStyle name="Гиперссылка 2" xfId="12974" hidden="1"/>
    <cellStyle name="Гиперссылка 2" xfId="12977" hidden="1"/>
    <cellStyle name="Гиперссылка 2" xfId="12976" hidden="1"/>
    <cellStyle name="Гиперссылка 2" xfId="12981" hidden="1"/>
    <cellStyle name="Гиперссылка 2" xfId="12980" hidden="1"/>
    <cellStyle name="Гиперссылка 2" xfId="12983" hidden="1"/>
    <cellStyle name="Гиперссылка 2" xfId="12984" hidden="1"/>
    <cellStyle name="Гиперссылка 2" xfId="12989" hidden="1"/>
    <cellStyle name="Гиперссылка 2" xfId="12990" hidden="1"/>
    <cellStyle name="Гиперссылка 2" xfId="12986" hidden="1"/>
    <cellStyle name="Гиперссылка 2" xfId="12985" hidden="1"/>
    <cellStyle name="Гиперссылка 2" xfId="12988" hidden="1"/>
    <cellStyle name="Гиперссылка 2" xfId="12987" hidden="1"/>
    <cellStyle name="Гиперссылка 2" xfId="12992" hidden="1"/>
    <cellStyle name="Гиперссылка 2" xfId="12991" hidden="1"/>
    <cellStyle name="Гиперссылка 2" xfId="12993" hidden="1"/>
    <cellStyle name="Гиперссылка 2" xfId="12994" hidden="1"/>
    <cellStyle name="Гиперссылка 2" xfId="12999" hidden="1"/>
    <cellStyle name="Гиперссылка 2" xfId="13000" hidden="1"/>
    <cellStyle name="Гиперссылка 2" xfId="12996" hidden="1"/>
    <cellStyle name="Гиперссылка 2" xfId="12995" hidden="1"/>
    <cellStyle name="Гиперссылка 2" xfId="12998" hidden="1"/>
    <cellStyle name="Гиперссылка 2" xfId="12997" hidden="1"/>
    <cellStyle name="Гиперссылка 2" xfId="13002" hidden="1"/>
    <cellStyle name="Гиперссылка 2" xfId="13001" hidden="1"/>
    <cellStyle name="Гиперссылка 2" xfId="12841" hidden="1"/>
    <cellStyle name="Гиперссылка 2" xfId="12012" hidden="1"/>
    <cellStyle name="Гиперссылка 2" xfId="12555" hidden="1"/>
    <cellStyle name="Гиперссылка 2" xfId="12320" hidden="1"/>
    <cellStyle name="Гиперссылка 2" xfId="12931" hidden="1"/>
    <cellStyle name="Гиперссылка 2" xfId="12968" hidden="1"/>
    <cellStyle name="Гиперссылка 2" xfId="12578" hidden="1"/>
    <cellStyle name="Гиперссылка 2" xfId="12920" hidden="1"/>
    <cellStyle name="Гиперссылка 2" xfId="13042" hidden="1"/>
    <cellStyle name="Гиперссылка 2" xfId="13041" hidden="1"/>
    <cellStyle name="Гиперссылка 2" xfId="13055" hidden="1"/>
    <cellStyle name="Гиперссылка 2" xfId="13056" hidden="1"/>
    <cellStyle name="Гиперссылка 2" xfId="13061" hidden="1"/>
    <cellStyle name="Гиперссылка 2" xfId="13062" hidden="1"/>
    <cellStyle name="Гиперссылка 2" xfId="13058" hidden="1"/>
    <cellStyle name="Гиперссылка 2" xfId="13057" hidden="1"/>
    <cellStyle name="Гиперссылка 2" xfId="13060" hidden="1"/>
    <cellStyle name="Гиперссылка 2" xfId="13059" hidden="1"/>
    <cellStyle name="Гиперссылка 2" xfId="13064" hidden="1"/>
    <cellStyle name="Гиперссылка 2" xfId="13063" hidden="1"/>
    <cellStyle name="Гиперссылка 2" xfId="13065" hidden="1"/>
    <cellStyle name="Гиперссылка 2" xfId="13066" hidden="1"/>
    <cellStyle name="Гиперссылка 2" xfId="13071" hidden="1"/>
    <cellStyle name="Гиперссылка 2" xfId="13072" hidden="1"/>
    <cellStyle name="Гиперссылка 2" xfId="13068" hidden="1"/>
    <cellStyle name="Гиперссылка 2" xfId="13067" hidden="1"/>
    <cellStyle name="Гиперссылка 2" xfId="13070" hidden="1"/>
    <cellStyle name="Гиперссылка 2" xfId="13069" hidden="1"/>
    <cellStyle name="Гиперссылка 2" xfId="13074" hidden="1"/>
    <cellStyle name="Гиперссылка 2" xfId="13073" hidden="1"/>
    <cellStyle name="Гиперссылка 2" xfId="13075" hidden="1"/>
    <cellStyle name="Гиперссылка 2" xfId="13076" hidden="1"/>
    <cellStyle name="Гиперссылка 2" xfId="13081" hidden="1"/>
    <cellStyle name="Гиперссылка 2" xfId="13082" hidden="1"/>
    <cellStyle name="Гиперссылка 2" xfId="13078" hidden="1"/>
    <cellStyle name="Гиперссылка 2" xfId="13077" hidden="1"/>
    <cellStyle name="Гиперссылка 2" xfId="13080" hidden="1"/>
    <cellStyle name="Гиперссылка 2" xfId="13079" hidden="1"/>
    <cellStyle name="Гиперссылка 2" xfId="13084" hidden="1"/>
    <cellStyle name="Гиперссылка 2" xfId="13083" hidden="1"/>
    <cellStyle name="Гиперссылка 2" xfId="12921" hidden="1"/>
    <cellStyle name="Гиперссылка 2" xfId="12292" hidden="1"/>
    <cellStyle name="Гиперссылка 2" xfId="12651" hidden="1"/>
    <cellStyle name="Гиперссылка 2" xfId="12476" hidden="1"/>
    <cellStyle name="Гиперссылка 2" xfId="13018" hidden="1"/>
    <cellStyle name="Гиперссылка 2" xfId="13051" hidden="1"/>
    <cellStyle name="Гиперссылка 2" xfId="12665" hidden="1"/>
    <cellStyle name="Гиперссылка 2" xfId="13009" hidden="1"/>
    <cellStyle name="Гиперссылка 2" xfId="13118" hidden="1"/>
    <cellStyle name="Гиперссылка 2" xfId="13117" hidden="1"/>
    <cellStyle name="Гиперссылка 2" xfId="13132" hidden="1"/>
    <cellStyle name="Гиперссылка 2" xfId="13133" hidden="1"/>
    <cellStyle name="Гиперссылка 2" xfId="13139" hidden="1"/>
    <cellStyle name="Гиперссылка 2" xfId="13140" hidden="1"/>
    <cellStyle name="Гиперссылка 2" xfId="13136" hidden="1"/>
    <cellStyle name="Гиперссылка 2" xfId="13135" hidden="1"/>
    <cellStyle name="Гиперссылка 2" xfId="13138" hidden="1"/>
    <cellStyle name="Гиперссылка 2" xfId="13137" hidden="1"/>
    <cellStyle name="Гиперссылка 2" xfId="13142" hidden="1"/>
    <cellStyle name="Гиперссылка 2" xfId="13141" hidden="1"/>
    <cellStyle name="Гиперссылка 2" xfId="13145" hidden="1"/>
    <cellStyle name="Гиперссылка 2" xfId="13146" hidden="1"/>
    <cellStyle name="Гиперссылка 2" xfId="13151" hidden="1"/>
    <cellStyle name="Гиперссылка 2" xfId="13152" hidden="1"/>
    <cellStyle name="Гиперссылка 2" xfId="13148" hidden="1"/>
    <cellStyle name="Гиперссылка 2" xfId="13147" hidden="1"/>
    <cellStyle name="Гиперссылка 2" xfId="13150" hidden="1"/>
    <cellStyle name="Гиперссылка 2" xfId="13149" hidden="1"/>
    <cellStyle name="Гиперссылка 2" xfId="13154" hidden="1"/>
    <cellStyle name="Гиперссылка 2" xfId="13153" hidden="1"/>
    <cellStyle name="Гиперссылка 2" xfId="13155" hidden="1"/>
    <cellStyle name="Гиперссылка 2" xfId="13156" hidden="1"/>
    <cellStyle name="Гиперссылка 2" xfId="13161" hidden="1"/>
    <cellStyle name="Гиперссылка 2" xfId="13162" hidden="1"/>
    <cellStyle name="Гиперссылка 2" xfId="13158" hidden="1"/>
    <cellStyle name="Гиперссылка 2" xfId="13157" hidden="1"/>
    <cellStyle name="Гиперссылка 2" xfId="13160" hidden="1"/>
    <cellStyle name="Гиперссылка 2" xfId="13159" hidden="1"/>
    <cellStyle name="Гиперссылка 2" xfId="13164" hidden="1"/>
    <cellStyle name="Гиперссылка 2" xfId="13163" hidden="1"/>
    <cellStyle name="Гиперссылка 2" xfId="13010" hidden="1"/>
    <cellStyle name="Гиперссылка 2" xfId="12462" hidden="1"/>
    <cellStyle name="Гиперссылка 2" xfId="12747" hidden="1"/>
    <cellStyle name="Гиперссылка 2" xfId="12583" hidden="1"/>
    <cellStyle name="Гиперссылка 2" xfId="13093" hidden="1"/>
    <cellStyle name="Гиперссылка 2" xfId="13127" hidden="1"/>
    <cellStyle name="Гиперссылка 2" xfId="12765" hidden="1"/>
    <cellStyle name="Гиперссылка 2" xfId="13088" hidden="1"/>
    <cellStyle name="Гиперссылка 2" xfId="13193" hidden="1"/>
    <cellStyle name="Гиперссылка 2" xfId="13192" hidden="1"/>
    <cellStyle name="Гиперссылка 2" xfId="13205" hidden="1"/>
    <cellStyle name="Гиперссылка 2" xfId="13206" hidden="1"/>
    <cellStyle name="Гиперссылка 2" xfId="13211" hidden="1"/>
    <cellStyle name="Гиперссылка 2" xfId="13212" hidden="1"/>
    <cellStyle name="Гиперссылка 2" xfId="13208" hidden="1"/>
    <cellStyle name="Гиперссылка 2" xfId="13207" hidden="1"/>
    <cellStyle name="Гиперссылка 2" xfId="13210" hidden="1"/>
    <cellStyle name="Гиперссылка 2" xfId="13209" hidden="1"/>
    <cellStyle name="Гиперссылка 2" xfId="13214" hidden="1"/>
    <cellStyle name="Гиперссылка 2" xfId="13213" hidden="1"/>
    <cellStyle name="Гиперссылка 2" xfId="13215" hidden="1"/>
    <cellStyle name="Гиперссылка 2" xfId="13216" hidden="1"/>
    <cellStyle name="Гиперссылка 2" xfId="13221" hidden="1"/>
    <cellStyle name="Гиперссылка 2" xfId="13222" hidden="1"/>
    <cellStyle name="Гиперссылка 2" xfId="13218" hidden="1"/>
    <cellStyle name="Гиперссылка 2" xfId="13217" hidden="1"/>
    <cellStyle name="Гиперссылка 2" xfId="13220" hidden="1"/>
    <cellStyle name="Гиперссылка 2" xfId="13219" hidden="1"/>
    <cellStyle name="Гиперссылка 2" xfId="13224" hidden="1"/>
    <cellStyle name="Гиперссылка 2" xfId="13223" hidden="1"/>
    <cellStyle name="Гиперссылка 2" xfId="13225" hidden="1"/>
    <cellStyle name="Гиперссылка 2" xfId="13226" hidden="1"/>
    <cellStyle name="Гиперссылка 2" xfId="13231" hidden="1"/>
    <cellStyle name="Гиперссылка 2" xfId="13232" hidden="1"/>
    <cellStyle name="Гиперссылка 2" xfId="13228" hidden="1"/>
    <cellStyle name="Гиперссылка 2" xfId="13227" hidden="1"/>
    <cellStyle name="Гиперссылка 2" xfId="13230" hidden="1"/>
    <cellStyle name="Гиперссылка 2" xfId="13229" hidden="1"/>
    <cellStyle name="Гиперссылка 2" xfId="13234" hidden="1"/>
    <cellStyle name="Гиперссылка 2" xfId="13233" hidden="1"/>
    <cellStyle name="Гиперссылка 2" xfId="13089" hidden="1"/>
    <cellStyle name="Гиперссылка 2" xfId="12565" hidden="1"/>
    <cellStyle name="Гиперссылка 2" xfId="12845" hidden="1"/>
    <cellStyle name="Гиперссылка 2" xfId="12675" hidden="1"/>
    <cellStyle name="Гиперссылка 2" xfId="13176" hidden="1"/>
    <cellStyle name="Гиперссылка 2" xfId="13201" hidden="1"/>
    <cellStyle name="Гиперссылка 2" xfId="12856" hidden="1"/>
    <cellStyle name="Гиперссылка 2" xfId="13168" hidden="1"/>
    <cellStyle name="Гиперссылка 2" xfId="13260" hidden="1"/>
    <cellStyle name="Гиперссылка 2" xfId="13259" hidden="1"/>
    <cellStyle name="Гиперссылка 2" xfId="13269" hidden="1"/>
    <cellStyle name="Гиперссылка 2" xfId="13270" hidden="1"/>
    <cellStyle name="Гиперссылка 2" xfId="13275" hidden="1"/>
    <cellStyle name="Гиперссылка 2" xfId="13276" hidden="1"/>
    <cellStyle name="Гиперссылка 2" xfId="13272" hidden="1"/>
    <cellStyle name="Гиперссылка 2" xfId="13271" hidden="1"/>
    <cellStyle name="Гиперссылка 2" xfId="13274" hidden="1"/>
    <cellStyle name="Гиперссылка 2" xfId="13273" hidden="1"/>
    <cellStyle name="Гиперссылка 2" xfId="13278" hidden="1"/>
    <cellStyle name="Гиперссылка 2" xfId="13277" hidden="1"/>
    <cellStyle name="Гиперссылка 2" xfId="13280" hidden="1"/>
    <cellStyle name="Гиперссылка 2" xfId="13281" hidden="1"/>
    <cellStyle name="Гиперссылка 2" xfId="13286" hidden="1"/>
    <cellStyle name="Гиперссылка 2" xfId="13287" hidden="1"/>
    <cellStyle name="Гиперссылка 2" xfId="13283" hidden="1"/>
    <cellStyle name="Гиперссылка 2" xfId="13282" hidden="1"/>
    <cellStyle name="Гиперссылка 2" xfId="13285" hidden="1"/>
    <cellStyle name="Гиперссылка 2" xfId="13284" hidden="1"/>
    <cellStyle name="Гиперссылка 2" xfId="13289" hidden="1"/>
    <cellStyle name="Гиперссылка 2" xfId="13288" hidden="1"/>
    <cellStyle name="Гиперссылка 2" xfId="13290" hidden="1"/>
    <cellStyle name="Гиперссылка 2" xfId="13291" hidden="1"/>
    <cellStyle name="Гиперссылка 2" xfId="13296" hidden="1"/>
    <cellStyle name="Гиперссылка 2" xfId="13297" hidden="1"/>
    <cellStyle name="Гиперссылка 2" xfId="13293" hidden="1"/>
    <cellStyle name="Гиперссылка 2" xfId="13292" hidden="1"/>
    <cellStyle name="Гиперссылка 2" xfId="13295" hidden="1"/>
    <cellStyle name="Гиперссылка 2" xfId="13294" hidden="1"/>
    <cellStyle name="Гиперссылка 2" xfId="13299" hidden="1"/>
    <cellStyle name="Гиперссылка 2" xfId="13298" hidden="1"/>
    <cellStyle name="Гиперссылка 2" xfId="13169" hidden="1"/>
    <cellStyle name="Гиперссылка 2" xfId="12657" hidden="1"/>
    <cellStyle name="Гиперссылка 2" xfId="12928" hidden="1"/>
    <cellStyle name="Гиперссылка 2" xfId="12776" hidden="1"/>
    <cellStyle name="Гиперссылка 2" xfId="13241" hidden="1"/>
    <cellStyle name="Гиперссылка 2" xfId="13267" hidden="1"/>
    <cellStyle name="Гиперссылка 2" xfId="12941" hidden="1"/>
    <cellStyle name="Гиперссылка 2" xfId="13236" hidden="1"/>
    <cellStyle name="Гиперссылка 2" xfId="13317" hidden="1"/>
    <cellStyle name="Гиперссылка 2" xfId="13316" hidden="1"/>
    <cellStyle name="Гиперссылка 2" xfId="13324" hidden="1"/>
    <cellStyle name="Гиперссылка 2" xfId="13325" hidden="1"/>
    <cellStyle name="Гиперссылка 2" xfId="13330" hidden="1"/>
    <cellStyle name="Гиперссылка 2" xfId="13331" hidden="1"/>
    <cellStyle name="Гиперссылка 2" xfId="13327" hidden="1"/>
    <cellStyle name="Гиперссылка 2" xfId="13326" hidden="1"/>
    <cellStyle name="Гиперссылка 2" xfId="13329" hidden="1"/>
    <cellStyle name="Гиперссылка 2" xfId="13328" hidden="1"/>
    <cellStyle name="Гиперссылка 2" xfId="13333" hidden="1"/>
    <cellStyle name="Гиперссылка 2" xfId="13332" hidden="1"/>
    <cellStyle name="Гиперссылка 2" xfId="13334" hidden="1"/>
    <cellStyle name="Гиперссылка 2" xfId="13335" hidden="1"/>
    <cellStyle name="Гиперссылка 2" xfId="13340" hidden="1"/>
    <cellStyle name="Гиперссылка 2" xfId="13341" hidden="1"/>
    <cellStyle name="Гиперссылка 2" xfId="13337" hidden="1"/>
    <cellStyle name="Гиперссылка 2" xfId="13336" hidden="1"/>
    <cellStyle name="Гиперссылка 2" xfId="13339" hidden="1"/>
    <cellStyle name="Гиперссылка 2" xfId="13338" hidden="1"/>
    <cellStyle name="Гиперссылка 2" xfId="13343" hidden="1"/>
    <cellStyle name="Гиперссылка 2" xfId="13342" hidden="1"/>
    <cellStyle name="Гиперссылка 2" xfId="13344" hidden="1"/>
    <cellStyle name="Гиперссылка 2" xfId="13345" hidden="1"/>
    <cellStyle name="Гиперссылка 2" xfId="13350" hidden="1"/>
    <cellStyle name="Гиперссылка 2" xfId="13351" hidden="1"/>
    <cellStyle name="Гиперссылка 2" xfId="13347" hidden="1"/>
    <cellStyle name="Гиперссылка 2" xfId="13346" hidden="1"/>
    <cellStyle name="Гиперссылка 2" xfId="13349" hidden="1"/>
    <cellStyle name="Гиперссылка 2" xfId="13348" hidden="1"/>
    <cellStyle name="Гиперссылка 2" xfId="13353" hidden="1"/>
    <cellStyle name="Гиперссылка 2" xfId="13352" hidden="1"/>
    <cellStyle name="Гиперссылка 2" xfId="13237" hidden="1"/>
    <cellStyle name="Гиперссылка 2" xfId="12757" hidden="1"/>
    <cellStyle name="Гиперссылка 2" xfId="13016" hidden="1"/>
    <cellStyle name="Гиперссылка 2" xfId="12862" hidden="1"/>
    <cellStyle name="Гиперссылка 2" xfId="13304" hidden="1"/>
    <cellStyle name="Гиперссылка 2" xfId="13323" hidden="1"/>
    <cellStyle name="Гиперссылка 2" xfId="13029" hidden="1"/>
    <cellStyle name="Гиперссылка 2" xfId="13301" hidden="1"/>
    <cellStyle name="Гиперссылка 2" xfId="13355" hidden="1"/>
    <cellStyle name="Гиперссылка 2" xfId="13354" hidden="1"/>
    <cellStyle name="Гиперссылка 2" xfId="13356" hidden="1"/>
    <cellStyle name="Гиперссылка 2" xfId="13357" hidden="1"/>
    <cellStyle name="Гиперссылка 2" xfId="13362" hidden="1"/>
    <cellStyle name="Гиперссылка 2" xfId="13363" hidden="1"/>
    <cellStyle name="Гиперссылка 2" xfId="13359" hidden="1"/>
    <cellStyle name="Гиперссылка 2" xfId="13358" hidden="1"/>
    <cellStyle name="Гиперссылка 2" xfId="13361" hidden="1"/>
    <cellStyle name="Гиперссылка 2" xfId="13360" hidden="1"/>
    <cellStyle name="Гиперссылка 2" xfId="13365" hidden="1"/>
    <cellStyle name="Гиперссылка 2" xfId="13364" hidden="1"/>
    <cellStyle name="Гиперссылка 2" xfId="13366" hidden="1"/>
    <cellStyle name="Гиперссылка 2" xfId="13367" hidden="1"/>
    <cellStyle name="Гиперссылка 2" xfId="13372" hidden="1"/>
    <cellStyle name="Гиперссылка 2" xfId="13373" hidden="1"/>
    <cellStyle name="Гиперссылка 2" xfId="13369" hidden="1"/>
    <cellStyle name="Гиперссылка 2" xfId="13368" hidden="1"/>
    <cellStyle name="Гиперссылка 2" xfId="13371" hidden="1"/>
    <cellStyle name="Гиперссылка 2" xfId="13370" hidden="1"/>
    <cellStyle name="Гиперссылка 2" xfId="13375" hidden="1"/>
    <cellStyle name="Гиперссылка 2" xfId="13374" hidden="1"/>
    <cellStyle name="Гиперссылка 2" xfId="13376" hidden="1"/>
    <cellStyle name="Гиперссылка 2" xfId="13377" hidden="1"/>
    <cellStyle name="Гиперссылка 2" xfId="13382" hidden="1"/>
    <cellStyle name="Гиперссылка 2" xfId="13383" hidden="1"/>
    <cellStyle name="Гиперссылка 2" xfId="13379" hidden="1"/>
    <cellStyle name="Гиперссылка 2" xfId="13378" hidden="1"/>
    <cellStyle name="Гиперссылка 2" xfId="13381" hidden="1"/>
    <cellStyle name="Гиперссылка 2" xfId="13380" hidden="1"/>
    <cellStyle name="Гиперссылка 2" xfId="13385" hidden="1"/>
    <cellStyle name="Гиперссылка 2" xfId="13384" hidden="1"/>
    <cellStyle name="Гиперссылка 2" xfId="12705" hidden="1"/>
    <cellStyle name="Гиперссылка 2" xfId="8886" hidden="1"/>
    <cellStyle name="Гиперссылка 2" xfId="13121" hidden="1"/>
    <cellStyle name="Гиперссылка 2" xfId="11992" hidden="1"/>
    <cellStyle name="Гиперссылка 2" xfId="12936" hidden="1"/>
    <cellStyle name="Гиперссылка 2" xfId="12299" hidden="1"/>
    <cellStyle name="Гиперссылка 2" xfId="12196" hidden="1"/>
    <cellStyle name="Гиперссылка 2" xfId="12184" hidden="1"/>
    <cellStyle name="Гиперссылка 2" xfId="12210" hidden="1"/>
    <cellStyle name="Гиперссылка 2" xfId="11978" hidden="1"/>
    <cellStyle name="Гиперссылка 2" xfId="13254" hidden="1"/>
    <cellStyle name="Гиперссылка 2" xfId="13107" hidden="1"/>
    <cellStyle name="Гиперссылка 2" xfId="12586" hidden="1"/>
    <cellStyle name="Гиперссылка 2" xfId="8940" hidden="1"/>
    <cellStyle name="Гиперссылка 2" xfId="13036" hidden="1"/>
    <cellStyle name="Гиперссылка 2" xfId="13189" hidden="1"/>
    <cellStyle name="Гиперссылка 2" xfId="12780" hidden="1"/>
    <cellStyle name="Гиперссылка 2" xfId="12868" hidden="1"/>
    <cellStyle name="Гиперссылка 2" xfId="12854" hidden="1"/>
    <cellStyle name="Гиперссылка 2" xfId="8880" hidden="1"/>
    <cellStyle name="Гиперссылка 2" xfId="8899" hidden="1"/>
    <cellStyle name="Гиперссылка 2" xfId="12283" hidden="1"/>
    <cellStyle name="Гиперссылка 2" xfId="12037" hidden="1"/>
    <cellStyle name="Гиперссылка 2" xfId="12034" hidden="1"/>
    <cellStyle name="Гиперссылка 2" xfId="12394" hidden="1"/>
    <cellStyle name="Гиперссылка 2" xfId="12419" hidden="1"/>
    <cellStyle name="Гиперссылка 2" xfId="12170" hidden="1"/>
    <cellStyle name="Гиперссылка 2" xfId="12173" hidden="1"/>
    <cellStyle name="Гиперссылка 2" xfId="12237" hidden="1"/>
    <cellStyle name="Гиперссылка 2" xfId="12021" hidden="1"/>
    <cellStyle name="Гиперссылка 2" xfId="12167" hidden="1"/>
    <cellStyle name="Гиперссылка 2" xfId="12105" hidden="1"/>
    <cellStyle name="Гиперссылка 2" xfId="12158" hidden="1"/>
    <cellStyle name="Гиперссылка 2" xfId="12115" hidden="1"/>
    <cellStyle name="Гиперссылка 2" xfId="12143" hidden="1"/>
    <cellStyle name="Гиперссылка 2" xfId="12219" hidden="1"/>
    <cellStyle name="Гиперссылка 2" xfId="12230" hidden="1"/>
    <cellStyle name="Гиперссылка 2" xfId="11957" hidden="1"/>
    <cellStyle name="Гиперссылка 2" xfId="12162" hidden="1"/>
    <cellStyle name="Гиперссылка 2" xfId="12213" hidden="1"/>
    <cellStyle name="Гиперссылка 2" xfId="8932" hidden="1"/>
    <cellStyle name="Гиперссылка 2" xfId="12314" hidden="1"/>
    <cellStyle name="Гиперссылка 2" xfId="12204" hidden="1"/>
    <cellStyle name="Гиперссылка 2" xfId="12131" hidden="1"/>
    <cellStyle name="Гиперссылка 2" xfId="12229" hidden="1"/>
    <cellStyle name="Гиперссылка 2" xfId="12554" hidden="1"/>
    <cellStyle name="Гиперссылка 2" xfId="13181" hidden="1"/>
    <cellStyle name="Гиперссылка 2" xfId="13246" hidden="1"/>
    <cellStyle name="Гиперссылка 2" xfId="12081" hidden="1"/>
    <cellStyle name="Гиперссылка 2" xfId="12362" hidden="1"/>
    <cellStyle name="Гиперссылка 2" xfId="12923" hidden="1"/>
    <cellStyle name="Гиперссылка 2" xfId="12745" hidden="1"/>
    <cellStyle name="Гиперссылка 2" xfId="12122" hidden="1"/>
    <cellStyle name="Гиперссылка 2" xfId="12797" hidden="1"/>
    <cellStyle name="Гиперссылка 2" xfId="12472" hidden="1"/>
    <cellStyle name="Гиперссылка 2" xfId="8906" hidden="1"/>
    <cellStyle name="Гиперссылка 2" xfId="12199" hidden="1"/>
    <cellStyle name="Гиперссылка 2" xfId="12180" hidden="1"/>
    <cellStyle name="Гиперссылка 2" xfId="12401" hidden="1"/>
    <cellStyle name="Гиперссылка 2" xfId="12502" hidden="1"/>
    <cellStyle name="Гиперссылка 2" xfId="13202" hidden="1"/>
    <cellStyle name="Гиперссылка 2" xfId="13052" hidden="1"/>
    <cellStyle name="Гиперссылка 2" xfId="12770" hidden="1"/>
    <cellStyle name="Гиперссылка 2" xfId="8907" hidden="1"/>
    <cellStyle name="Гиперссылка 2" xfId="13186" hidden="1"/>
    <cellStyle name="Гиперссылка 2" xfId="13312" hidden="1"/>
    <cellStyle name="Гиперссылка 2" xfId="12946" hidden="1"/>
    <cellStyle name="Гиперссылка 2" xfId="13031" hidden="1"/>
    <cellStyle name="Гиперссылка 2" xfId="12182" hidden="1"/>
    <cellStyle name="Гиперссылка 2" xfId="12272" hidden="1"/>
    <cellStyle name="Гиперссылка 2" xfId="12078" hidden="1"/>
    <cellStyle name="Гиперссылка 2" xfId="12791" hidden="1"/>
    <cellStyle name="Гиперссылка 2" xfId="13046" hidden="1"/>
    <cellStyle name="Гиперссылка 2" xfId="12875" hidden="1"/>
    <cellStyle name="Гиперссылка 2" xfId="12428" hidden="1"/>
    <cellStyle name="Гиперссылка 2" xfId="12495" hidden="1"/>
    <cellStyle name="Гиперссылка 2" xfId="13197" hidden="1"/>
    <cellStyle name="Гиперссылка 2" xfId="12076" hidden="1"/>
    <cellStyle name="Гиперссылка 2" xfId="13199" hidden="1"/>
    <cellStyle name="Гиперссылка 2" xfId="13264" hidden="1"/>
    <cellStyle name="Гиперссылка 2" xfId="12590" hidden="1"/>
    <cellStyle name="Гиперссылка 2" xfId="12570" hidden="1"/>
    <cellStyle name="Гиперссылка 2" xfId="13108" hidden="1"/>
    <cellStyle name="Гиперссылка 2" xfId="12049" hidden="1"/>
    <cellStyle name="Гиперссылка 2" xfId="12442" hidden="1"/>
    <cellStyle name="Гиперссылка 2" xfId="12277" hidden="1"/>
    <cellStyle name="Гиперссылка 2" xfId="12850" hidden="1"/>
    <cellStyle name="Гиперссылка 2" xfId="12842" hidden="1"/>
    <cellStyle name="Гиперссылка 2" xfId="12192" hidden="1"/>
    <cellStyle name="Гиперссылка 2" xfId="12197" hidden="1"/>
    <cellStyle name="Гиперссылка 2" xfId="12350" hidden="1"/>
    <cellStyle name="Гиперссылка 2" xfId="12273" hidden="1"/>
    <cellStyle name="Гиперссылка 2" xfId="12717" hidden="1"/>
    <cellStyle name="Гиперссылка 2" xfId="12518" hidden="1"/>
    <cellStyle name="Гиперссылка 2" xfId="13143" hidden="1"/>
    <cellStyle name="Гиперссылка 2" xfId="12311" hidden="1"/>
    <cellStyle name="Гиперссылка 2" xfId="12895" hidden="1"/>
    <cellStyle name="Гиперссылка 2" xfId="12982" hidden="1"/>
    <cellStyle name="Гиперссылка 2" xfId="8922" hidden="1"/>
    <cellStyle name="Гиперссылка 2" xfId="8918" hidden="1"/>
    <cellStyle name="Гиперссылка 2" xfId="12857" hidden="1"/>
    <cellStyle name="Гиперссылка 2" xfId="12767" hidden="1"/>
    <cellStyle name="Гиперссылка 2" xfId="8943" hidden="1"/>
    <cellStyle name="Гиперссылка 2" xfId="12141" hidden="1"/>
    <cellStyle name="Гиперссылка 2" xfId="12392" hidden="1"/>
    <cellStyle name="Гиперссылка 2" xfId="12469" hidden="1"/>
    <cellStyle name="Гиперссылка 2" xfId="11963" hidden="1"/>
    <cellStyle name="Гиперссылка 2" xfId="12002" hidden="1"/>
    <cellStyle name="Гиперссылка 2" xfId="12025" hidden="1"/>
    <cellStyle name="Гиперссылка 2" xfId="12029" hidden="1"/>
    <cellStyle name="Гиперссылка 2" xfId="12236" hidden="1"/>
    <cellStyle name="Гиперссылка 2" xfId="12166" hidden="1"/>
    <cellStyle name="Гиперссылка 2" xfId="12231" hidden="1"/>
    <cellStyle name="Гиперссылка 2" xfId="12160" hidden="1"/>
    <cellStyle name="Гиперссылка 2" xfId="12221" hidden="1"/>
    <cellStyle name="Гиперссылка 2" xfId="12016" hidden="1"/>
    <cellStyle name="Гиперссылка 2" xfId="12106" hidden="1"/>
    <cellStyle name="Гиперссылка 2" xfId="12146" hidden="1"/>
    <cellStyle name="Гиперссылка 2" xfId="12234" hidden="1"/>
    <cellStyle name="Гиперссылка 2" xfId="12110" hidden="1"/>
    <cellStyle name="Гиперссылка 2" xfId="12743" hidden="1"/>
    <cellStyle name="Гиперссылка 2" xfId="12334" hidden="1"/>
    <cellStyle name="Гиперссылка 2" xfId="12228" hidden="1"/>
    <cellStyle name="Гиперссылка 2" xfId="12134" hidden="1"/>
    <cellStyle name="Гиперссылка 2" xfId="11958" hidden="1"/>
    <cellStyle name="Гиперссылка 2" xfId="8909" hidden="1"/>
    <cellStyle name="Гиперссылка 2" xfId="13116" hidden="1"/>
    <cellStyle name="Гиперссылка 2" xfId="12393" hidden="1"/>
    <cellStyle name="Гиперссылка 2" xfId="8927" hidden="1"/>
    <cellStyle name="Гиперссылка 2" xfId="12015" hidden="1"/>
    <cellStyle name="Гиперссылка 2" xfId="12858" hidden="1"/>
    <cellStyle name="Гиперссылка 2" xfId="12666" hidden="1"/>
    <cellStyle name="Гиперссылка 2" xfId="12295" hidden="1"/>
    <cellStyle name="Гиперссылка 2" xfId="12378" hidden="1"/>
    <cellStyle name="Гиперссылка 2" xfId="13248" hidden="1"/>
    <cellStyle name="Гиперссылка 2" xfId="12065" hidden="1"/>
    <cellStyle name="Гиперссылка 2" xfId="13030" hidden="1"/>
    <cellStyle name="Гиперссылка 2" xfId="13104" hidden="1"/>
    <cellStyle name="Гиперссылка 2" xfId="11998" hidden="1"/>
    <cellStyle name="Гиперссылка 2" xfId="12436" hidden="1"/>
    <cellStyle name="Гиперссылка 2" xfId="12323" hidden="1"/>
    <cellStyle name="Гиперссылка 2" xfId="11991" hidden="1"/>
    <cellStyle name="Гиперссылка 2" xfId="12391" hidden="1"/>
    <cellStyle name="Гиперссылка 2" xfId="12063" hidden="1"/>
    <cellStyle name="Гиперссылка 2" xfId="12539" hidden="1"/>
    <cellStyle name="Гиперссылка 2" xfId="12144" hidden="1"/>
    <cellStyle name="Гиперссылка 2" xfId="12418" hidden="1"/>
    <cellStyle name="Гиперссылка 2" xfId="12332" hidden="1"/>
    <cellStyle name="Гиперссылка 2" xfId="12739" hidden="1"/>
    <cellStyle name="Гиперссылка 2" xfId="12834" hidden="1"/>
    <cellStyle name="Гиперссылка 2" xfId="11982" hidden="1"/>
    <cellStyle name="Гиперссылка 2" xfId="12646" hidden="1"/>
    <cellStyle name="Гиперссылка 2" xfId="12485" hidden="1"/>
    <cellStyle name="Гиперссылка 2" xfId="12191" hidden="1"/>
    <cellStyle name="Гиперссылка 2" xfId="12390" hidden="1"/>
    <cellStyle name="Гиперссылка 2" xfId="12366" hidden="1"/>
    <cellStyle name="Гиперссылка 2" xfId="8887" hidden="1"/>
    <cellStyle name="Гиперссылка 2" xfId="12287" hidden="1"/>
    <cellStyle name="Гиперссылка 2" xfId="12695" hidden="1"/>
    <cellStyle name="Гиперссылка 2" xfId="12071" hidden="1"/>
    <cellStyle name="Гиперссылка 2" xfId="12440" hidden="1"/>
    <cellStyle name="Гиперссылка 2" xfId="13008" hidden="1"/>
    <cellStyle name="Гиперссылка 2" xfId="12800" hidden="1"/>
    <cellStyle name="Гиперссылка 2" xfId="12296" hidden="1"/>
    <cellStyle name="Гиперссылка 2" xfId="12022" hidden="1"/>
    <cellStyle name="Гиперссылка 2" xfId="13023" hidden="1"/>
    <cellStyle name="Гиперссылка 2" xfId="12133" hidden="1"/>
    <cellStyle name="Гиперссылка 2" xfId="8902" hidden="1"/>
    <cellStyle name="Гиперссылка 2" xfId="12058" hidden="1"/>
    <cellStyle name="Гиперссылка 2" xfId="12338" hidden="1"/>
    <cellStyle name="Гиперссылка 2" xfId="13187" hidden="1"/>
    <cellStyle name="Гиперссылка 2" xfId="13032" hidden="1"/>
    <cellStyle name="Гиперссылка 2" xfId="8929" hidden="1"/>
    <cellStyle name="Гиперссылка 2" xfId="8881" hidden="1"/>
    <cellStyle name="Гиперссылка 2" xfId="8931" hidden="1"/>
    <cellStyle name="Гиперссылка 2" xfId="12672" hidden="1"/>
    <cellStyle name="Гиперссылка 2" xfId="8911" hidden="1"/>
    <cellStyle name="Гиперссылка 2" xfId="8905" hidden="1"/>
    <cellStyle name="Гиперссылка 2" xfId="8876" hidden="1"/>
    <cellStyle name="Гиперссылка 2" xfId="8925" hidden="1"/>
    <cellStyle name="Гиперссылка 2" xfId="12222" hidden="1"/>
    <cellStyle name="Гиперссылка 2" xfId="12147" hidden="1"/>
    <cellStyle name="Гиперссылка 2" xfId="13314" hidden="1"/>
    <cellStyle name="Гиперссылка 2" xfId="13188" hidden="1"/>
    <cellStyle name="Гиперссылка 2" xfId="12676" hidden="1"/>
    <cellStyle name="Гиперссылка 2" xfId="12863" hidden="1"/>
    <cellStyle name="Гиперссылка 2" xfId="12344" hidden="1"/>
    <cellStyle name="Гиперссылка 2" xfId="12477" hidden="1"/>
    <cellStyle name="Гиперссылка 2" xfId="12940" hidden="1"/>
    <cellStyle name="Гиперссылка 2" xfId="11983" hidden="1"/>
    <cellStyle name="Гиперссылка 2" xfId="12761" hidden="1"/>
    <cellStyle name="Гиперссылка 2" xfId="12577" hidden="1"/>
    <cellStyle name="Гиперссылка 2" xfId="12183" hidden="1"/>
    <cellStyle name="Гиперссылка 2" xfId="12107" hidden="1"/>
    <cellStyle name="Гиперссылка 2" xfId="8885" hidden="1"/>
    <cellStyle name="Гиперссылка 2" xfId="12412" hidden="1"/>
    <cellStyle name="Гиперссылка 2" xfId="11996" hidden="1"/>
    <cellStyle name="Гиперссылка 2" xfId="12414" hidden="1"/>
    <cellStyle name="Гиперссылка 2" xfId="12325" hidden="1"/>
    <cellStyle name="Гиперссылка 2" xfId="12271" hidden="1"/>
    <cellStyle name="Гиперссылка 2" xfId="8894" hidden="1"/>
    <cellStyle name="Гиперссылка 2" xfId="12289" hidden="1"/>
    <cellStyle name="Гиперссылка 2" xfId="12171" hidden="1"/>
    <cellStyle name="Гиперссылка 2" xfId="12883" hidden="1"/>
    <cellStyle name="Гиперссылка 2" xfId="13252" hidden="1"/>
    <cellStyle name="Гиперссылка 2" xfId="12758" hidden="1"/>
    <cellStyle name="Гиперссылка 2" xfId="12702" hidden="1"/>
    <cellStyle name="Гиперссылка 2" xfId="13258" hidden="1"/>
    <cellStyle name="Гиперссылка 2" xfId="12318" hidden="1"/>
    <cellStyle name="Гиперссылка 2" xfId="12498" hidden="1"/>
    <cellStyle name="Гиперссылка 2" xfId="13279" hidden="1"/>
    <cellStyle name="Гиперссылка 2" xfId="13144" hidden="1"/>
    <cellStyle name="Гиперссылка 2" xfId="12345" hidden="1"/>
    <cellStyle name="Гиперссылка 2" xfId="8884" hidden="1"/>
    <cellStyle name="Гиперссылка 2" xfId="12756" hidden="1"/>
    <cellStyle name="Гиперссылка 2" xfId="12933" hidden="1"/>
    <cellStyle name="Гиперссылка 2" xfId="12461" hidden="1"/>
    <cellStyle name="Гиперссылка 2" xfId="12564" hidden="1"/>
    <cellStyle name="Гиперссылка 2" xfId="12220" hidden="1"/>
    <cellStyle name="Гиперссылка 2" xfId="11961" hidden="1"/>
    <cellStyle name="Гиперссылка 2" xfId="12556" hidden="1"/>
    <cellStyle name="Гиперссылка 2" xfId="12423" hidden="1"/>
    <cellStyle name="Гиперссылка 2" xfId="12652" hidden="1"/>
    <cellStyle name="Гиперссылка 2" xfId="13315" hidden="1"/>
    <cellStyle name="Гиперссылка 2" xfId="12055" hidden="1"/>
    <cellStyle name="Гиперссылка 2" xfId="12322" hidden="1"/>
    <cellStyle name="Гиперссылка 2" xfId="12846" hidden="1"/>
    <cellStyle name="Гиперссылка 2" xfId="12929" hidden="1"/>
    <cellStyle name="Гиперссылка 2" xfId="13035" hidden="1"/>
    <cellStyle name="Гиперссылка 2" xfId="13110" hidden="1"/>
    <cellStyle name="Гиперссылка 2" xfId="12866" hidden="1"/>
    <cellStyle name="Гиперссылка 2" xfId="12678" hidden="1"/>
    <cellStyle name="Гиперссылка 2" xfId="12595" hidden="1"/>
    <cellStyle name="Гиперссылка 2" xfId="12369" hidden="1"/>
    <cellStyle name="Гиперссылка 2" xfId="12185" hidden="1"/>
    <cellStyle name="Гиперссылка 2" xfId="12425" hidden="1"/>
    <cellStyle name="Гиперссылка 2" xfId="12075" hidden="1"/>
    <cellStyle name="Гиперссылка 2" xfId="12061" hidden="1"/>
    <cellStyle name="Гиперссылка 2" xfId="12053" hidden="1"/>
    <cellStyle name="Гиперссылка 2" xfId="12331" hidden="1"/>
    <cellStyle name="Гиперссылка 2" xfId="13191" hidden="1"/>
    <cellStyle name="Гиперссылка 2" xfId="13245" hidden="1"/>
    <cellStyle name="Гиперссылка 2" xfId="12127" hidden="1"/>
    <cellStyle name="Гиперссылка 2" xfId="12574" hidden="1"/>
    <cellStyle name="Гиперссылка 2" xfId="13322" hidden="1"/>
    <cellStyle name="Гиперссылка 2" xfId="11988" hidden="1"/>
    <cellStyle name="Гиперссылка 2" xfId="13196" hidden="1"/>
    <cellStyle name="Гиперссылка 2" xfId="12782" hidden="1"/>
    <cellStyle name="Гиперссылка 2" xfId="13400" hidden="1"/>
    <cellStyle name="Гиперссылка 2" xfId="13399" hidden="1"/>
    <cellStyle name="Гиперссылка 2" xfId="13410" hidden="1"/>
    <cellStyle name="Гиперссылка 2" xfId="13411" hidden="1"/>
    <cellStyle name="Гиперссылка 2" xfId="13416" hidden="1"/>
    <cellStyle name="Гиперссылка 2" xfId="13417" hidden="1"/>
    <cellStyle name="Гиперссылка 2" xfId="13413" hidden="1"/>
    <cellStyle name="Гиперссылка 2" xfId="13412" hidden="1"/>
    <cellStyle name="Гиперссылка 2" xfId="13415" hidden="1"/>
    <cellStyle name="Гиперссылка 2" xfId="13414" hidden="1"/>
    <cellStyle name="Гиперссылка 2" xfId="13419" hidden="1"/>
    <cellStyle name="Гиперссылка 2" xfId="13418" hidden="1"/>
    <cellStyle name="Гиперссылка 2" xfId="13421" hidden="1"/>
    <cellStyle name="Гиперссылка 2" xfId="13422" hidden="1"/>
    <cellStyle name="Гиперссылка 2" xfId="13427" hidden="1"/>
    <cellStyle name="Гиперссылка 2" xfId="13428" hidden="1"/>
    <cellStyle name="Гиперссылка 2" xfId="13424" hidden="1"/>
    <cellStyle name="Гиперссылка 2" xfId="13423" hidden="1"/>
    <cellStyle name="Гиперссылка 2" xfId="13426" hidden="1"/>
    <cellStyle name="Гиперссылка 2" xfId="13425" hidden="1"/>
    <cellStyle name="Гиперссылка 2" xfId="13430" hidden="1"/>
    <cellStyle name="Гиперссылка 2" xfId="13429" hidden="1"/>
    <cellStyle name="Гиперссылка 2" xfId="13431" hidden="1"/>
    <cellStyle name="Гиперссылка 2" xfId="13432" hidden="1"/>
    <cellStyle name="Гиперссылка 2" xfId="13437" hidden="1"/>
    <cellStyle name="Гиперссылка 2" xfId="13438" hidden="1"/>
    <cellStyle name="Гиперссылка 2" xfId="13434" hidden="1"/>
    <cellStyle name="Гиперссылка 2" xfId="13433" hidden="1"/>
    <cellStyle name="Гиперссылка 2" xfId="13436" hidden="1"/>
    <cellStyle name="Гиперссылка 2" xfId="13435" hidden="1"/>
    <cellStyle name="Гиперссылка 2" xfId="13440" hidden="1"/>
    <cellStyle name="Гиперссылка 2" xfId="13439" hidden="1"/>
    <cellStyle name="Гиперссылка 2" xfId="12685" hidden="1"/>
    <cellStyle name="Гиперссылка 2" xfId="12288" hidden="1"/>
    <cellStyle name="Гиперссылка 2" xfId="12457" hidden="1"/>
    <cellStyle name="Гиперссылка 2" xfId="12453" hidden="1"/>
    <cellStyle name="Гиперссылка 2" xfId="13085" hidden="1"/>
    <cellStyle name="Гиперссылка 2" xfId="13405" hidden="1"/>
    <cellStyle name="Гиперссылка 2" xfId="12354" hidden="1"/>
    <cellStyle name="Гиперссылка 2" xfId="12572" hidden="1"/>
    <cellStyle name="Гиперссылка 2" xfId="13479" hidden="1"/>
    <cellStyle name="Гиперссылка 2" xfId="13478" hidden="1"/>
    <cellStyle name="Гиперссылка 2" xfId="13488" hidden="1"/>
    <cellStyle name="Гиперссылка 2" xfId="13489" hidden="1"/>
    <cellStyle name="Гиперссылка 2" xfId="13494" hidden="1"/>
    <cellStyle name="Гиперссылка 2" xfId="13495" hidden="1"/>
    <cellStyle name="Гиперссылка 2" xfId="13491" hidden="1"/>
    <cellStyle name="Гиперссылка 2" xfId="13490" hidden="1"/>
    <cellStyle name="Гиперссылка 2" xfId="13493" hidden="1"/>
    <cellStyle name="Гиперссылка 2" xfId="13492" hidden="1"/>
    <cellStyle name="Гиперссылка 2" xfId="13497" hidden="1"/>
    <cellStyle name="Гиперссылка 2" xfId="13496" hidden="1"/>
    <cellStyle name="Гиперссылка 2" xfId="13498" hidden="1"/>
    <cellStyle name="Гиперссылка 2" xfId="13499" hidden="1"/>
    <cellStyle name="Гиперссылка 2" xfId="13504" hidden="1"/>
    <cellStyle name="Гиперссылка 2" xfId="13505" hidden="1"/>
    <cellStyle name="Гиперссылка 2" xfId="13501" hidden="1"/>
    <cellStyle name="Гиперссылка 2" xfId="13500" hidden="1"/>
    <cellStyle name="Гиперссылка 2" xfId="13503" hidden="1"/>
    <cellStyle name="Гиперссылка 2" xfId="13502" hidden="1"/>
    <cellStyle name="Гиперссылка 2" xfId="13507" hidden="1"/>
    <cellStyle name="Гиперссылка 2" xfId="13506" hidden="1"/>
    <cellStyle name="Гиперссылка 2" xfId="13508" hidden="1"/>
    <cellStyle name="Гиперссылка 2" xfId="13509" hidden="1"/>
    <cellStyle name="Гиперссылка 2" xfId="13514" hidden="1"/>
    <cellStyle name="Гиперссылка 2" xfId="13515" hidden="1"/>
    <cellStyle name="Гиперссылка 2" xfId="13511" hidden="1"/>
    <cellStyle name="Гиперссылка 2" xfId="13510" hidden="1"/>
    <cellStyle name="Гиперссылка 2" xfId="13513" hidden="1"/>
    <cellStyle name="Гиперссылка 2" xfId="13512" hidden="1"/>
    <cellStyle name="Гиперссылка 2" xfId="13517" hidden="1"/>
    <cellStyle name="Гиперссылка 2" xfId="13516" hidden="1"/>
    <cellStyle name="Гиперссылка 2" xfId="8919" hidden="1"/>
    <cellStyle name="Гиперссылка 2" xfId="12473" hidden="1"/>
    <cellStyle name="Гиперссылка 2" xfId="12019" hidden="1"/>
    <cellStyle name="Гиперссылка 2" xfId="13195" hidden="1"/>
    <cellStyle name="Гиперссылка 2" xfId="13454" hidden="1"/>
    <cellStyle name="Гиперссылка 2" xfId="13485" hidden="1"/>
    <cellStyle name="Гиперссылка 2" xfId="12377" hidden="1"/>
    <cellStyle name="Гиперссылка 2" xfId="13445" hidden="1"/>
    <cellStyle name="Гиперссылка 2" xfId="13546" hidden="1"/>
    <cellStyle name="Гиперссылка 2" xfId="13545" hidden="1"/>
    <cellStyle name="Гиперссылка 2" xfId="13559" hidden="1"/>
    <cellStyle name="Гиперссылка 2" xfId="13560" hidden="1"/>
    <cellStyle name="Гиперссылка 2" xfId="13566" hidden="1"/>
    <cellStyle name="Гиперссылка 2" xfId="13567" hidden="1"/>
    <cellStyle name="Гиперссылка 2" xfId="13563" hidden="1"/>
    <cellStyle name="Гиперссылка 2" xfId="13562" hidden="1"/>
    <cellStyle name="Гиперссылка 2" xfId="13565" hidden="1"/>
    <cellStyle name="Гиперссылка 2" xfId="13564" hidden="1"/>
    <cellStyle name="Гиперссылка 2" xfId="13569" hidden="1"/>
    <cellStyle name="Гиперссылка 2" xfId="13568" hidden="1"/>
    <cellStyle name="Гиперссылка 2" xfId="13572" hidden="1"/>
    <cellStyle name="Гиперссылка 2" xfId="13573" hidden="1"/>
    <cellStyle name="Гиперссылка 2" xfId="13578" hidden="1"/>
    <cellStyle name="Гиперссылка 2" xfId="13579" hidden="1"/>
    <cellStyle name="Гиперссылка 2" xfId="13575" hidden="1"/>
    <cellStyle name="Гиперссылка 2" xfId="13574" hidden="1"/>
    <cellStyle name="Гиперссылка 2" xfId="13577" hidden="1"/>
    <cellStyle name="Гиперссылка 2" xfId="13576" hidden="1"/>
    <cellStyle name="Гиперссылка 2" xfId="13581" hidden="1"/>
    <cellStyle name="Гиперссылка 2" xfId="13580" hidden="1"/>
    <cellStyle name="Гиперссылка 2" xfId="13582" hidden="1"/>
    <cellStyle name="Гиперссылка 2" xfId="13583" hidden="1"/>
    <cellStyle name="Гиперссылка 2" xfId="13588" hidden="1"/>
    <cellStyle name="Гиперссылка 2" xfId="13589" hidden="1"/>
    <cellStyle name="Гиперссылка 2" xfId="13585" hidden="1"/>
    <cellStyle name="Гиперссылка 2" xfId="13584" hidden="1"/>
    <cellStyle name="Гиперссылка 2" xfId="13587" hidden="1"/>
    <cellStyle name="Гиперссылка 2" xfId="13586" hidden="1"/>
    <cellStyle name="Гиперссылка 2" xfId="13591" hidden="1"/>
    <cellStyle name="Гиперссылка 2" xfId="13590" hidden="1"/>
    <cellStyle name="Гиперссылка 2" xfId="13446" hidden="1"/>
    <cellStyle name="Гиперссылка 2" xfId="12942" hidden="1"/>
    <cellStyle name="Гиперссылка 2" xfId="12670" hidden="1"/>
    <cellStyle name="Гиперссылка 2" xfId="12045" hidden="1"/>
    <cellStyle name="Гиперссылка 2" xfId="13526" hidden="1"/>
    <cellStyle name="Гиперссылка 2" xfId="13554" hidden="1"/>
    <cellStyle name="Гиперссылка 2" xfId="13028" hidden="1"/>
    <cellStyle name="Гиперссылка 2" xfId="13520" hidden="1"/>
    <cellStyle name="Гиперссылка 2" xfId="13618" hidden="1"/>
    <cellStyle name="Гиперссылка 2" xfId="13617" hidden="1"/>
    <cellStyle name="Гиперссылка 2" xfId="13629" hidden="1"/>
    <cellStyle name="Гиперссылка 2" xfId="13630" hidden="1"/>
    <cellStyle name="Гиперссылка 2" xfId="13635" hidden="1"/>
    <cellStyle name="Гиперссылка 2" xfId="13636" hidden="1"/>
    <cellStyle name="Гиперссылка 2" xfId="13632" hidden="1"/>
    <cellStyle name="Гиперссылка 2" xfId="13631" hidden="1"/>
    <cellStyle name="Гиперссылка 2" xfId="13634" hidden="1"/>
    <cellStyle name="Гиперссылка 2" xfId="13633" hidden="1"/>
    <cellStyle name="Гиперссылка 2" xfId="13638" hidden="1"/>
    <cellStyle name="Гиперссылка 2" xfId="13637" hidden="1"/>
    <cellStyle name="Гиперссылка 2" xfId="13639" hidden="1"/>
    <cellStyle name="Гиперссылка 2" xfId="13640" hidden="1"/>
    <cellStyle name="Гиперссылка 2" xfId="13645" hidden="1"/>
    <cellStyle name="Гиперссылка 2" xfId="13646" hidden="1"/>
    <cellStyle name="Гиперссылка 2" xfId="13642" hidden="1"/>
    <cellStyle name="Гиперссылка 2" xfId="13641" hidden="1"/>
    <cellStyle name="Гиперссылка 2" xfId="13644" hidden="1"/>
    <cellStyle name="Гиперссылка 2" xfId="13643" hidden="1"/>
    <cellStyle name="Гиперссылка 2" xfId="13648" hidden="1"/>
    <cellStyle name="Гиперссылка 2" xfId="13647" hidden="1"/>
    <cellStyle name="Гиперссылка 2" xfId="13649" hidden="1"/>
    <cellStyle name="Гиперссылка 2" xfId="13650" hidden="1"/>
    <cellStyle name="Гиперссылка 2" xfId="13655" hidden="1"/>
    <cellStyle name="Гиперссылка 2" xfId="13656" hidden="1"/>
    <cellStyle name="Гиперссылка 2" xfId="13652" hidden="1"/>
    <cellStyle name="Гиперссылка 2" xfId="13651" hidden="1"/>
    <cellStyle name="Гиперссылка 2" xfId="13654" hidden="1"/>
    <cellStyle name="Гиперссылка 2" xfId="13653" hidden="1"/>
    <cellStyle name="Гиперссылка 2" xfId="13658" hidden="1"/>
    <cellStyle name="Гиперссылка 2" xfId="13657" hidden="1"/>
    <cellStyle name="Гиперссылка 2" xfId="13521" hidden="1"/>
    <cellStyle name="Гиперссылка 2" xfId="12922" hidden="1"/>
    <cellStyle name="Гиперссылка 2" xfId="12793" hidden="1"/>
    <cellStyle name="Гиперссылка 2" xfId="12439" hidden="1"/>
    <cellStyle name="Гиперссылка 2" xfId="13601" hidden="1"/>
    <cellStyle name="Гиперссылка 2" xfId="13625" hidden="1"/>
    <cellStyle name="Гиперссылка 2" xfId="13128" hidden="1"/>
    <cellStyle name="Гиперссылка 2" xfId="13595" hidden="1"/>
    <cellStyle name="Гиперссылка 2" xfId="13682" hidden="1"/>
    <cellStyle name="Гиперссылка 2" xfId="13681" hidden="1"/>
    <cellStyle name="Гиперссылка 2" xfId="13691" hidden="1"/>
    <cellStyle name="Гиперссылка 2" xfId="13692" hidden="1"/>
    <cellStyle name="Гиперссылка 2" xfId="13697" hidden="1"/>
    <cellStyle name="Гиперссылка 2" xfId="13698" hidden="1"/>
    <cellStyle name="Гиперссылка 2" xfId="13694" hidden="1"/>
    <cellStyle name="Гиперссылка 2" xfId="13693" hidden="1"/>
    <cellStyle name="Гиперссылка 2" xfId="13696" hidden="1"/>
    <cellStyle name="Гиперссылка 2" xfId="13695" hidden="1"/>
    <cellStyle name="Гиперссылка 2" xfId="13700" hidden="1"/>
    <cellStyle name="Гиперссылка 2" xfId="13699" hidden="1"/>
    <cellStyle name="Гиперссылка 2" xfId="13702" hidden="1"/>
    <cellStyle name="Гиперссылка 2" xfId="13703" hidden="1"/>
    <cellStyle name="Гиперссылка 2" xfId="13708" hidden="1"/>
    <cellStyle name="Гиперссылка 2" xfId="13709" hidden="1"/>
    <cellStyle name="Гиперссылка 2" xfId="13705" hidden="1"/>
    <cellStyle name="Гиперссылка 2" xfId="13704" hidden="1"/>
    <cellStyle name="Гиперссылка 2" xfId="13707" hidden="1"/>
    <cellStyle name="Гиперссылка 2" xfId="13706" hidden="1"/>
    <cellStyle name="Гиперссылка 2" xfId="13711" hidden="1"/>
    <cellStyle name="Гиперссылка 2" xfId="13710" hidden="1"/>
    <cellStyle name="Гиперссылка 2" xfId="13712" hidden="1"/>
    <cellStyle name="Гиперссылка 2" xfId="13713" hidden="1"/>
    <cellStyle name="Гиперссылка 2" xfId="13718" hidden="1"/>
    <cellStyle name="Гиперссылка 2" xfId="13719" hidden="1"/>
    <cellStyle name="Гиперссылка 2" xfId="13715" hidden="1"/>
    <cellStyle name="Гиперссылка 2" xfId="13714" hidden="1"/>
    <cellStyle name="Гиперссылка 2" xfId="13717" hidden="1"/>
    <cellStyle name="Гиперссылка 2" xfId="13716" hidden="1"/>
    <cellStyle name="Гиперссылка 2" xfId="13721" hidden="1"/>
    <cellStyle name="Гиперссылка 2" xfId="13720" hidden="1"/>
    <cellStyle name="Гиперссылка 2" xfId="13596" hidden="1"/>
    <cellStyle name="Гиперссылка 2" xfId="13019" hidden="1"/>
    <cellStyle name="Гиперссылка 2" xfId="12329" hidden="1"/>
    <cellStyle name="Гиперссылка 2" xfId="12783" hidden="1"/>
    <cellStyle name="Гиперссылка 2" xfId="13665" hidden="1"/>
    <cellStyle name="Гиперссылка 2" xfId="13689" hidden="1"/>
    <cellStyle name="Гиперссылка 2" xfId="13386" hidden="1"/>
    <cellStyle name="Гиперссылка 2" xfId="13659" hidden="1"/>
    <cellStyle name="Гиперссылка 2" xfId="13738" hidden="1"/>
    <cellStyle name="Гиперссылка 2" xfId="13737" hidden="1"/>
    <cellStyle name="Гиперссылка 2" xfId="13743" hidden="1"/>
    <cellStyle name="Гиперссылка 2" xfId="13744" hidden="1"/>
    <cellStyle name="Гиперссылка 2" xfId="13749" hidden="1"/>
    <cellStyle name="Гиперссылка 2" xfId="13750" hidden="1"/>
    <cellStyle name="Гиперссылка 2" xfId="13746" hidden="1"/>
    <cellStyle name="Гиперссылка 2" xfId="13745" hidden="1"/>
    <cellStyle name="Гиперссылка 2" xfId="13748" hidden="1"/>
    <cellStyle name="Гиперссылка 2" xfId="13747" hidden="1"/>
    <cellStyle name="Гиперссылка 2" xfId="13752" hidden="1"/>
    <cellStyle name="Гиперссылка 2" xfId="13751" hidden="1"/>
    <cellStyle name="Гиперссылка 2" xfId="13753" hidden="1"/>
    <cellStyle name="Гиперссылка 2" xfId="13754" hidden="1"/>
    <cellStyle name="Гиперссылка 2" xfId="13759" hidden="1"/>
    <cellStyle name="Гиперссылка 2" xfId="13760" hidden="1"/>
    <cellStyle name="Гиперссылка 2" xfId="13756" hidden="1"/>
    <cellStyle name="Гиперссылка 2" xfId="13755" hidden="1"/>
    <cellStyle name="Гиперссылка 2" xfId="13758" hidden="1"/>
    <cellStyle name="Гиперссылка 2" xfId="13757" hidden="1"/>
    <cellStyle name="Гиперссылка 2" xfId="13762" hidden="1"/>
    <cellStyle name="Гиперссылка 2" xfId="13761" hidden="1"/>
    <cellStyle name="Гиперссылка 2" xfId="13763" hidden="1"/>
    <cellStyle name="Гиперссылка 2" xfId="13764" hidden="1"/>
    <cellStyle name="Гиперссылка 2" xfId="13769" hidden="1"/>
    <cellStyle name="Гиперссылка 2" xfId="13770" hidden="1"/>
    <cellStyle name="Гиперссылка 2" xfId="13766" hidden="1"/>
    <cellStyle name="Гиперссылка 2" xfId="13765" hidden="1"/>
    <cellStyle name="Гиперссылка 2" xfId="13768" hidden="1"/>
    <cellStyle name="Гиперссылка 2" xfId="13767" hidden="1"/>
    <cellStyle name="Гиперссылка 2" xfId="13772" hidden="1"/>
    <cellStyle name="Гиперссылка 2" xfId="13771" hidden="1"/>
    <cellStyle name="Гиперссылка 2" xfId="13660" hidden="1"/>
    <cellStyle name="Гиперссылка 2" xfId="12683" hidden="1"/>
    <cellStyle name="Гиперссылка 2" xfId="13453" hidden="1"/>
    <cellStyle name="Гиперссылка 2" xfId="12435" hidden="1"/>
    <cellStyle name="Гиперссылка 2" xfId="13725" hidden="1"/>
    <cellStyle name="Гиперссылка 2" xfId="13742" hidden="1"/>
    <cellStyle name="Гиперссылка 2" xfId="13465" hidden="1"/>
    <cellStyle name="Гиперссылка 2" xfId="13723" hidden="1"/>
    <cellStyle name="Гиперссылка 2" xfId="13774" hidden="1"/>
    <cellStyle name="Гиперссылка 2" xfId="13773" hidden="1"/>
    <cellStyle name="Гиперссылка 2" xfId="13775" hidden="1"/>
    <cellStyle name="Гиперссылка 2" xfId="13776" hidden="1"/>
    <cellStyle name="Гиперссылка 2" xfId="13781" hidden="1"/>
    <cellStyle name="Гиперссылка 2" xfId="13782" hidden="1"/>
    <cellStyle name="Гиперссылка 2" xfId="13778" hidden="1"/>
    <cellStyle name="Гиперссылка 2" xfId="13777" hidden="1"/>
    <cellStyle name="Гиперссылка 2" xfId="13780" hidden="1"/>
    <cellStyle name="Гиперссылка 2" xfId="13779" hidden="1"/>
    <cellStyle name="Гиперссылка 2" xfId="13784" hidden="1"/>
    <cellStyle name="Гиперссылка 2" xfId="13783" hidden="1"/>
    <cellStyle name="Гиперссылка 2" xfId="13785" hidden="1"/>
    <cellStyle name="Гиперссылка 2" xfId="13786" hidden="1"/>
    <cellStyle name="Гиперссылка 2" xfId="13791" hidden="1"/>
    <cellStyle name="Гиперссылка 2" xfId="13792" hidden="1"/>
    <cellStyle name="Гиперссылка 2" xfId="13788" hidden="1"/>
    <cellStyle name="Гиперссылка 2" xfId="13787" hidden="1"/>
    <cellStyle name="Гиперссылка 2" xfId="13790" hidden="1"/>
    <cellStyle name="Гиперссылка 2" xfId="13789" hidden="1"/>
    <cellStyle name="Гиперссылка 2" xfId="13794" hidden="1"/>
    <cellStyle name="Гиперссылка 2" xfId="13793" hidden="1"/>
    <cellStyle name="Гиперссылка 2" xfId="13795" hidden="1"/>
    <cellStyle name="Гиперссылка 2" xfId="13796" hidden="1"/>
    <cellStyle name="Гиперссылка 2" xfId="13801" hidden="1"/>
    <cellStyle name="Гиперссылка 2" xfId="13802" hidden="1"/>
    <cellStyle name="Гиперссылка 2" xfId="13798" hidden="1"/>
    <cellStyle name="Гиперссылка 2" xfId="13797" hidden="1"/>
    <cellStyle name="Гиперссылка 2" xfId="13800" hidden="1"/>
    <cellStyle name="Гиперссылка 2" xfId="13799" hidden="1"/>
    <cellStyle name="Гиперссылка 2" xfId="13804" hidden="1"/>
    <cellStyle name="Гиперссылка 2" xfId="13803" hidden="1"/>
    <cellStyle name="Гиперссылка 2" xfId="12064" hidden="1"/>
    <cellStyle name="Гиперссылка 2" xfId="11979" hidden="1"/>
    <cellStyle name="Гиперссылка 2" xfId="13548" hidden="1"/>
    <cellStyle name="Гиперссылка 2" xfId="12346" hidden="1"/>
    <cellStyle name="Гиперссылка 2" xfId="8877" hidden="1"/>
    <cellStyle name="Гиперссылка 2" xfId="12798" hidden="1"/>
    <cellStyle name="Гиперссылка 2" xfId="13263" hidden="1"/>
    <cellStyle name="Гиперссылка 2" xfId="12601" hidden="1"/>
    <cellStyle name="Гиперссылка 2" xfId="13034" hidden="1"/>
    <cellStyle name="Гиперссылка 2" xfId="12157" hidden="1"/>
    <cellStyle name="Гиперссылка 2" xfId="13678" hidden="1"/>
    <cellStyle name="Гиперссылка 2" xfId="13538" hidden="1"/>
    <cellStyle name="Гиперссылка 2" xfId="13249" hidden="1"/>
    <cellStyle name="Гиперссылка 2" xfId="12376" hidden="1"/>
    <cellStyle name="Гиперссылка 2" xfId="13473" hidden="1"/>
    <cellStyle name="Гиперссылка 2" xfId="13614" hidden="1"/>
    <cellStyle name="Гиперссылка 2" xfId="12487" hidden="1"/>
    <cellStyle name="Гиперссылка 2" xfId="12937" hidden="1"/>
    <cellStyle name="Гиперссылка 2" xfId="12309" hidden="1"/>
    <cellStyle name="Гиперссылка 2" xfId="12235" hidden="1"/>
    <cellStyle name="Гиперссылка 2" xfId="12100" hidden="1"/>
    <cellStyle name="Гиперссылка 2" xfId="13112" hidden="1"/>
    <cellStyle name="Гиперссылка 2" xfId="12342" hidden="1"/>
    <cellStyle name="Гиперссылка 2" xfId="12208" hidden="1"/>
    <cellStyle name="Гиперссылка 2" xfId="13014" hidden="1"/>
    <cellStyle name="Гиперссылка 2" xfId="12662" hidden="1"/>
    <cellStyle name="Гиперссылка 2" xfId="13013" hidden="1"/>
    <cellStyle name="Гиперссылка 2" xfId="12455" hidden="1"/>
    <cellStyle name="Гиперссылка 2" xfId="12478" hidden="1"/>
    <cellStyle name="Гиперссылка 2" xfId="8920" hidden="1"/>
    <cellStyle name="Гиперссылка 2" xfId="12493" hidden="1"/>
    <cellStyle name="Гиперссылка 2" xfId="12764" hidden="1"/>
    <cellStyle name="Гиперссылка 2" xfId="12861" hidden="1"/>
    <cellStyle name="Гиперссылка 2" xfId="12073" hidden="1"/>
    <cellStyle name="Гиперссылка 2" xfId="12744" hidden="1"/>
    <cellStyle name="Гиперссылка 2" xfId="13020" hidden="1"/>
    <cellStyle name="Гиперссылка 2" xfId="12801" hidden="1"/>
    <cellStyle name="Гиперссылка 2" xfId="12352" hidden="1"/>
    <cellStyle name="Гиперссылка 2" xfId="12422" hidden="1"/>
    <cellStyle name="Гиперссылка 2" xfId="12188" hidden="1"/>
    <cellStyle name="Гиперссылка 2" xfId="12164" hidden="1"/>
    <cellStyle name="Гиперссылка 2" xfId="12689" hidden="1"/>
    <cellStyle name="Гиперссылка 2" xfId="12361" hidden="1"/>
    <cellStyle name="Гиперссылка 2" xfId="12466" hidden="1"/>
    <cellStyle name="Гиперссылка 2" xfId="13054" hidden="1"/>
    <cellStyle name="Гиперссылка 2" xfId="12559" hidden="1"/>
    <cellStyle name="Гиперссылка 2" xfId="13607" hidden="1"/>
    <cellStyle name="Гиперссылка 2" xfId="13669" hidden="1"/>
    <cellStyle name="Гиперссылка 2" xfId="8901" hidden="1"/>
    <cellStyle name="Гиперссылка 2" xfId="12557" hidden="1"/>
    <cellStyle name="Гиперссылка 2" xfId="12193" hidden="1"/>
    <cellStyle name="Гиперссылка 2" xfId="12781" hidden="1"/>
    <cellStyle name="Гиперссылка 2" xfId="13124" hidden="1"/>
    <cellStyle name="Гиперссылка 2" xfId="12336" hidden="1"/>
    <cellStyle name="Гиперссылка 2" xfId="12175" hidden="1"/>
    <cellStyle name="Гиперссылка 2" xfId="13204" hidden="1"/>
    <cellStyle name="Гиперссылка 2" xfId="13165" hidden="1"/>
    <cellStyle name="Гиперссылка 2" xfId="12749" hidden="1"/>
    <cellStyle name="Гиперссылка 2" xfId="8892" hidden="1"/>
    <cellStyle name="Гиперссылка 2" xfId="12359" hidden="1"/>
    <cellStyle name="Гиперссылка 2" xfId="13626" hidden="1"/>
    <cellStyle name="Гиперссылка 2" xfId="13486" hidden="1"/>
    <cellStyle name="Гиперссылка 2" xfId="12132" hidden="1"/>
    <cellStyle name="Гиперссылка 2" xfId="12882" hidden="1"/>
    <cellStyle name="Гиперссылка 2" xfId="13610" hidden="1"/>
    <cellStyle name="Гиперссылка 2" xfId="13731" hidden="1"/>
    <cellStyle name="Гиперссылка 2" xfId="13391" hidden="1"/>
    <cellStyle name="Гиперссылка 2" xfId="13468" hidden="1"/>
    <cellStyle name="Гиперссылка 2" xfId="11959" hidden="1"/>
    <cellStyle name="Гиперссылка 2" xfId="8890" hidden="1"/>
    <cellStyle name="Гиперссылка 2" xfId="13120" hidden="1"/>
    <cellStyle name="Гиперссылка 2" xfId="12794" hidden="1"/>
    <cellStyle name="Гиперссылка 2" xfId="13481" hidden="1"/>
    <cellStyle name="Гиперссылка 2" xfId="13171" hidden="1"/>
    <cellStyle name="Гиперссылка 2" xfId="12282" hidden="1"/>
    <cellStyle name="Гиперссылка 2" xfId="12682" hidden="1"/>
    <cellStyle name="Гиперссылка 2" xfId="13621" hidden="1"/>
    <cellStyle name="Гиперссылка 2" xfId="12007" hidden="1"/>
    <cellStyle name="Гиперссылка 2" xfId="13623" hidden="1"/>
    <cellStyle name="Гиперссылка 2" xfId="13686" hidden="1"/>
    <cellStyle name="Гиперссылка 2" xfId="12388" hidden="1"/>
    <cellStyle name="Гиперссылка 2" xfId="13265" hidden="1"/>
    <cellStyle name="Гиперссылка 2" xfId="13539" hidden="1"/>
    <cellStyle name="Гиперссылка 2" xfId="12284" hidden="1"/>
    <cellStyle name="Гиперссылка 2" xfId="12286" hidden="1"/>
    <cellStyle name="Гиперссылка 2" xfId="8912" hidden="1"/>
    <cellStyle name="Гиперссылка 2" xfId="12599" hidden="1"/>
    <cellStyle name="Гиперссылка 2" xfId="12589" hidden="1"/>
    <cellStyle name="Гиперссылка 2" xfId="11971" hidden="1"/>
    <cellStyle name="Гиперссылка 2" xfId="13044" hidden="1"/>
    <cellStyle name="Гиперссылка 2" xfId="12638" hidden="1"/>
    <cellStyle name="Гиперссылка 2" xfId="8897" hidden="1"/>
    <cellStyle name="Гиперссылка 2" xfId="12270" hidden="1"/>
    <cellStyle name="Гиперссылка 2" xfId="12077" hidden="1"/>
    <cellStyle name="Гиперссылка 2" xfId="13570" hidden="1"/>
    <cellStyle name="Гиперссылка 2" xfId="12297" hidden="1"/>
    <cellStyle name="Гиперссылка 2" xfId="12145" hidden="1"/>
    <cellStyle name="Гиперссылка 2" xfId="13420" hidden="1"/>
    <cellStyle name="Гиперссылка 2" xfId="12215" hidden="1"/>
    <cellStyle name="Гиперссылка 2" xfId="12097" hidden="1"/>
    <cellStyle name="Гиперссылка 2" xfId="12881" hidden="1"/>
    <cellStyle name="Гиперссылка 2" xfId="12762" hidden="1"/>
    <cellStyle name="Гиперссылка 2" xfId="12165" hidden="1"/>
    <cellStyle name="Гиперссылка 2" xfId="13090" hidden="1"/>
    <cellStyle name="Гиперссылка 2" xfId="13302" hidden="1"/>
    <cellStyle name="Гиперссылка 2" xfId="12964" hidden="1"/>
    <cellStyle name="Гиперссылка 2" xfId="12278" hidden="1"/>
    <cellStyle name="Гиперссылка 2" xfId="12333" hidden="1"/>
    <cellStyle name="Гиперссылка 2" xfId="12088" hidden="1"/>
    <cellStyle name="Гиперссылка 2" xfId="12971" hidden="1"/>
    <cellStyle name="Гиперссылка 2" xfId="12677" hidden="1"/>
    <cellStyle name="Гиперссылка 2" xfId="12696" hidden="1"/>
    <cellStyle name="Гиперссылка 2" xfId="12606" hidden="1"/>
    <cellStyle name="Гиперссылка 2" xfId="12674" hidden="1"/>
    <cellStyle name="Гиперссылка 2" xfId="12655" hidden="1"/>
    <cellStyle name="Гиперссылка 2" xfId="12869" hidden="1"/>
    <cellStyle name="Гиперссылка 2" xfId="12001" hidden="1"/>
    <cellStyle name="Гиперссылка 2" xfId="12426" hidden="1"/>
    <cellStyle name="Гиперссылка 2" xfId="11986" hidden="1"/>
    <cellStyle name="Гиперссылка 2" xfId="12859" hidden="1"/>
    <cellStyle name="Гиперссылка 2" xfId="13113" hidden="1"/>
    <cellStyle name="Гиперссылка 2" xfId="13177" hidden="1"/>
    <cellStyle name="Гиперссылка 2" xfId="13131" hidden="1"/>
    <cellStyle name="Гиперссылка 2" xfId="12449" hidden="1"/>
    <cellStyle name="Гиперссылка 2" xfId="12383" hidden="1"/>
    <cellStyle name="Гиперссылка 2" xfId="8928" hidden="1"/>
    <cellStyle name="Гиперссылка 2" xfId="13543" hidden="1"/>
    <cellStyle name="Гиперссылка 2" xfId="13091" hidden="1"/>
    <cellStyle name="Гиперссылка 2" xfId="11960" hidden="1"/>
    <cellStyle name="Гиперссылка 2" xfId="12956" hidden="1"/>
    <cellStyle name="Гиперссылка 2" xfId="12796" hidden="1"/>
    <cellStyle name="Гиперссылка 2" xfId="12216" hidden="1"/>
    <cellStyle name="Гиперссылка 2" xfId="13203" hidden="1"/>
    <cellStyle name="Гиперссылка 2" xfId="12970" hidden="1"/>
    <cellStyle name="Гиперссылка 2" xfId="13673" hidden="1"/>
    <cellStyle name="Гиперссылка 2" xfId="13306" hidden="1"/>
    <cellStyle name="Гиперссылка 2" xfId="13466" hidden="1"/>
    <cellStyle name="Гиперссылка 2" xfId="13534" hidden="1"/>
    <cellStyle name="Гиперссылка 2" xfId="13167" hidden="1"/>
    <cellStyle name="Гиперссылка 2" xfId="12083" hidden="1"/>
    <cellStyle name="Гиперссылка 2" xfId="12927" hidden="1"/>
    <cellStyle name="Гиперссылка 2" xfId="12694" hidden="1"/>
    <cellStyle name="Гиперссылка 2" xfId="12010" hidden="1"/>
    <cellStyle name="Гиперссылка 2" xfId="12658" hidden="1"/>
    <cellStyle name="Гиперссылка 2" xfId="13048" hidden="1"/>
    <cellStyle name="Гиперссылка 2" xfId="12645" hidden="1"/>
    <cellStyle name="Гиперссылка 2" xfId="12432" hidden="1"/>
    <cellStyle name="Гиперссылка 2" xfId="12113" hidden="1"/>
    <cellStyle name="Гиперссылка 2" xfId="12492" hidden="1"/>
    <cellStyle name="Гиперссылка 2" xfId="12396" hidden="1"/>
    <cellStyle name="Гиперссылка 2" xfId="12232" hidden="1"/>
    <cellStyle name="Гиперссылка 2" xfId="8903" hidden="1"/>
    <cellStyle name="Гиперссылка 2" xfId="12483" hidden="1"/>
    <cellStyle name="Гиперссылка 2" xfId="12433" hidden="1"/>
    <cellStyle name="Гиперссылка 2" xfId="13307" hidden="1"/>
    <cellStyle name="Гиперссылка 2" xfId="12561" hidden="1"/>
    <cellStyle name="Гиперссылка 2" xfId="12140" hidden="1"/>
    <cellStyle name="Гиперссылка 2" xfId="12503" hidden="1"/>
    <cellStyle name="Гиперссылка 2" xfId="12059" hidden="1"/>
    <cellStyle name="Гиперссылка 2" xfId="12226" hidden="1"/>
    <cellStyle name="Гиперссылка 2" xfId="12225" hidden="1"/>
    <cellStyle name="Гиперссылка 2" xfId="13444" hidden="1"/>
    <cellStyle name="Гиперссылка 2" xfId="13178" hidden="1"/>
    <cellStyle name="Гиперссылка 2" xfId="13129" hidden="1"/>
    <cellStyle name="Гиперссылка 2" xfId="12409" hidden="1"/>
    <cellStyle name="Гиперссылка 2" xfId="13457" hidden="1"/>
    <cellStyle name="Гиперссылка 2" xfId="12924" hidden="1"/>
    <cellStyle name="Гиперссылка 2" xfId="12327" hidden="1"/>
    <cellStyle name="Гиперссылка 2" xfId="12459" hidden="1"/>
    <cellStyle name="Гиперссылка 2" xfId="13256" hidden="1"/>
    <cellStyle name="Гиперссылка 2" xfId="13611" hidden="1"/>
    <cellStyle name="Гиперссылка 2" xfId="13470" hidden="1"/>
    <cellStyle name="Гиперссылка 2" xfId="8923" hidden="1"/>
    <cellStyle name="Гиперссылка 2" xfId="12108" hidden="1"/>
    <cellStyle name="Гиперссылка 2" xfId="8915" hidden="1"/>
    <cellStyle name="Гиперссылка 2" xfId="8917" hidden="1"/>
    <cellStyle name="Гиперссылка 2" xfId="8936" hidden="1"/>
    <cellStyle name="Гиперссылка 2" xfId="12172" hidden="1"/>
    <cellStyle name="Гиперссылка 2" xfId="8916" hidden="1"/>
    <cellStyle name="Гиперссылка 2" xfId="12020" hidden="1"/>
    <cellStyle name="Гиперссылка 2" xfId="12313" hidden="1"/>
    <cellStyle name="Гиперссылка 2" xfId="12475" hidden="1"/>
    <cellStyle name="Гиперссылка 2" xfId="13733" hidden="1"/>
    <cellStyle name="Гиперссылка 2" xfId="13613" hidden="1"/>
    <cellStyle name="Гиперссылка 2" xfId="11975" hidden="1"/>
    <cellStyle name="Гиперссылка 2" xfId="12340" hidden="1"/>
    <cellStyle name="Гиперссылка 2" xfId="12212" hidden="1"/>
    <cellStyle name="Гиперссылка 2" xfId="13122" hidden="1"/>
    <cellStyle name="Гиперссылка 2" xfId="12031" hidden="1"/>
    <cellStyle name="Гиперссылка 2" xfId="12161" hidden="1"/>
    <cellStyle name="Гиперссылка 2" xfId="12386" hidden="1"/>
    <cellStyle name="Гиперссылка 2" xfId="12035" hidden="1"/>
    <cellStyle name="Гиперссылка 2" xfId="12072" hidden="1"/>
    <cellStyle name="Гиперссылка 2" xfId="13250" hidden="1"/>
    <cellStyle name="Гиперссылка 2" xfId="12474" hidden="1"/>
    <cellStyle name="Гиперссылка 2" xfId="12464" hidden="1"/>
    <cellStyle name="Гиперссылка 2" xfId="12444" hidden="1"/>
    <cellStyle name="Гиперссылка 2" xfId="12851" hidden="1"/>
    <cellStyle name="Гиперссылка 2" xfId="12218" hidden="1"/>
    <cellStyle name="Гиперссылка 2" xfId="12091" hidden="1"/>
    <cellStyle name="Гиперссылка 2" xfId="12365" hidden="1"/>
    <cellStyle name="Гиперссылка 2" xfId="12041" hidden="1"/>
    <cellStyle name="Гиперссылка 2" xfId="12925" hidden="1"/>
    <cellStyle name="Гиперссылка 2" xfId="12617" hidden="1"/>
    <cellStyle name="Гиперссылка 2" xfId="13676" hidden="1"/>
    <cellStyle name="Гиперссылка 2" xfId="12126" hidden="1"/>
    <cellStyle name="Гиперссылка 2" xfId="8935" hidden="1"/>
    <cellStyle name="Гиперссылка 2" xfId="13680" hidden="1"/>
    <cellStyle name="Гиперссылка 2" xfId="12198" hidden="1"/>
    <cellStyle name="Гиперссылка 2" xfId="12069" hidden="1"/>
    <cellStyle name="Гиперссылка 2" xfId="13701" hidden="1"/>
    <cellStyle name="Гиперссылка 2" xfId="13571" hidden="1"/>
    <cellStyle name="Гиперссылка 2" xfId="12159" hidden="1"/>
    <cellStyle name="Гиперссылка 2" xfId="12135" hidden="1"/>
    <cellStyle name="Гиперссылка 2" xfId="12953" hidden="1"/>
    <cellStyle name="Гиперссылка 2" xfId="12704" hidden="1"/>
    <cellStyle name="Гиперссылка 2" xfId="13184" hidden="1"/>
    <cellStyle name="Гиперссылка 2" xfId="12355" hidden="1"/>
    <cellStyle name="Гиперссылка 2" xfId="12753" hidden="1"/>
    <cellStyle name="Гиперссылка 2" xfId="12437" hidden="1"/>
    <cellStyle name="Гиперссылка 2" xfId="12372" hidden="1"/>
    <cellStyle name="Гиперссылка 2" xfId="13101" hidden="1"/>
    <cellStyle name="Гиперссылка 2" xfId="12018" hidden="1"/>
    <cellStyle name="Гиперссылка 2" xfId="13734" hidden="1"/>
    <cellStyle name="Гиперссылка 2" xfId="12368" hidden="1"/>
    <cellStyle name="Гиперссылка 2" xfId="13015" hidden="1"/>
    <cellStyle name="Гиперссылка 2" xfId="12699" hidden="1"/>
    <cellStyle name="Гиперссылка 2" xfId="12052" hidden="1"/>
    <cellStyle name="Гиперссылка 2" xfId="13472" hidden="1"/>
    <cellStyle name="Гиперссылка 2" xfId="13540" hidden="1"/>
    <cellStyle name="Гиперссылка 2" xfId="12926" hidden="1"/>
    <cellStyle name="Гиперссылка 2" xfId="12860" hidden="1"/>
    <cellStyle name="Гиперссылка 2" xfId="12669" hidden="1"/>
    <cellStyle name="Гиперссылка 2" xfId="13096" hidden="1"/>
    <cellStyle name="Гиперссылка 2" xfId="13027" hidden="1"/>
    <cellStyle name="Гиперссылка 2" xfId="13038" hidden="1"/>
    <cellStyle name="Гиперссылка 2" xfId="13025" hidden="1"/>
    <cellStyle name="Гиперссылка 2" xfId="12576" hidden="1"/>
    <cellStyle name="Гиперссылка 2" xfId="12434" hidden="1"/>
    <cellStyle name="Гиперссылка 2" xfId="12460" hidden="1"/>
    <cellStyle name="Гиперссылка 2" xfId="13615" hidden="1"/>
    <cellStyle name="Гиперссылка 2" xfId="13667" hidden="1"/>
    <cellStyle name="Гиперссылка 2" xfId="12938" hidden="1"/>
    <cellStyle name="Гиперссылка 2" xfId="12315" hidden="1"/>
    <cellStyle name="Гиперссылка 2" xfId="13741" hidden="1"/>
    <cellStyle name="Гиперссылка 2" xfId="13105" hidden="1"/>
    <cellStyle name="Гиперссылка 2" xfId="13620" hidden="1"/>
    <cellStyle name="Гиперссылка 2" xfId="12044" hidden="1"/>
    <cellStyle name="Гиперссылка 2" xfId="13815" hidden="1"/>
    <cellStyle name="Гиперссылка 2" xfId="13814" hidden="1"/>
    <cellStyle name="Гиперссылка 2" xfId="13822" hidden="1"/>
    <cellStyle name="Гиперссылка 2" xfId="13823" hidden="1"/>
    <cellStyle name="Гиперссылка 2" xfId="13828" hidden="1"/>
    <cellStyle name="Гиперссылка 2" xfId="13829" hidden="1"/>
    <cellStyle name="Гиперссылка 2" xfId="13825" hidden="1"/>
    <cellStyle name="Гиперссылка 2" xfId="13824" hidden="1"/>
    <cellStyle name="Гиперссылка 2" xfId="13827" hidden="1"/>
    <cellStyle name="Гиперссылка 2" xfId="13826" hidden="1"/>
    <cellStyle name="Гиперссылка 2" xfId="13831" hidden="1"/>
    <cellStyle name="Гиперссылка 2" xfId="13830" hidden="1"/>
    <cellStyle name="Гиперссылка 2" xfId="13834" hidden="1"/>
    <cellStyle name="Гиперссылка 2" xfId="13835" hidden="1"/>
    <cellStyle name="Гиперссылка 2" xfId="13840" hidden="1"/>
    <cellStyle name="Гиперссылка 2" xfId="13841" hidden="1"/>
    <cellStyle name="Гиперссылка 2" xfId="13837" hidden="1"/>
    <cellStyle name="Гиперссылка 2" xfId="13836" hidden="1"/>
    <cellStyle name="Гиперссылка 2" xfId="13839" hidden="1"/>
    <cellStyle name="Гиперссылка 2" xfId="13838" hidden="1"/>
    <cellStyle name="Гиперссылка 2" xfId="13843" hidden="1"/>
    <cellStyle name="Гиперссылка 2" xfId="13842" hidden="1"/>
    <cellStyle name="Гиперссылка 2" xfId="13844" hidden="1"/>
    <cellStyle name="Гиперссылка 2" xfId="13845" hidden="1"/>
    <cellStyle name="Гиперссылка 2" xfId="13850" hidden="1"/>
    <cellStyle name="Гиперссылка 2" xfId="13851" hidden="1"/>
    <cellStyle name="Гиперссылка 2" xfId="13847" hidden="1"/>
    <cellStyle name="Гиперссылка 2" xfId="13846" hidden="1"/>
    <cellStyle name="Гиперссылка 2" xfId="13849" hidden="1"/>
    <cellStyle name="Гиперссылка 2" xfId="13848" hidden="1"/>
    <cellStyle name="Гиперссылка 2" xfId="13853" hidden="1"/>
    <cellStyle name="Гиперссылка 2" xfId="13852" hidden="1"/>
    <cellStyle name="Гиперссылка 2" xfId="12384" hidden="1"/>
    <cellStyle name="Гиперссылка 2" xfId="12057" hidden="1"/>
    <cellStyle name="Гиперссылка 2" xfId="13300" hidden="1"/>
    <cellStyle name="Гиперссылка 2" xfId="12112" hidden="1"/>
    <cellStyle name="Гиперссылка 2" xfId="13518" hidden="1"/>
    <cellStyle name="Гиперссылка 2" xfId="13818" hidden="1"/>
    <cellStyle name="Гиперссылка 2" xfId="12917" hidden="1"/>
    <cellStyle name="Гиперссылка 2" xfId="12877" hidden="1"/>
    <cellStyle name="Гиперссылка 2" xfId="13885" hidden="1"/>
    <cellStyle name="Гиперссылка 2" xfId="13884" hidden="1"/>
    <cellStyle name="Гиперссылка 2" xfId="13893" hidden="1"/>
    <cellStyle name="Гиперссылка 2" xfId="13894" hidden="1"/>
    <cellStyle name="Гиперссылка 2" xfId="13899" hidden="1"/>
    <cellStyle name="Гиперссылка 2" xfId="13900" hidden="1"/>
    <cellStyle name="Гиперссылка 2" xfId="13896" hidden="1"/>
    <cellStyle name="Гиперссылка 2" xfId="13895" hidden="1"/>
    <cellStyle name="Гиперссылка 2" xfId="13898" hidden="1"/>
    <cellStyle name="Гиперссылка 2" xfId="13897" hidden="1"/>
    <cellStyle name="Гиперссылка 2" xfId="13902" hidden="1"/>
    <cellStyle name="Гиперссылка 2" xfId="13901" hidden="1"/>
    <cellStyle name="Гиперссылка 2" xfId="13903" hidden="1"/>
    <cellStyle name="Гиперссылка 2" xfId="13904" hidden="1"/>
    <cellStyle name="Гиперссылка 2" xfId="13909" hidden="1"/>
    <cellStyle name="Гиперссылка 2" xfId="13910" hidden="1"/>
    <cellStyle name="Гиперссылка 2" xfId="13906" hidden="1"/>
    <cellStyle name="Гиперссылка 2" xfId="13905" hidden="1"/>
    <cellStyle name="Гиперссылка 2" xfId="13908" hidden="1"/>
    <cellStyle name="Гиперссылка 2" xfId="13907" hidden="1"/>
    <cellStyle name="Гиперссылка 2" xfId="13912" hidden="1"/>
    <cellStyle name="Гиперссылка 2" xfId="13911" hidden="1"/>
    <cellStyle name="Гиперссылка 2" xfId="13913" hidden="1"/>
    <cellStyle name="Гиперссылка 2" xfId="13914" hidden="1"/>
    <cellStyle name="Гиперссылка 2" xfId="13919" hidden="1"/>
    <cellStyle name="Гиперссылка 2" xfId="13920" hidden="1"/>
    <cellStyle name="Гиперссылка 2" xfId="13916" hidden="1"/>
    <cellStyle name="Гиперссылка 2" xfId="13915" hidden="1"/>
    <cellStyle name="Гиперссылка 2" xfId="13918" hidden="1"/>
    <cellStyle name="Гиперссылка 2" xfId="13917" hidden="1"/>
    <cellStyle name="Гиперссылка 2" xfId="13922" hidden="1"/>
    <cellStyle name="Гиперссылка 2" xfId="13921" hidden="1"/>
    <cellStyle name="Гиперссылка 2" xfId="12163" hidden="1"/>
    <cellStyle name="Гиперссылка 2" xfId="12788" hidden="1"/>
    <cellStyle name="Гиперссылка 2" xfId="12777" hidden="1"/>
    <cellStyle name="Гиперссылка 2" xfId="13619" hidden="1"/>
    <cellStyle name="Гиперссылка 2" xfId="13865" hidden="1"/>
    <cellStyle name="Гиперссылка 2" xfId="13890" hidden="1"/>
    <cellStyle name="Гиперссылка 2" xfId="12335" hidden="1"/>
    <cellStyle name="Гиперссылка 2" xfId="13856" hidden="1"/>
    <cellStyle name="Гиперссылка 2" xfId="13947" hidden="1"/>
    <cellStyle name="Гиперссылка 2" xfId="13946" hidden="1"/>
    <cellStyle name="Гиперссылка 2" xfId="13955" hidden="1"/>
    <cellStyle name="Гиперссылка 2" xfId="13956" hidden="1"/>
    <cellStyle name="Гиперссылка 2" xfId="13961" hidden="1"/>
    <cellStyle name="Гиперссылка 2" xfId="13962" hidden="1"/>
    <cellStyle name="Гиперссылка 2" xfId="13958" hidden="1"/>
    <cellStyle name="Гиперссылка 2" xfId="13957" hidden="1"/>
    <cellStyle name="Гиперссылка 2" xfId="13960" hidden="1"/>
    <cellStyle name="Гиперссылка 2" xfId="13959" hidden="1"/>
    <cellStyle name="Гиперссылка 2" xfId="13964" hidden="1"/>
    <cellStyle name="Гиперссылка 2" xfId="13963" hidden="1"/>
    <cellStyle name="Гиперссылка 2" xfId="13967" hidden="1"/>
    <cellStyle name="Гиперссылка 2" xfId="13968" hidden="1"/>
    <cellStyle name="Гиперссылка 2" xfId="13973" hidden="1"/>
    <cellStyle name="Гиперссылка 2" xfId="13974" hidden="1"/>
    <cellStyle name="Гиперссылка 2" xfId="13970" hidden="1"/>
    <cellStyle name="Гиперссылка 2" xfId="13969" hidden="1"/>
    <cellStyle name="Гиперссылка 2" xfId="13972" hidden="1"/>
    <cellStyle name="Гиперссылка 2" xfId="13971" hidden="1"/>
    <cellStyle name="Гиперссылка 2" xfId="13976" hidden="1"/>
    <cellStyle name="Гиперссылка 2" xfId="13975" hidden="1"/>
    <cellStyle name="Гиперссылка 2" xfId="13977" hidden="1"/>
    <cellStyle name="Гиперссылка 2" xfId="13978" hidden="1"/>
    <cellStyle name="Гиперссылка 2" xfId="13983" hidden="1"/>
    <cellStyle name="Гиперссылка 2" xfId="13984" hidden="1"/>
    <cellStyle name="Гиперссылка 2" xfId="13980" hidden="1"/>
    <cellStyle name="Гиперссылка 2" xfId="13979" hidden="1"/>
    <cellStyle name="Гиперссылка 2" xfId="13982" hidden="1"/>
    <cellStyle name="Гиперссылка 2" xfId="13981" hidden="1"/>
    <cellStyle name="Гиперссылка 2" xfId="13986" hidden="1"/>
    <cellStyle name="Гиперссылка 2" xfId="13985" hidden="1"/>
    <cellStyle name="Гиперссылка 2" xfId="13857" hidden="1"/>
    <cellStyle name="Гиперссылка 2" xfId="13387" hidden="1"/>
    <cellStyle name="Гиперссылка 2" xfId="8882" hidden="1"/>
    <cellStyle name="Гиперссылка 2" xfId="12579" hidden="1"/>
    <cellStyle name="Гиперссылка 2" xfId="13931" hidden="1"/>
    <cellStyle name="Гиперссылка 2" xfId="13950" hidden="1"/>
    <cellStyle name="Гиперссылка 2" xfId="13464" hidden="1"/>
    <cellStyle name="Гиперссылка 2" xfId="13925" hidden="1"/>
    <cellStyle name="Гиперссылка 2" xfId="14010" hidden="1"/>
    <cellStyle name="Гиперссылка 2" xfId="14009" hidden="1"/>
    <cellStyle name="Гиперссылка 2" xfId="14019" hidden="1"/>
    <cellStyle name="Гиперссылка 2" xfId="14020" hidden="1"/>
    <cellStyle name="Гиперссылка 2" xfId="14026" hidden="1"/>
    <cellStyle name="Гиперссылка 2" xfId="14027" hidden="1"/>
    <cellStyle name="Гиперссылка 2" xfId="14023" hidden="1"/>
    <cellStyle name="Гиперссылка 2" xfId="14022" hidden="1"/>
    <cellStyle name="Гиперссылка 2" xfId="14025" hidden="1"/>
    <cellStyle name="Гиперссылка 2" xfId="14024" hidden="1"/>
    <cellStyle name="Гиперссылка 2" xfId="14029" hidden="1"/>
    <cellStyle name="Гиперссылка 2" xfId="14028" hidden="1"/>
    <cellStyle name="Гиперссылка 2" xfId="14030" hidden="1"/>
    <cellStyle name="Гиперссылка 2" xfId="14031" hidden="1"/>
    <cellStyle name="Гиперссылка 2" xfId="14036" hidden="1"/>
    <cellStyle name="Гиперссылка 2" xfId="14037" hidden="1"/>
    <cellStyle name="Гиперссылка 2" xfId="14033" hidden="1"/>
    <cellStyle name="Гиперссылка 2" xfId="14032" hidden="1"/>
    <cellStyle name="Гиперссылка 2" xfId="14035" hidden="1"/>
    <cellStyle name="Гиперссылка 2" xfId="14034" hidden="1"/>
    <cellStyle name="Гиперссылка 2" xfId="14039" hidden="1"/>
    <cellStyle name="Гиперссылка 2" xfId="14038" hidden="1"/>
    <cellStyle name="Гиперссылка 2" xfId="14040" hidden="1"/>
    <cellStyle name="Гиперссылка 2" xfId="14041" hidden="1"/>
    <cellStyle name="Гиперссылка 2" xfId="14046" hidden="1"/>
    <cellStyle name="Гиперссылка 2" xfId="14047" hidden="1"/>
    <cellStyle name="Гиперссылка 2" xfId="14043" hidden="1"/>
    <cellStyle name="Гиперссылка 2" xfId="14042" hidden="1"/>
    <cellStyle name="Гиперссылка 2" xfId="14045" hidden="1"/>
    <cellStyle name="Гиперссылка 2" xfId="14044" hidden="1"/>
    <cellStyle name="Гиперссылка 2" xfId="14049" hidden="1"/>
    <cellStyle name="Гиперссылка 2" xfId="14048" hidden="1"/>
    <cellStyle name="Гиперссылка 2" xfId="13926" hidden="1"/>
    <cellStyle name="Гиперссылка 2" xfId="12381" hidden="1"/>
    <cellStyle name="Гиперссылка 2" xfId="12054" hidden="1"/>
    <cellStyle name="Гиперссылка 2" xfId="8893" hidden="1"/>
    <cellStyle name="Гиперссылка 2" xfId="13993" hidden="1"/>
    <cellStyle name="Гиперссылка 2" xfId="14015" hidden="1"/>
    <cellStyle name="Гиперссылка 2" xfId="13555" hidden="1"/>
    <cellStyle name="Гиперссылка 2" xfId="13988" hidden="1"/>
    <cellStyle name="Гиперссылка 2" xfId="14068" hidden="1"/>
    <cellStyle name="Гиперссылка 2" xfId="14067" hidden="1"/>
    <cellStyle name="Гиперссылка 2" xfId="14077" hidden="1"/>
    <cellStyle name="Гиперссылка 2" xfId="14078" hidden="1"/>
    <cellStyle name="Гиперссылка 2" xfId="14083" hidden="1"/>
    <cellStyle name="Гиперссылка 2" xfId="14084" hidden="1"/>
    <cellStyle name="Гиперссылка 2" xfId="14080" hidden="1"/>
    <cellStyle name="Гиперссылка 2" xfId="14079" hidden="1"/>
    <cellStyle name="Гиперссылка 2" xfId="14082" hidden="1"/>
    <cellStyle name="Гиперссылка 2" xfId="14081" hidden="1"/>
    <cellStyle name="Гиперссылка 2" xfId="14086" hidden="1"/>
    <cellStyle name="Гиперссылка 2" xfId="14085" hidden="1"/>
    <cellStyle name="Гиперссылка 2" xfId="14088" hidden="1"/>
    <cellStyle name="Гиперссылка 2" xfId="14089" hidden="1"/>
    <cellStyle name="Гиперссылка 2" xfId="14094" hidden="1"/>
    <cellStyle name="Гиперссылка 2" xfId="14095" hidden="1"/>
    <cellStyle name="Гиперссылка 2" xfId="14091" hidden="1"/>
    <cellStyle name="Гиперссылка 2" xfId="14090" hidden="1"/>
    <cellStyle name="Гиперссылка 2" xfId="14093" hidden="1"/>
    <cellStyle name="Гиперссылка 2" xfId="14092" hidden="1"/>
    <cellStyle name="Гиперссылка 2" xfId="14097" hidden="1"/>
    <cellStyle name="Гиперссылка 2" xfId="14096" hidden="1"/>
    <cellStyle name="Гиперссылка 2" xfId="14098" hidden="1"/>
    <cellStyle name="Гиперссылка 2" xfId="14099" hidden="1"/>
    <cellStyle name="Гиперссылка 2" xfId="14104" hidden="1"/>
    <cellStyle name="Гиперссылка 2" xfId="14105" hidden="1"/>
    <cellStyle name="Гиперссылка 2" xfId="14101" hidden="1"/>
    <cellStyle name="Гиперссылка 2" xfId="14100" hidden="1"/>
    <cellStyle name="Гиперссылка 2" xfId="14103" hidden="1"/>
    <cellStyle name="Гиперссылка 2" xfId="14102" hidden="1"/>
    <cellStyle name="Гиперссылка 2" xfId="14107" hidden="1"/>
    <cellStyle name="Гиперссылка 2" xfId="14106" hidden="1"/>
    <cellStyle name="Гиперссылка 2" xfId="13989" hidden="1"/>
    <cellStyle name="Гиперссылка 2" xfId="13455" hidden="1"/>
    <cellStyle name="Гиперссылка 2" xfId="12656" hidden="1"/>
    <cellStyle name="Гиперссылка 2" xfId="12588" hidden="1"/>
    <cellStyle name="Гиперссылка 2" xfId="14054" hidden="1"/>
    <cellStyle name="Гиперссылка 2" xfId="14075" hidden="1"/>
    <cellStyle name="Гиперссылка 2" xfId="13805" hidden="1"/>
    <cellStyle name="Гиперссылка 2" xfId="14052" hidden="1"/>
    <cellStyle name="Гиперссылка 2" xfId="14126" hidden="1"/>
    <cellStyle name="Гиперссылка 2" xfId="14125" hidden="1"/>
    <cellStyle name="Гиперссылка 2" xfId="14133" hidden="1"/>
    <cellStyle name="Гиперссылка 2" xfId="14134" hidden="1"/>
    <cellStyle name="Гиперссылка 2" xfId="14139" hidden="1"/>
    <cellStyle name="Гиперссылка 2" xfId="14140" hidden="1"/>
    <cellStyle name="Гиперссылка 2" xfId="14136" hidden="1"/>
    <cellStyle name="Гиперссылка 2" xfId="14135" hidden="1"/>
    <cellStyle name="Гиперссылка 2" xfId="14138" hidden="1"/>
    <cellStyle name="Гиперссылка 2" xfId="14137" hidden="1"/>
    <cellStyle name="Гиперссылка 2" xfId="14142" hidden="1"/>
    <cellStyle name="Гиперссылка 2" xfId="14141" hidden="1"/>
    <cellStyle name="Гиперссылка 2" xfId="14143" hidden="1"/>
    <cellStyle name="Гиперссылка 2" xfId="14144" hidden="1"/>
    <cellStyle name="Гиперссылка 2" xfId="14149" hidden="1"/>
    <cellStyle name="Гиперссылка 2" xfId="14150" hidden="1"/>
    <cellStyle name="Гиперссылка 2" xfId="14146" hidden="1"/>
    <cellStyle name="Гиперссылка 2" xfId="14145" hidden="1"/>
    <cellStyle name="Гиперссылка 2" xfId="14148" hidden="1"/>
    <cellStyle name="Гиперссылка 2" xfId="14147" hidden="1"/>
    <cellStyle name="Гиперссылка 2" xfId="14152" hidden="1"/>
    <cellStyle name="Гиперссылка 2" xfId="14151" hidden="1"/>
    <cellStyle name="Гиперссылка 2" xfId="14153" hidden="1"/>
    <cellStyle name="Гиперссылка 2" xfId="14154" hidden="1"/>
    <cellStyle name="Гиперссылка 2" xfId="14159" hidden="1"/>
    <cellStyle name="Гиперссылка 2" xfId="14160" hidden="1"/>
    <cellStyle name="Гиперссылка 2" xfId="14156" hidden="1"/>
    <cellStyle name="Гиперссылка 2" xfId="14155" hidden="1"/>
    <cellStyle name="Гиперссылка 2" xfId="14158" hidden="1"/>
    <cellStyle name="Гиперссылка 2" xfId="14157" hidden="1"/>
    <cellStyle name="Гиперссылка 2" xfId="14162" hidden="1"/>
    <cellStyle name="Гиперссылка 2" xfId="14161" hidden="1"/>
    <cellStyle name="Гиперссылка 2" xfId="14053" hidden="1"/>
    <cellStyle name="Гиперссылка 2" xfId="13313" hidden="1"/>
    <cellStyle name="Гиперссылка 2" xfId="13861" hidden="1"/>
    <cellStyle name="Гиперссылка 2" xfId="12399" hidden="1"/>
    <cellStyle name="Гиперссылка 2" xfId="14110" hidden="1"/>
    <cellStyle name="Гиперссылка 2" xfId="14131" hidden="1"/>
    <cellStyle name="Гиперссылка 2" xfId="13874" hidden="1"/>
    <cellStyle name="Гиперссылка 2" xfId="14108" hidden="1"/>
    <cellStyle name="Гиперссылка 2" xfId="14164" hidden="1"/>
    <cellStyle name="Гиперссылка 2" xfId="14163" hidden="1"/>
    <cellStyle name="Гиперссылка 2" xfId="14165" hidden="1"/>
    <cellStyle name="Гиперссылка 2" xfId="14166" hidden="1"/>
    <cellStyle name="Гиперссылка 2" xfId="14171" hidden="1"/>
    <cellStyle name="Гиперссылка 2" xfId="14172" hidden="1"/>
    <cellStyle name="Гиперссылка 2" xfId="14168" hidden="1"/>
    <cellStyle name="Гиперссылка 2" xfId="14167" hidden="1"/>
    <cellStyle name="Гиперссылка 2" xfId="14170" hidden="1"/>
    <cellStyle name="Гиперссылка 2" xfId="14169" hidden="1"/>
    <cellStyle name="Гиперссылка 2" xfId="14174" hidden="1"/>
    <cellStyle name="Гиперссылка 2" xfId="14173" hidden="1"/>
    <cellStyle name="Гиперссылка 2" xfId="14175" hidden="1"/>
    <cellStyle name="Гиперссылка 2" xfId="14176" hidden="1"/>
    <cellStyle name="Гиперссылка 2" xfId="14181" hidden="1"/>
    <cellStyle name="Гиперссылка 2" xfId="14182" hidden="1"/>
    <cellStyle name="Гиперссылка 2" xfId="14178" hidden="1"/>
    <cellStyle name="Гиперссылка 2" xfId="14177" hidden="1"/>
    <cellStyle name="Гиперссылка 2" xfId="14180" hidden="1"/>
    <cellStyle name="Гиперссылка 2" xfId="14179" hidden="1"/>
    <cellStyle name="Гиперссылка 2" xfId="14184" hidden="1"/>
    <cellStyle name="Гиперссылка 2" xfId="14183" hidden="1"/>
    <cellStyle name="Гиперссылка 2" xfId="14185" hidden="1"/>
    <cellStyle name="Гиперссылка 2" xfId="14186" hidden="1"/>
    <cellStyle name="Гиперссылка 2" xfId="14191" hidden="1"/>
    <cellStyle name="Гиперссылка 2" xfId="14192" hidden="1"/>
    <cellStyle name="Гиперссылка 2" xfId="14188" hidden="1"/>
    <cellStyle name="Гиперссылка 2" xfId="14187" hidden="1"/>
    <cellStyle name="Гиперссылка 2" xfId="14190" hidden="1"/>
    <cellStyle name="Гиперссылка 2" xfId="14189" hidden="1"/>
    <cellStyle name="Гиперссылка 2" xfId="14194" hidden="1"/>
    <cellStyle name="Гиперссылка 2" xfId="14193" hidden="1"/>
    <cellStyle name="Гиперссылка 2" xfId="12567" hidden="1"/>
    <cellStyle name="Гиперссылка 2" xfId="12114" hidden="1"/>
    <cellStyle name="Гиперссылка 2" xfId="13949" hidden="1"/>
    <cellStyle name="Гиперссылка 2" xfId="12109" hidden="1"/>
    <cellStyle name="Гиперссылка 2" xfId="12116" hidden="1"/>
    <cellStyle name="Гиперссылка 2" xfId="12056" hidden="1"/>
    <cellStyle name="Гиперссылка 2" xfId="13685" hidden="1"/>
    <cellStyle name="Гиперссылка 2" xfId="12568" hidden="1"/>
    <cellStyle name="Гиперссылка 2" xfId="13471" hidden="1"/>
    <cellStyle name="Гиперссылка 2" xfId="12950" hidden="1"/>
    <cellStyle name="Гиперссылка 2" xfId="14064" hidden="1"/>
    <cellStyle name="Гиперссылка 2" xfId="13941" hidden="1"/>
    <cellStyle name="Гиперссылка 2" xfId="13674" hidden="1"/>
    <cellStyle name="Гиперссылка 2" xfId="11965" hidden="1"/>
    <cellStyle name="Гиперссылка 2" xfId="13880" hidden="1"/>
    <cellStyle name="Гиперссылка 2" xfId="14007" hidden="1"/>
    <cellStyle name="Гиперссылка 2" xfId="12200" hidden="1"/>
    <cellStyle name="Гиперссылка 2" xfId="11955" hidden="1"/>
    <cellStyle name="Гиперссылка 2" xfId="12661" hidden="1"/>
    <cellStyle name="Гиперссылка 2" xfId="12778" hidden="1"/>
    <cellStyle name="Гиперссылка 2" xfId="11977" hidden="1"/>
    <cellStyle name="Гиперссылка 2" xfId="13541" hidden="1"/>
    <cellStyle name="Гиперссылка 2" xfId="12142" hidden="1"/>
    <cellStyle name="Гиперссылка 2" xfId="11973" hidden="1"/>
    <cellStyle name="Гиперссылка 2" xfId="13450" hidden="1"/>
    <cellStyle name="Гиперссылка 2" xfId="12013" hidden="1"/>
    <cellStyle name="Гиперссылка 2" xfId="13449" hidden="1"/>
    <cellStyle name="Гиперссылка 2" xfId="12640" hidden="1"/>
    <cellStyle name="Гиперссылка 2" xfId="12962" hidden="1"/>
    <cellStyle name="Гиперссылка 2" xfId="12103" hidden="1"/>
    <cellStyle name="Гиперссылка 2" xfId="13190" hidden="1"/>
    <cellStyle name="Гиперссылка 2" xfId="13102" hidden="1"/>
    <cellStyle name="Гиперссылка 2" xfId="12452" hidden="1"/>
    <cellStyle name="Гиперссылка 2" xfId="12935" hidden="1"/>
    <cellStyle name="Гиперссылка 2" xfId="12954" hidden="1"/>
    <cellStyle name="Гиперссылка 2" xfId="13456" hidden="1"/>
    <cellStyle name="Гиперссылка 2" xfId="11974" hidden="1"/>
    <cellStyle name="Гиперссылка 2" xfId="12094" hidden="1"/>
    <cellStyle name="Гиперссылка 2" xfId="12086" hidden="1"/>
    <cellStyle name="Гиперссылка 2" xfId="12465" hidden="1"/>
    <cellStyle name="Гиперссылка 2" xfId="12872" hidden="1"/>
    <cellStyle name="Гиперссылка 2" xfId="12304" hidden="1"/>
    <cellStyle name="Гиперссылка 2" xfId="12653" hidden="1"/>
    <cellStyle name="Гиперссылка 2" xfId="12364" hidden="1"/>
    <cellStyle name="Гиперссылка 2" xfId="13487" hidden="1"/>
    <cellStyle name="Гиперссылка 2" xfId="12111" hidden="1"/>
    <cellStyle name="Гиперссылка 2" xfId="13999" hidden="1"/>
    <cellStyle name="Гиперссылка 2" xfId="14060" hidden="1"/>
    <cellStyle name="Гиперссылка 2" xfId="12047" hidden="1"/>
    <cellStyle name="Гиперссылка 2" xfId="8879" hidden="1"/>
    <cellStyle name="Гиперссылка 2" xfId="12119" hidden="1"/>
    <cellStyle name="Гиперссылка 2" xfId="12602" hidden="1"/>
    <cellStyle name="Гиперссылка 2" xfId="13550" hidden="1"/>
    <cellStyle name="Гиперссылка 2" xfId="12932" hidden="1"/>
    <cellStyle name="Гиперссылка 2" xfId="12117" hidden="1"/>
    <cellStyle name="Гиперссылка 2" xfId="13628" hidden="1"/>
    <cellStyle name="Гиперссылка 2" xfId="13593" hidden="1"/>
    <cellStyle name="Гиперссылка 2" xfId="12343" hidden="1"/>
    <cellStyle name="Гиперссылка 2" xfId="12176" hidden="1"/>
    <cellStyle name="Гиперссылка 2" xfId="12930" hidden="1"/>
    <cellStyle name="Гиперссылка 2" xfId="14016" hidden="1"/>
    <cellStyle name="Гиперссылка 2" xfId="13891" hidden="1"/>
    <cellStyle name="Гиперссылка 2" xfId="13100" hidden="1"/>
    <cellStyle name="Гиперссылка 2" xfId="12813" hidden="1"/>
    <cellStyle name="Гиперссылка 2" xfId="14000" hidden="1"/>
    <cellStyle name="Гиперссылка 2" xfId="14116" hidden="1"/>
    <cellStyle name="Гиперссылка 2" xfId="13808" hidden="1"/>
    <cellStyle name="Гиперссылка 2" xfId="13877" hidden="1"/>
    <cellStyle name="Гиперссылка 2" xfId="12214" hidden="1"/>
    <cellStyle name="Гиперссылка 2" xfId="8939" hidden="1"/>
    <cellStyle name="Гиперссылка 2" xfId="13547" hidden="1"/>
    <cellStyle name="Гиперссылка 2" xfId="12853" hidden="1"/>
    <cellStyle name="Гиперссылка 2" xfId="13888" hidden="1"/>
    <cellStyle name="Гиперссылка 2" xfId="13597" hidden="1"/>
    <cellStyle name="Гиперссылка 2" xfId="13303" hidden="1"/>
    <cellStyle name="Гиперссылка 2" xfId="12070" hidden="1"/>
    <cellStyle name="Гиперссылка 2" xfId="14013" hidden="1"/>
    <cellStyle name="Гиперссылка 2" xfId="12349" hidden="1"/>
    <cellStyle name="Гиперссылка 2" xfId="14014" hidden="1"/>
    <cellStyle name="Гиперссылка 2" xfId="14071" hidden="1"/>
    <cellStyle name="Гиперссылка 2" xfId="12852" hidden="1"/>
    <cellStyle name="Гиперссылка 2" xfId="13687" hidden="1"/>
    <cellStyle name="Гиперссылка 2" xfId="13942" hidden="1"/>
    <cellStyle name="Гиперссылка 2" xfId="13037" hidden="1"/>
    <cellStyle name="Гиперссылка 2" xfId="12482" hidden="1"/>
    <cellStyle name="Гиперссылка 2" xfId="12708" hidden="1"/>
    <cellStyle name="Гиперссылка 2" xfId="12934" hidden="1"/>
    <cellStyle name="Гиперссылка 2" xfId="12411" hidden="1"/>
    <cellStyle name="Гиперссылка 2" xfId="12066" hidden="1"/>
    <cellStyle name="Гиперссылка 2" xfId="13480" hidden="1"/>
    <cellStyle name="Гиперссылка 2" xfId="12137" hidden="1"/>
    <cellStyle name="Гиперссылка 2" xfId="12837" hidden="1"/>
    <cellStyle name="Гиперссылка 2" xfId="12093" hidden="1"/>
    <cellStyle name="Гиперссылка 2" xfId="13194" hidden="1"/>
    <cellStyle name="Гиперссылка 2" xfId="13965" hidden="1"/>
    <cellStyle name="Гиперссылка 2" xfId="13053" hidden="1"/>
    <cellStyle name="Гиперссылка 2" xfId="12448" hidden="1"/>
    <cellStyle name="Гиперссылка 2" xfId="13832" hidden="1"/>
    <cellStyle name="Гиперссылка 2" xfId="12000" hidden="1"/>
    <cellStyle name="Гиперссылка 2" xfId="12959" hidden="1"/>
    <cellStyle name="Гиперссылка 2" xfId="12039" hidden="1"/>
    <cellStyle name="Гиперссылка 2" xfId="11976" hidden="1"/>
    <cellStyle name="Гиперссылка 2" xfId="12787" hidden="1"/>
    <cellStyle name="Гиперссылка 2" xfId="13522" hidden="1"/>
    <cellStyle name="Гиперссылка 2" xfId="13724" hidden="1"/>
    <cellStyle name="Гиперссылка 2" xfId="13402" hidden="1"/>
    <cellStyle name="Гиперссылка 2" xfId="8937" hidden="1"/>
    <cellStyle name="Гиперссылка 2" xfId="12326" hidden="1"/>
    <cellStyle name="Гиперссылка 2" xfId="12305" hidden="1"/>
    <cellStyle name="Гиперссылка 2" xfId="13409" hidden="1"/>
    <cellStyle name="Гиперссылка 2" xfId="12186" hidden="1"/>
    <cellStyle name="Гиперссылка 2" xfId="12966" hidden="1"/>
    <cellStyle name="Гиперссылка 2" xfId="12375" hidden="1"/>
    <cellStyle name="Гиперссылка 2" xfId="11962" hidden="1"/>
    <cellStyle name="Гиперссылка 2" xfId="12150" hidden="1"/>
    <cellStyle name="Гиперссылка 2" xfId="12181" hidden="1"/>
    <cellStyle name="Гиперссылка 2" xfId="12337" hidden="1"/>
    <cellStyle name="Гиперссылка 2" xfId="12955" hidden="1"/>
    <cellStyle name="Гиперссылка 2" xfId="13114" hidden="1"/>
    <cellStyle name="Гиперссылка 2" xfId="12501" hidden="1"/>
    <cellStyle name="Гиперссылка 2" xfId="13542" hidden="1"/>
    <cellStyle name="Гиперссылка 2" xfId="13603" hidden="1"/>
    <cellStyle name="Гиперссылка 2" xfId="13558" hidden="1"/>
    <cellStyle name="Гиперссылка 2" xfId="12641" hidden="1"/>
    <cellStyle name="Гиперссылка 2" xfId="12779" hidden="1"/>
    <cellStyle name="Гиперссылка 2" xfId="12241" hidden="1"/>
    <cellStyle name="Гиперссылка 2" xfId="13945" hidden="1"/>
    <cellStyle name="Гиперссылка 2" xfId="13523" hidden="1"/>
    <cellStyle name="Гиперссылка 2" xfId="12138" hidden="1"/>
    <cellStyle name="Гиперссылка 2" xfId="13398" hidden="1"/>
    <cellStyle name="Гиперссылка 2" xfId="12463" hidden="1"/>
    <cellStyle name="Гиперссылка 2" xfId="12876" hidden="1"/>
    <cellStyle name="Гиперссылка 2" xfId="13627" hidden="1"/>
    <cellStyle name="Гиперссылка 2" xfId="13408" hidden="1"/>
    <cellStyle name="Гиперссылка 2" xfId="14062" hidden="1"/>
    <cellStyle name="Гиперссылка 2" xfId="13727" hidden="1"/>
    <cellStyle name="Гиперссылка 2" xfId="13875" hidden="1"/>
    <cellStyle name="Гиперссылка 2" xfId="13936" hidden="1"/>
    <cellStyle name="Гиперссылка 2" xfId="13594" hidden="1"/>
    <cellStyle name="Гиперссылка 2" xfId="13244" hidden="1"/>
    <cellStyle name="Гиперссылка 2" xfId="12441" hidden="1"/>
    <cellStyle name="Гиперссылка 2" xfId="12048" hidden="1"/>
    <cellStyle name="Гиперссылка 2" xfId="12217" hidden="1"/>
    <cellStyle name="Гиперссылка 2" xfId="12848" hidden="1"/>
    <cellStyle name="Гиперссылка 2" xfId="13483" hidden="1"/>
    <cellStyle name="Гиперссылка 2" xfId="8891" hidden="1"/>
    <cellStyle name="Гиперссылка 2" xfId="12786" hidden="1"/>
    <cellStyle name="Гиперссылка 2" xfId="12276" hidden="1"/>
    <cellStyle name="Гиперссылка 2" xfId="13257" hidden="1"/>
    <cellStyle name="Гиперссылка 2" xfId="12546" hidden="1"/>
    <cellStyle name="Гиперссылка 2" xfId="8934" hidden="1"/>
    <cellStyle name="Гиперссылка 2" xfId="13130" hidden="1"/>
    <cellStyle name="Гиперссылка 2" xfId="12367" hidden="1"/>
    <cellStyle name="Гиперссылка 2" xfId="12692" hidden="1"/>
    <cellStyle name="Гиперссылка 2" xfId="13728" hidden="1"/>
    <cellStyle name="Гиперссылка 2" xfId="12447" hidden="1"/>
    <cellStyle name="Гиперссылка 2" xfId="11997" hidden="1"/>
    <cellStyle name="Гиперссылка 2" xfId="12079" hidden="1"/>
    <cellStyle name="Гиперссылка 2" xfId="12294" hidden="1"/>
    <cellStyle name="Гиперссылка 2" xfId="12301" hidden="1"/>
    <cellStyle name="Гиперссылка 2" xfId="12403" hidden="1"/>
    <cellStyle name="Гиперссылка 2" xfId="13855" hidden="1"/>
    <cellStyle name="Гиперссылка 2" xfId="13605" hidden="1"/>
    <cellStyle name="Гиперссылка 2" xfId="13556" hidden="1"/>
    <cellStyle name="Гиперссылка 2" xfId="13179" hidden="1"/>
    <cellStyle name="Гиперссылка 2" xfId="13871" hidden="1"/>
    <cellStyle name="Гиперссылка 2" xfId="12080" hidden="1"/>
    <cellStyle name="Гиперссылка 2" xfId="12481" hidden="1"/>
    <cellStyle name="Гиперссылка 2" xfId="13166" hidden="1"/>
    <cellStyle name="Гиперссылка 2" xfId="13679" hidden="1"/>
    <cellStyle name="Гиперссылка 2" xfId="14003" hidden="1"/>
    <cellStyle name="Гиперссылка 2" xfId="13878" hidden="1"/>
    <cellStyle name="Гиперссылка 2" xfId="12104" hidden="1"/>
    <cellStyle name="Гиперссылка 2" xfId="13185" hidden="1"/>
    <cellStyle name="Гиперссылка 2" xfId="12101" hidden="1"/>
    <cellStyle name="Гиперссылка 2" xfId="8910" hidden="1"/>
    <cellStyle name="Гиперссылка 2" xfId="12505" hidden="1"/>
    <cellStyle name="Гиперссылка 2" xfId="12649" hidden="1"/>
    <cellStyle name="Гиперссылка 2" xfId="12102" hidden="1"/>
    <cellStyle name="Гиперссылка 2" xfId="12584" hidden="1"/>
    <cellStyle name="Гиперссылка 2" xfId="13040" hidden="1"/>
    <cellStyle name="Гиперссылка 2" xfId="13262" hidden="1"/>
    <cellStyle name="Гиперссылка 2" xfId="14119" hidden="1"/>
    <cellStyle name="Гиперссылка 2" xfId="14004" hidden="1"/>
    <cellStyle name="Гиперссылка 2" xfId="12751" hidden="1"/>
    <cellStyle name="Гиперссылка 2" xfId="12867" hidden="1"/>
    <cellStyle name="Гиперссылка 2" xfId="12458" hidden="1"/>
    <cellStyle name="Гиперссылка 2" xfId="13549" hidden="1"/>
    <cellStyle name="Гиперссылка 2" xfId="12802" hidden="1"/>
    <cellStyle name="Гиперссылка 2" xfId="12451" hidden="1"/>
    <cellStyle name="Гиперссылка 2" xfId="12553" hidden="1"/>
    <cellStyle name="Гиперссылка 2" xfId="12152" hidden="1"/>
    <cellStyle name="Гиперссылка 2" xfId="12129" hidden="1"/>
    <cellStyle name="Гиперссылка 2" xfId="13675" hidden="1"/>
    <cellStyle name="Гиперссылка 2" xfId="12279" hidden="1"/>
    <cellStyle name="Гиперссылка 2" xfId="11956" hidden="1"/>
    <cellStyle name="Гиперссылка 2" xfId="13011" hidden="1"/>
    <cellStyle name="Гиперссылка 2" xfId="12420" hidden="1"/>
    <cellStyle name="Гиперссылка 2" xfId="13242" hidden="1"/>
    <cellStyle name="Гиперссылка 2" xfId="12660" hidden="1"/>
    <cellStyle name="Гиперссылка 2" xfId="12206" hidden="1"/>
    <cellStyle name="Гиперссылка 2" xfId="12647" hidden="1"/>
    <cellStyle name="Гиперссылка 2" xfId="12918" hidden="1"/>
    <cellStyle name="Гиперссылка 2" xfId="12943" hidden="1"/>
    <cellStyle name="Гиперссылка 2" xfId="14063" hidden="1"/>
    <cellStyle name="Гиперссылка 2" xfId="12274" hidden="1"/>
    <cellStyle name="Гиперссылка 2" xfId="12949" hidden="1"/>
    <cellStyle name="Гиперссылка 2" xfId="14066" hidden="1"/>
    <cellStyle name="Гиперссылка 2" xfId="13235" hidden="1"/>
    <cellStyle name="Гиперссылка 2" xfId="13183" hidden="1"/>
    <cellStyle name="Гиперссылка 2" xfId="14087" hidden="1"/>
    <cellStyle name="Гиперссылка 2" xfId="13966" hidden="1"/>
    <cellStyle name="Гиперссылка 2" xfId="12775" hidden="1"/>
    <cellStyle name="Гиперссылка 2" xfId="8945" hidden="1"/>
    <cellStyle name="Гиперссылка 2" xfId="13395" hidden="1"/>
    <cellStyle name="Гиперссылка 2" xfId="12178" hidden="1"/>
    <cellStyle name="Гиперссылка 2" xfId="13608" hidden="1"/>
    <cellStyle name="Гиперссылка 2" xfId="13255" hidden="1"/>
    <cellStyle name="Гиперссылка 2" xfId="12948" hidden="1"/>
    <cellStyle name="Гиперссылка 2" xfId="13043" hidden="1"/>
    <cellStyle name="Гиперссылка 2" xfId="8896" hidden="1"/>
    <cellStyle name="Гиперссылка 2" xfId="13532" hidden="1"/>
    <cellStyle name="Гиперссылка 2" xfId="12951" hidden="1"/>
    <cellStyle name="Гиперссылка 2" xfId="14121" hidden="1"/>
    <cellStyle name="Гиперссылка 2" xfId="13094" hidden="1"/>
    <cellStyle name="Гиперссылка 2" xfId="13452" hidden="1"/>
    <cellStyle name="Гиперссылка 2" xfId="13243" hidden="1"/>
    <cellStyle name="Гиперссылка 2" xfId="12358" hidden="1"/>
    <cellStyle name="Гиперссылка 2" xfId="13879" hidden="1"/>
    <cellStyle name="Гиперссылка 2" xfId="13943" hidden="1"/>
    <cellStyle name="Гиперссылка 2" xfId="12541" hidden="1"/>
    <cellStyle name="Гиперссылка 2" xfId="12203" hidden="1"/>
    <cellStyle name="Гиперссылка 2" xfId="12139" hidden="1"/>
    <cellStyle name="Гиперссылка 2" xfId="13527" hidden="1"/>
    <cellStyle name="Гиперссылка 2" xfId="13462" hidden="1"/>
    <cellStyle name="Гиперссылка 2" xfId="13477" hidden="1"/>
    <cellStyle name="Гиперссылка 2" xfId="13459" hidden="1"/>
    <cellStyle name="Гиперссылка 2" xfId="12151" hidden="1"/>
    <cellStyle name="Гиперссылка 2" xfId="12594" hidden="1"/>
    <cellStyle name="Гиперссылка 2" xfId="12004" hidden="1"/>
    <cellStyle name="Гиперссылка 2" xfId="14008" hidden="1"/>
    <cellStyle name="Гиперссылка 2" xfId="14059" hidden="1"/>
    <cellStyle name="Гиперссылка 2" xfId="8878" hidden="1"/>
    <cellStyle name="Гиперссылка 2" xfId="12488" hidden="1"/>
    <cellStyle name="Гиперссылка 2" xfId="14130" hidden="1"/>
    <cellStyle name="Гиперссылка 2" xfId="13535" hidden="1"/>
    <cellStyle name="Гиперссылка 2" xfId="14012" hidden="1"/>
    <cellStyle name="Гиперссылка 2" xfId="12768" hidden="1"/>
    <cellStyle name="Гиперссылка 2" xfId="14202" hidden="1"/>
    <cellStyle name="Гиперссылка 2" xfId="14201" hidden="1"/>
    <cellStyle name="Гиперссылка 2" xfId="14215" hidden="1"/>
    <cellStyle name="Гиперссылка 2" xfId="14216" hidden="1"/>
    <cellStyle name="Гиперссылка 2" xfId="14222" hidden="1"/>
    <cellStyle name="Гиперссылка 2" xfId="14223" hidden="1"/>
    <cellStyle name="Гиперссылка 2" xfId="14219" hidden="1"/>
    <cellStyle name="Гиперссылка 2" xfId="14218" hidden="1"/>
    <cellStyle name="Гиперссылка 2" xfId="14221" hidden="1"/>
    <cellStyle name="Гиперссылка 2" xfId="14220" hidden="1"/>
    <cellStyle name="Гиперссылка 2" xfId="14225" hidden="1"/>
    <cellStyle name="Гиперссылка 2" xfId="14224" hidden="1"/>
    <cellStyle name="Гиперссылка 2" xfId="14226" hidden="1"/>
    <cellStyle name="Гиперссылка 2" xfId="14227" hidden="1"/>
    <cellStyle name="Гиперссылка 2" xfId="14232" hidden="1"/>
    <cellStyle name="Гиперссылка 2" xfId="14233" hidden="1"/>
    <cellStyle name="Гиперссылка 2" xfId="14229" hidden="1"/>
    <cellStyle name="Гиперссылка 2" xfId="14228" hidden="1"/>
    <cellStyle name="Гиперссылка 2" xfId="14231" hidden="1"/>
    <cellStyle name="Гиперссылка 2" xfId="14230" hidden="1"/>
    <cellStyle name="Гиперссылка 2" xfId="14235" hidden="1"/>
    <cellStyle name="Гиперссылка 2" xfId="14234" hidden="1"/>
    <cellStyle name="Гиперссылка 2" xfId="14236" hidden="1"/>
    <cellStyle name="Гиперссылка 2" xfId="14237" hidden="1"/>
    <cellStyle name="Гиперссылка 2" xfId="14242" hidden="1"/>
    <cellStyle name="Гиперссылка 2" xfId="14243" hidden="1"/>
    <cellStyle name="Гиперссылка 2" xfId="14239" hidden="1"/>
    <cellStyle name="Гиперссылка 2" xfId="14238" hidden="1"/>
    <cellStyle name="Гиперссылка 2" xfId="14241" hidden="1"/>
    <cellStyle name="Гиперссылка 2" xfId="14240" hidden="1"/>
    <cellStyle name="Гиперссылка 2" xfId="14245" hidden="1"/>
    <cellStyle name="Гиперссылка 2" xfId="14244" hidden="1"/>
    <cellStyle name="Гиперссылка 2" xfId="12585" hidden="1"/>
    <cellStyle name="Гиперссылка 2" xfId="12560" hidden="1"/>
    <cellStyle name="Гиперссылка 2" xfId="13722" hidden="1"/>
    <cellStyle name="Гиперссылка 2" xfId="12496" hidden="1"/>
    <cellStyle name="Гиперссылка 2" xfId="13923" hidden="1"/>
    <cellStyle name="Гиперссылка 2" xfId="14209" hidden="1"/>
    <cellStyle name="Гиперссылка 2" xfId="12961" hidden="1"/>
    <cellStyle name="Гиперссылка 2" xfId="12648" hidden="1"/>
    <cellStyle name="Гиперссылка 2" xfId="14271" hidden="1"/>
    <cellStyle name="Гиперссылка 2" xfId="14270" hidden="1"/>
    <cellStyle name="Гиперссылка 2" xfId="14279" hidden="1"/>
    <cellStyle name="Гиперссылка 2" xfId="14280" hidden="1"/>
    <cellStyle name="Гиперссылка 2" xfId="14286" hidden="1"/>
    <cellStyle name="Гиперссылка 2" xfId="14287" hidden="1"/>
    <cellStyle name="Гиперссылка 2" xfId="14283" hidden="1"/>
    <cellStyle name="Гиперссылка 2" xfId="14282" hidden="1"/>
    <cellStyle name="Гиперссылка 2" xfId="14285" hidden="1"/>
    <cellStyle name="Гиперссылка 2" xfId="14284" hidden="1"/>
    <cellStyle name="Гиперссылка 2" xfId="14289" hidden="1"/>
    <cellStyle name="Гиперссылка 2" xfId="14288" hidden="1"/>
    <cellStyle name="Гиперссылка 2" xfId="14290" hidden="1"/>
    <cellStyle name="Гиперссылка 2" xfId="14291" hidden="1"/>
    <cellStyle name="Гиперссылка 2" xfId="14296" hidden="1"/>
    <cellStyle name="Гиперссылка 2" xfId="14297" hidden="1"/>
    <cellStyle name="Гиперссылка 2" xfId="14293" hidden="1"/>
    <cellStyle name="Гиперссылка 2" xfId="14292" hidden="1"/>
    <cellStyle name="Гиперссылка 2" xfId="14295" hidden="1"/>
    <cellStyle name="Гиперссылка 2" xfId="14294" hidden="1"/>
    <cellStyle name="Гиперссылка 2" xfId="14299" hidden="1"/>
    <cellStyle name="Гиперссылка 2" xfId="14298" hidden="1"/>
    <cellStyle name="Гиперссылка 2" xfId="14300" hidden="1"/>
    <cellStyle name="Гиперссылка 2" xfId="14301" hidden="1"/>
    <cellStyle name="Гиперссылка 2" xfId="14306" hidden="1"/>
    <cellStyle name="Гиперссылка 2" xfId="14307" hidden="1"/>
    <cellStyle name="Гиперссылка 2" xfId="14303" hidden="1"/>
    <cellStyle name="Гиперссылка 2" xfId="14302" hidden="1"/>
    <cellStyle name="Гиперссылка 2" xfId="14305" hidden="1"/>
    <cellStyle name="Гиперссылка 2" xfId="14304" hidden="1"/>
    <cellStyle name="Гиперссылка 2" xfId="14309" hidden="1"/>
    <cellStyle name="Гиперссылка 2" xfId="14308" hidden="1"/>
    <cellStyle name="Гиперссылка 2" xfId="12120" hidden="1"/>
    <cellStyle name="Гиперссылка 2" xfId="13200" hidden="1"/>
    <cellStyle name="Гиперссылка 2" xfId="12591" hidden="1"/>
    <cellStyle name="Гиперссылка 2" xfId="14011" hidden="1"/>
    <cellStyle name="Гиперссылка 2" xfId="14255" hidden="1"/>
    <cellStyle name="Гиперссылка 2" xfId="14275" hidden="1"/>
    <cellStyle name="Гиперссылка 2" xfId="13095" hidden="1"/>
    <cellStyle name="Гиперссылка 2" xfId="14248" hidden="1"/>
    <cellStyle name="Гиперссылка 2" xfId="14336" hidden="1"/>
    <cellStyle name="Гиперссылка 2" xfId="14335" hidden="1"/>
    <cellStyle name="Гиперссылка 2" xfId="14343" hidden="1"/>
    <cellStyle name="Гиперссылка 2" xfId="14344" hidden="1"/>
    <cellStyle name="Гиперссылка 2" xfId="14350" hidden="1"/>
    <cellStyle name="Гиперссылка 2" xfId="14351" hidden="1"/>
    <cellStyle name="Гиперссылка 2" xfId="14347" hidden="1"/>
    <cellStyle name="Гиперссылка 2" xfId="14346" hidden="1"/>
    <cellStyle name="Гиперссылка 2" xfId="14349" hidden="1"/>
    <cellStyle name="Гиперссылка 2" xfId="14348" hidden="1"/>
    <cellStyle name="Гиперссылка 2" xfId="14353" hidden="1"/>
    <cellStyle name="Гиперссылка 2" xfId="14352" hidden="1"/>
    <cellStyle name="Гиперссылка 2" xfId="14354" hidden="1"/>
    <cellStyle name="Гиперссылка 2" xfId="14355" hidden="1"/>
    <cellStyle name="Гиперссылка 2" xfId="14360" hidden="1"/>
    <cellStyle name="Гиперссылка 2" xfId="14361" hidden="1"/>
    <cellStyle name="Гиперссылка 2" xfId="14357" hidden="1"/>
    <cellStyle name="Гиперссылка 2" xfId="14356" hidden="1"/>
    <cellStyle name="Гиперссылка 2" xfId="14359" hidden="1"/>
    <cellStyle name="Гиперссылка 2" xfId="14358" hidden="1"/>
    <cellStyle name="Гиперссылка 2" xfId="14363" hidden="1"/>
    <cellStyle name="Гиперссылка 2" xfId="14362" hidden="1"/>
    <cellStyle name="Гиперссылка 2" xfId="14364" hidden="1"/>
    <cellStyle name="Гиперссылка 2" xfId="14365" hidden="1"/>
    <cellStyle name="Гиперссылка 2" xfId="14370" hidden="1"/>
    <cellStyle name="Гиперссылка 2" xfId="14371" hidden="1"/>
    <cellStyle name="Гиперссылка 2" xfId="14367" hidden="1"/>
    <cellStyle name="Гиперссылка 2" xfId="14366" hidden="1"/>
    <cellStyle name="Гиперссылка 2" xfId="14369" hidden="1"/>
    <cellStyle name="Гиперссылка 2" xfId="14368" hidden="1"/>
    <cellStyle name="Гиперссылка 2" xfId="14373" hidden="1"/>
    <cellStyle name="Гиперссылка 2" xfId="14372" hidden="1"/>
    <cellStyle name="Гиперссылка 2" xfId="14249" hidden="1"/>
    <cellStyle name="Гиперссылка 2" xfId="13806" hidden="1"/>
    <cellStyle name="Гиперссылка 2" xfId="11969" hidden="1"/>
    <cellStyle name="Гиперссылка 2" xfId="13123" hidden="1"/>
    <cellStyle name="Гиперссылка 2" xfId="14317" hidden="1"/>
    <cellStyle name="Гиперссылка 2" xfId="14340" hidden="1"/>
    <cellStyle name="Гиперссылка 2" xfId="13873" hidden="1"/>
    <cellStyle name="Гиперссылка 2" xfId="14312" hidden="1"/>
    <cellStyle name="Гиперссылка 2" xfId="14393" hidden="1"/>
    <cellStyle name="Гиперссылка 2" xfId="14392" hidden="1"/>
    <cellStyle name="Гиперссылка 2" xfId="14401" hidden="1"/>
    <cellStyle name="Гиперссылка 2" xfId="14402" hidden="1"/>
    <cellStyle name="Гиперссылка 2" xfId="14407" hidden="1"/>
    <cellStyle name="Гиперссылка 2" xfId="14408" hidden="1"/>
    <cellStyle name="Гиперссылка 2" xfId="14404" hidden="1"/>
    <cellStyle name="Гиперссылка 2" xfId="14403" hidden="1"/>
    <cellStyle name="Гиперссылка 2" xfId="14406" hidden="1"/>
    <cellStyle name="Гиперссылка 2" xfId="14405" hidden="1"/>
    <cellStyle name="Гиперссылка 2" xfId="14410" hidden="1"/>
    <cellStyle name="Гиперссылка 2" xfId="14409" hidden="1"/>
    <cellStyle name="Гиперссылка 2" xfId="14411" hidden="1"/>
    <cellStyle name="Гиперссылка 2" xfId="14412" hidden="1"/>
    <cellStyle name="Гиперссылка 2" xfId="14417" hidden="1"/>
    <cellStyle name="Гиперссылка 2" xfId="14418" hidden="1"/>
    <cellStyle name="Гиперссылка 2" xfId="14414" hidden="1"/>
    <cellStyle name="Гиперссылка 2" xfId="14413" hidden="1"/>
    <cellStyle name="Гиперссылка 2" xfId="14416" hidden="1"/>
    <cellStyle name="Гиперссылка 2" xfId="14415" hidden="1"/>
    <cellStyle name="Гиперссылка 2" xfId="14420" hidden="1"/>
    <cellStyle name="Гиперссылка 2" xfId="14419" hidden="1"/>
    <cellStyle name="Гиперссылка 2" xfId="14421" hidden="1"/>
    <cellStyle name="Гиперссылка 2" xfId="14422" hidden="1"/>
    <cellStyle name="Гиперссылка 2" xfId="14427" hidden="1"/>
    <cellStyle name="Гиперссылка 2" xfId="14428" hidden="1"/>
    <cellStyle name="Гиперссылка 2" xfId="14424" hidden="1"/>
    <cellStyle name="Гиперссылка 2" xfId="14423" hidden="1"/>
    <cellStyle name="Гиперссылка 2" xfId="14426" hidden="1"/>
    <cellStyle name="Гиперссылка 2" xfId="14425" hidden="1"/>
    <cellStyle name="Гиперссылка 2" xfId="14430" hidden="1"/>
    <cellStyle name="Гиперссылка 2" xfId="14429" hidden="1"/>
    <cellStyle name="Гиперссылка 2" xfId="14313" hidden="1"/>
    <cellStyle name="Гиперссылка 2" xfId="12703" hidden="1"/>
    <cellStyle name="Гиперссылка 2" xfId="12312" hidden="1"/>
    <cellStyle name="Гиперссылка 2" xfId="12740" hidden="1"/>
    <cellStyle name="Гиперссылка 2" xfId="14380" hidden="1"/>
    <cellStyle name="Гиперссылка 2" xfId="14396" hidden="1"/>
    <cellStyle name="Гиперссылка 2" xfId="13951" hidden="1"/>
    <cellStyle name="Гиперссылка 2" xfId="14375" hidden="1"/>
    <cellStyle name="Гиперссылка 2" xfId="14444" hidden="1"/>
    <cellStyle name="Гиперссылка 2" xfId="14443" hidden="1"/>
    <cellStyle name="Гиперссылка 2" xfId="14450" hidden="1"/>
    <cellStyle name="Гиперссылка 2" xfId="14451" hidden="1"/>
    <cellStyle name="Гиперссылка 2" xfId="14457" hidden="1"/>
    <cellStyle name="Гиперссылка 2" xfId="14458" hidden="1"/>
    <cellStyle name="Гиперссылка 2" xfId="14454" hidden="1"/>
    <cellStyle name="Гиперссылка 2" xfId="14453" hidden="1"/>
    <cellStyle name="Гиперссылка 2" xfId="14456" hidden="1"/>
    <cellStyle name="Гиперссылка 2" xfId="14455" hidden="1"/>
    <cellStyle name="Гиперссылка 2" xfId="14460" hidden="1"/>
    <cellStyle name="Гиперссылка 2" xfId="14459" hidden="1"/>
    <cellStyle name="Гиперссылка 2" xfId="14461" hidden="1"/>
    <cellStyle name="Гиперссылка 2" xfId="14462" hidden="1"/>
    <cellStyle name="Гиперссылка 2" xfId="14467" hidden="1"/>
    <cellStyle name="Гиперссылка 2" xfId="14468" hidden="1"/>
    <cellStyle name="Гиперссылка 2" xfId="14464" hidden="1"/>
    <cellStyle name="Гиперссылка 2" xfId="14463" hidden="1"/>
    <cellStyle name="Гиперссылка 2" xfId="14466" hidden="1"/>
    <cellStyle name="Гиперссылка 2" xfId="14465" hidden="1"/>
    <cellStyle name="Гиперссылка 2" xfId="14470" hidden="1"/>
    <cellStyle name="Гиперссылка 2" xfId="14469" hidden="1"/>
    <cellStyle name="Гиперссылка 2" xfId="14471" hidden="1"/>
    <cellStyle name="Гиперссылка 2" xfId="14472" hidden="1"/>
    <cellStyle name="Гиперссылка 2" xfId="14477" hidden="1"/>
    <cellStyle name="Гиперссылка 2" xfId="14478" hidden="1"/>
    <cellStyle name="Гиперссылка 2" xfId="14474" hidden="1"/>
    <cellStyle name="Гиперссылка 2" xfId="14473" hidden="1"/>
    <cellStyle name="Гиперссылка 2" xfId="14476" hidden="1"/>
    <cellStyle name="Гиперссылка 2" xfId="14475" hidden="1"/>
    <cellStyle name="Гиперссылка 2" xfId="14480" hidden="1"/>
    <cellStyle name="Гиперссылка 2" xfId="14479" hidden="1"/>
    <cellStyle name="Гиперссылка 2" xfId="14376" hidden="1"/>
    <cellStyle name="Гиперссылка 2" xfId="13866" hidden="1"/>
    <cellStyle name="Гиперссылка 2" xfId="12238" hidden="1"/>
    <cellStyle name="Гиперссылка 2" xfId="12680" hidden="1"/>
    <cellStyle name="Гиперссылка 2" xfId="14434" hidden="1"/>
    <cellStyle name="Гиперссылка 2" xfId="14448" hidden="1"/>
    <cellStyle name="Гиперссылка 2" xfId="14195" hidden="1"/>
    <cellStyle name="Гиперссылка 2" xfId="14431" hidden="1"/>
    <cellStyle name="Гиперссылка 2" xfId="14492" hidden="1"/>
    <cellStyle name="Гиперссылка 2" xfId="14491" hidden="1"/>
    <cellStyle name="Гиперссылка 2" xfId="14498" hidden="1"/>
    <cellStyle name="Гиперссылка 2" xfId="14499" hidden="1"/>
    <cellStyle name="Гиперссылка 2" xfId="14504" hidden="1"/>
    <cellStyle name="Гиперссылка 2" xfId="14505" hidden="1"/>
    <cellStyle name="Гиперссылка 2" xfId="14501" hidden="1"/>
    <cellStyle name="Гиперссылка 2" xfId="14500" hidden="1"/>
    <cellStyle name="Гиперссылка 2" xfId="14503" hidden="1"/>
    <cellStyle name="Гиперссылка 2" xfId="14502" hidden="1"/>
    <cellStyle name="Гиперссылка 2" xfId="14507" hidden="1"/>
    <cellStyle name="Гиперссылка 2" xfId="14506" hidden="1"/>
    <cellStyle name="Гиперссылка 2" xfId="14508" hidden="1"/>
    <cellStyle name="Гиперссылка 2" xfId="14509" hidden="1"/>
    <cellStyle name="Гиперссылка 2" xfId="14514" hidden="1"/>
    <cellStyle name="Гиперссылка 2" xfId="14515" hidden="1"/>
    <cellStyle name="Гиперссылка 2" xfId="14511" hidden="1"/>
    <cellStyle name="Гиперссылка 2" xfId="14510" hidden="1"/>
    <cellStyle name="Гиперссылка 2" xfId="14513" hidden="1"/>
    <cellStyle name="Гиперссылка 2" xfId="14512" hidden="1"/>
    <cellStyle name="Гиперссылка 2" xfId="14517" hidden="1"/>
    <cellStyle name="Гиперссылка 2" xfId="14516" hidden="1"/>
    <cellStyle name="Гиперссылка 2" xfId="14518" hidden="1"/>
    <cellStyle name="Гиперссылка 2" xfId="14519" hidden="1"/>
    <cellStyle name="Гиперссылка 2" xfId="14524" hidden="1"/>
    <cellStyle name="Гиперссылка 2" xfId="14525" hidden="1"/>
    <cellStyle name="Гиперссылка 2" xfId="14521" hidden="1"/>
    <cellStyle name="Гиперссылка 2" xfId="14520" hidden="1"/>
    <cellStyle name="Гиперссылка 2" xfId="14523" hidden="1"/>
    <cellStyle name="Гиперссылка 2" xfId="14522" hidden="1"/>
    <cellStyle name="Гиперссылка 2" xfId="14527" hidden="1"/>
    <cellStyle name="Гиперссылка 2" xfId="14526" hidden="1"/>
    <cellStyle name="Гиперссылка 2" xfId="14432" hidden="1"/>
    <cellStyle name="Гиперссылка 2" xfId="13732" hidden="1"/>
    <cellStyle name="Гиперссылка 2" xfId="14254" hidden="1"/>
    <cellStyle name="Гиперссылка 2" xfId="12371" hidden="1"/>
    <cellStyle name="Гиперссылка 2" xfId="14484" hidden="1"/>
    <cellStyle name="Гиперссылка 2" xfId="14495" hidden="1"/>
    <cellStyle name="Гиперссылка 2" xfId="14263" hidden="1"/>
    <cellStyle name="Гиперссылка 2" xfId="14482" hidden="1"/>
    <cellStyle name="Гиперссылка 2" xfId="14529" hidden="1"/>
    <cellStyle name="Гиперссылка 2" xfId="14528" hidden="1"/>
    <cellStyle name="Гиперссылка 2" xfId="14530" hidden="1"/>
    <cellStyle name="Гиперссылка 2" xfId="14531" hidden="1"/>
    <cellStyle name="Гиперссылка 2" xfId="14536" hidden="1"/>
    <cellStyle name="Гиперссылка 2" xfId="14537" hidden="1"/>
    <cellStyle name="Гиперссылка 2" xfId="14533" hidden="1"/>
    <cellStyle name="Гиперссылка 2" xfId="14532" hidden="1"/>
    <cellStyle name="Гиперссылка 2" xfId="14535" hidden="1"/>
    <cellStyle name="Гиперссылка 2" xfId="14534" hidden="1"/>
    <cellStyle name="Гиперссылка 2" xfId="14539" hidden="1"/>
    <cellStyle name="Гиперссылка 2" xfId="14538" hidden="1"/>
    <cellStyle name="Гиперссылка 2" xfId="14540" hidden="1"/>
    <cellStyle name="Гиперссылка 2" xfId="14541" hidden="1"/>
    <cellStyle name="Гиперссылка 2" xfId="14546" hidden="1"/>
    <cellStyle name="Гиперссылка 2" xfId="14547" hidden="1"/>
    <cellStyle name="Гиперссылка 2" xfId="14543" hidden="1"/>
    <cellStyle name="Гиперссылка 2" xfId="14542" hidden="1"/>
    <cellStyle name="Гиперссылка 2" xfId="14545" hidden="1"/>
    <cellStyle name="Гиперссылка 2" xfId="14544" hidden="1"/>
    <cellStyle name="Гиперссылка 2" xfId="14549" hidden="1"/>
    <cellStyle name="Гиперссылка 2" xfId="14548" hidden="1"/>
    <cellStyle name="Гиперссылка 2" xfId="14550" hidden="1"/>
    <cellStyle name="Гиперссылка 2" xfId="14551" hidden="1"/>
    <cellStyle name="Гиперссылка 2" xfId="14556" hidden="1"/>
    <cellStyle name="Гиперссылка 2" xfId="14557" hidden="1"/>
    <cellStyle name="Гиперссылка 2" xfId="14553" hidden="1"/>
    <cellStyle name="Гиперссылка 2" xfId="14552" hidden="1"/>
    <cellStyle name="Гиперссылка 2" xfId="14555" hidden="1"/>
    <cellStyle name="Гиперссылка 2" xfId="14554" hidden="1"/>
    <cellStyle name="Гиперссылка 2" xfId="14559" hidden="1"/>
    <cellStyle name="Гиперссылка 2" xfId="14558" hidden="1"/>
    <cellStyle name="Гиперссылка 2" xfId="13820" hidden="1"/>
    <cellStyle name="Гиперссылка 2" xfId="12450" hidden="1"/>
    <cellStyle name="Гиперссылка 2" xfId="13049" hidden="1"/>
    <cellStyle name="Гиперссылка 2" xfId="13007" hidden="1"/>
    <cellStyle name="Гиперссылка 2" xfId="14334" hidden="1"/>
    <cellStyle name="Гиперссылка 2" xfId="13442" hidden="1"/>
    <cellStyle name="Гиперссылка 2" xfId="12023" hidden="1"/>
    <cellStyle name="Гиперссылка 2" xfId="13519" hidden="1"/>
    <cellStyle name="Гиперссылка 2" xfId="12688" hidden="1"/>
    <cellStyle name="Гиперссылка 2" xfId="13553" hidden="1"/>
    <cellStyle name="Гиперссылка 2" xfId="14252" hidden="1"/>
    <cellStyle name="Гиперссылка 2" xfId="12598" hidden="1"/>
    <cellStyle name="Гиперссылка 2" xfId="12089" hidden="1"/>
    <cellStyle name="Гиперссылка 2" xfId="13819" hidden="1"/>
    <cellStyle name="Гиперссылка 2" xfId="12042" hidden="1"/>
    <cellStyle name="Гиперссылка 2" xfId="8875" hidden="1"/>
    <cellStyle name="Гиперссылка 2" xfId="13404" hidden="1"/>
    <cellStyle name="Гиперссылка 2" xfId="12195" hidden="1"/>
    <cellStyle name="Гиперссылка 2" xfId="13887" hidden="1"/>
    <cellStyle name="Гиперссылка 2" xfId="14127" hidden="1"/>
    <cellStyle name="Гиперссылка 2" xfId="14439" hidden="1"/>
    <cellStyle name="Гиперссылка 2" xfId="14323" hidden="1"/>
    <cellStyle name="Гиперссылка 2" xfId="12443" hidden="1"/>
    <cellStyle name="Гиперссылка 2" xfId="12087" hidden="1"/>
    <cellStyle name="Гиперссылка 2" xfId="14316" hidden="1"/>
    <cellStyle name="Гиперссылка 2" xfId="14433" hidden="1"/>
    <cellStyle name="Гиперссылка 2" xfId="12774" hidden="1"/>
    <cellStyle name="Гиперссылка 2" xfId="14050" hidden="1"/>
    <cellStyle name="Гиперссылка 2" xfId="12360" hidden="1"/>
    <cellStyle name="Гиперссылка 2" xfId="8938" hidden="1"/>
    <cellStyle name="Гиперссылка 2" xfId="13557" hidden="1"/>
    <cellStyle name="Гиперссылка 2" xfId="13390" hidden="1"/>
    <cellStyle name="Гиперссылка 2" xfId="12014" hidden="1"/>
    <cellStyle name="Гиперссылка 2" xfId="8904" hidden="1"/>
    <cellStyle name="Гиперссылка 2" xfId="12540" hidden="1"/>
    <cellStyle name="Гиперссылка 2" xfId="12960" hidden="1"/>
    <cellStyle name="Гиперссылка 2" xfId="14208" hidden="1"/>
    <cellStyle name="Гиперссылка 2" xfId="12028" hidden="1"/>
    <cellStyle name="Гиперссылка 2" xfId="12701" hidden="1"/>
    <cellStyle name="Гиперссылка 2" xfId="14260" hidden="1"/>
    <cellStyle name="Гиперссылка 2" xfId="12752" hidden="1"/>
    <cellStyle name="Гиперссылка 2" xfId="14214" hidden="1"/>
    <cellStyle name="Гиперссылка 2" xfId="14320" hidden="1"/>
    <cellStyle name="Гиперссылка 2" xfId="14210" hidden="1"/>
    <cellStyle name="Гиперссылка 2" xfId="12030" hidden="1"/>
    <cellStyle name="Гиперссылка 2" xfId="14074" hidden="1"/>
    <cellStyle name="Гиперссылка 2" xfId="13864" hidden="1"/>
    <cellStyle name="Гиперссылка 2" xfId="13103" hidden="1"/>
    <cellStyle name="Гиперссылка 2" xfId="13867" hidden="1"/>
    <cellStyle name="Гиперссылка 2" xfId="8926" hidden="1"/>
    <cellStyle name="Гиперссылка 2" xfId="13175" hidden="1"/>
    <cellStyle name="Гиперссылка 2" xfId="13863" hidden="1"/>
    <cellStyle name="Гиперссылка 2" xfId="14483" hidden="1"/>
    <cellStyle name="Гиперссылка 2" xfId="14379" hidden="1"/>
    <cellStyle name="Гиперссылка 2" xfId="12194" hidden="1"/>
    <cellStyle name="Гиперссылка 2" xfId="12357" hidden="1"/>
    <cellStyle name="Гиперссылка 2" xfId="13469" hidden="1"/>
    <cellStyle name="Гиперссылка 2" xfId="12328" hidden="1"/>
    <cellStyle name="Гиперссылка 2" xfId="14331" hidden="1"/>
    <cellStyle name="Гиперссылка 2" xfId="13006" hidden="1"/>
    <cellStyle name="Гиперссылка 2" xfId="13544" hidden="1"/>
    <cellStyle name="Гиперссылка 2" xfId="13937" hidden="1"/>
    <cellStyle name="Гиперссылка 2" xfId="12504" hidden="1"/>
    <cellStyle name="Гиперссылка 2" xfId="13531" hidden="1"/>
    <cellStyle name="Гиперссылка 2" xfId="13401" hidden="1"/>
    <cellStyle name="Гиперссылка 2" xfId="8898" hidden="1"/>
    <cellStyle name="Гиперссылка 2" xfId="13991" hidden="1"/>
    <cellStyle name="Гиперссылка 2" xfId="12551" hidden="1"/>
    <cellStyle name="Гиперссылка 2" xfId="12874" hidden="1"/>
    <cellStyle name="Гиперссылка 2" xfId="13624" hidden="1"/>
    <cellStyle name="Гиперссылка 2" xfId="13666" hidden="1"/>
    <cellStyle name="Гиперссылка 2" xfId="14388" hidden="1"/>
    <cellStyle name="Гиперссылка 2" xfId="14211" hidden="1"/>
    <cellStyle name="Гиперссылка 2" xfId="12963" hidden="1"/>
    <cellStyle name="Гиперссылка 2" xfId="14496" hidden="1"/>
    <cellStyle name="Гиперссылка 2" xfId="14198" hidden="1"/>
    <cellStyle name="Гиперссылка 2" xfId="14341" hidden="1"/>
    <cellStyle name="Гиперссылка 2" xfId="14397" hidden="1"/>
    <cellStyle name="Гиперссылка 2" xfId="12174" hidden="1"/>
    <cellStyle name="Гиперссылка 2" xfId="13869" hidden="1"/>
    <cellStyle name="Гиперссылка 2" xfId="14262" hidden="1"/>
    <cellStyle name="Гиперссылка 2" xfId="12596" hidden="1"/>
    <cellStyle name="Гиперссылка 2" xfId="11972" hidden="1"/>
    <cellStyle name="Гиперссылка 2" xfId="12880" hidden="1"/>
    <cellStyle name="Гиперссылка 2" xfId="12470" hidden="1"/>
    <cellStyle name="Гиперссылка 2" xfId="8944" hidden="1"/>
    <cellStyle name="Гиперссылка 2" xfId="11970" hidden="1"/>
    <cellStyle name="Гиперссылка 2" xfId="12491" hidden="1"/>
    <cellStyle name="Гиперссылка 2" xfId="13933" hidden="1"/>
    <cellStyle name="Гиперссылка 2" xfId="12026" hidden="1"/>
    <cellStyle name="Гиперссылка 2" xfId="14315" hidden="1"/>
    <cellStyle name="Гиперссылка 2" xfId="12545" hidden="1"/>
    <cellStyle name="Гиперссылка 2" xfId="12693" hidden="1"/>
    <cellStyle name="Гиперссылка 2" xfId="13247" hidden="1"/>
    <cellStyle name="Гиперссылка 2" xfId="12790" hidden="1"/>
    <cellStyle name="Гиперссылка 2" xfId="8941" hidden="1"/>
    <cellStyle name="Гиперссылка 2" xfId="14065" hidden="1"/>
    <cellStyle name="Гиперссылка 2" xfId="13005" hidden="1"/>
    <cellStyle name="Гиперссылка 2" xfId="13854" hidden="1"/>
    <cellStyle name="Гиперссылка 2" xfId="13528" hidden="1"/>
    <cellStyle name="Гиперссылка 2" xfId="14435" hidden="1"/>
    <cellStyle name="Гиперссылка 2" xfId="14318" hidden="1"/>
    <cellStyle name="Гиперссылка 2" xfId="14123" hidden="1"/>
    <cellStyle name="Гиперссылка 2" xfId="13318" hidden="1"/>
    <cellStyle name="Гиперссылка 2" xfId="14374" hidden="1"/>
    <cellStyle name="Гиперссылка 2" xfId="14481" hidden="1"/>
    <cellStyle name="Гиперссылка 2" xfId="12209" hidden="1"/>
    <cellStyle name="Гиперссылка 2" xfId="14247" hidden="1"/>
    <cellStyle name="Гиперссылка 2" xfId="12760" hidden="1"/>
    <cellStyle name="Гиперссылка 2" xfId="12884" hidden="1"/>
    <cellStyle name="Гиперссылка 2" xfId="13935" hidden="1"/>
    <cellStyle name="Гиперссылка 2" xfId="13268" hidden="1"/>
    <cellStyle name="Гиперссылка 2" xfId="14381" hidden="1"/>
    <cellStyle name="Гиперссылка 2" xfId="14257" hidden="1"/>
    <cellStyle name="Гиперссылка 2" xfId="14114" hidden="1"/>
    <cellStyle name="Гиперссылка 2" xfId="12754" hidden="1"/>
    <cellStyle name="Гиперссылка 2" xfId="14485" hidden="1"/>
    <cellStyle name="Гиперссылка 2" xfId="8883" hidden="1"/>
    <cellStyle name="Гиперссылка 2" xfId="14383" hidden="1"/>
    <cellStyle name="Гиперссылка 2" xfId="14437" hidden="1"/>
    <cellStyle name="Гиперссылка 2" xfId="14983" hidden="1"/>
    <cellStyle name="Гиперссылка 2" xfId="14984" hidden="1"/>
    <cellStyle name="Гиперссылка 2" xfId="15278" hidden="1"/>
    <cellStyle name="Гиперссылка 2" xfId="15279" hidden="1"/>
    <cellStyle name="Гиперссылка 2" xfId="15140" hidden="1"/>
    <cellStyle name="Гиперссылка 2" xfId="14989" hidden="1"/>
    <cellStyle name="Гиперссылка 2" xfId="15244" hidden="1"/>
    <cellStyle name="Гиперссылка 2" xfId="15243" hidden="1"/>
    <cellStyle name="Гиперссылка 2" xfId="15433" hidden="1"/>
    <cellStyle name="Гиперссылка 2" xfId="15432" hidden="1"/>
    <cellStyle name="Гиперссылка 2" xfId="15466" hidden="1"/>
    <cellStyle name="Гиперссылка 2" xfId="15467" hidden="1"/>
    <cellStyle name="Гиперссылка 2" xfId="15472" hidden="1"/>
    <cellStyle name="Гиперссылка 2" xfId="15473" hidden="1"/>
    <cellStyle name="Гиперссылка 2" xfId="15469" hidden="1"/>
    <cellStyle name="Гиперссылка 2" xfId="15468" hidden="1"/>
    <cellStyle name="Гиперссылка 2" xfId="15471" hidden="1"/>
    <cellStyle name="Гиперссылка 2" xfId="15470" hidden="1"/>
    <cellStyle name="Гиперссылка 2" xfId="15475" hidden="1"/>
    <cellStyle name="Гиперссылка 2" xfId="15474" hidden="1"/>
    <cellStyle name="Гиперссылка 2" xfId="15477" hidden="1"/>
    <cellStyle name="Гиперссылка 2" xfId="15478" hidden="1"/>
    <cellStyle name="Гиперссылка 2" xfId="15483" hidden="1"/>
    <cellStyle name="Гиперссылка 2" xfId="15484" hidden="1"/>
    <cellStyle name="Гиперссылка 2" xfId="15480" hidden="1"/>
    <cellStyle name="Гиперссылка 2" xfId="15479" hidden="1"/>
    <cellStyle name="Гиперссылка 2" xfId="15482" hidden="1"/>
    <cellStyle name="Гиперссылка 2" xfId="15481" hidden="1"/>
    <cellStyle name="Гиперссылка 2" xfId="15486" hidden="1"/>
    <cellStyle name="Гиперссылка 2" xfId="15485" hidden="1"/>
    <cellStyle name="Гиперссылка 2" xfId="15487" hidden="1"/>
    <cellStyle name="Гиперссылка 2" xfId="15488" hidden="1"/>
    <cellStyle name="Гиперссылка 2" xfId="15493" hidden="1"/>
    <cellStyle name="Гиперссылка 2" xfId="15494" hidden="1"/>
    <cellStyle name="Гиперссылка 2" xfId="15490" hidden="1"/>
    <cellStyle name="Гиперссылка 2" xfId="15489" hidden="1"/>
    <cellStyle name="Гиперссылка 2" xfId="15492" hidden="1"/>
    <cellStyle name="Гиперссылка 2" xfId="15491" hidden="1"/>
    <cellStyle name="Гиперссылка 2" xfId="15496" hidden="1"/>
    <cellStyle name="Гиперссылка 2" xfId="15495" hidden="1"/>
    <cellStyle name="Гиперссылка 2" xfId="15607" hidden="1"/>
    <cellStyle name="Гиперссылка 2" xfId="15608" hidden="1"/>
    <cellStyle name="Гиперссылка 2" xfId="15928" hidden="1"/>
    <cellStyle name="Гиперссылка 2" xfId="15929" hidden="1"/>
    <cellStyle name="Гиперссылка 2" xfId="15754" hidden="1"/>
    <cellStyle name="Гиперссылка 2" xfId="15614" hidden="1"/>
    <cellStyle name="Гиперссылка 2" xfId="15886" hidden="1"/>
    <cellStyle name="Гиперссылка 2" xfId="15885" hidden="1"/>
    <cellStyle name="Гиперссылка 2" xfId="16078" hidden="1"/>
    <cellStyle name="Гиперссылка 2" xfId="16077" hidden="1"/>
    <cellStyle name="Гиперссылка 2" xfId="16118" hidden="1"/>
    <cellStyle name="Гиперссылка 2" xfId="16119" hidden="1"/>
    <cellStyle name="Гиперссылка 2" xfId="16125" hidden="1"/>
    <cellStyle name="Гиперссылка 2" xfId="16126" hidden="1"/>
    <cellStyle name="Гиперссылка 2" xfId="16122" hidden="1"/>
    <cellStyle name="Гиперссылка 2" xfId="16121" hidden="1"/>
    <cellStyle name="Гиперссылка 2" xfId="16124" hidden="1"/>
    <cellStyle name="Гиперссылка 2" xfId="16123" hidden="1"/>
    <cellStyle name="Гиперссылка 2" xfId="16128" hidden="1"/>
    <cellStyle name="Гиперссылка 2" xfId="16127" hidden="1"/>
    <cellStyle name="Гиперссылка 2" xfId="16131" hidden="1"/>
    <cellStyle name="Гиперссылка 2" xfId="16132" hidden="1"/>
    <cellStyle name="Гиперссылка 2" xfId="16137" hidden="1"/>
    <cellStyle name="Гиперссылка 2" xfId="16138" hidden="1"/>
    <cellStyle name="Гиперссылка 2" xfId="16134" hidden="1"/>
    <cellStyle name="Гиперссылка 2" xfId="16133" hidden="1"/>
    <cellStyle name="Гиперссылка 2" xfId="16136" hidden="1"/>
    <cellStyle name="Гиперссылка 2" xfId="16135" hidden="1"/>
    <cellStyle name="Гиперссылка 2" xfId="16140" hidden="1"/>
    <cellStyle name="Гиперссылка 2" xfId="16139" hidden="1"/>
    <cellStyle name="Гиперссылка 2" xfId="16141" hidden="1"/>
    <cellStyle name="Гиперссылка 2" xfId="16142" hidden="1"/>
    <cellStyle name="Гиперссылка 2" xfId="16147" hidden="1"/>
    <cellStyle name="Гиперссылка 2" xfId="16148" hidden="1"/>
    <cellStyle name="Гиперссылка 2" xfId="16144" hidden="1"/>
    <cellStyle name="Гиперссылка 2" xfId="16143" hidden="1"/>
    <cellStyle name="Гиперссылка 2" xfId="16146" hidden="1"/>
    <cellStyle name="Гиперссылка 2" xfId="16145" hidden="1"/>
    <cellStyle name="Гиперссылка 2" xfId="16150" hidden="1"/>
    <cellStyle name="Гиперссылка 2" xfId="16149" hidden="1"/>
    <cellStyle name="Гиперссылка 2" xfId="15922" hidden="1"/>
    <cellStyle name="Гиперссылка 2" xfId="15791" hidden="1"/>
    <cellStyle name="Гиперссылка 2" xfId="15944" hidden="1"/>
    <cellStyle name="Гиперссылка 2" xfId="15619" hidden="1"/>
    <cellStyle name="Гиперссылка 2" xfId="15990" hidden="1"/>
    <cellStyle name="Гиперссылка 2" xfId="16103" hidden="1"/>
    <cellStyle name="Гиперссылка 2" xfId="15844" hidden="1"/>
    <cellStyle name="Гиперссылка 2" xfId="15966" hidden="1"/>
    <cellStyle name="Гиперссылка 2" xfId="16274" hidden="1"/>
    <cellStyle name="Гиперссылка 2" xfId="16273" hidden="1"/>
    <cellStyle name="Гиперссылка 2" xfId="16313" hidden="1"/>
    <cellStyle name="Гиперссылка 2" xfId="16314" hidden="1"/>
    <cellStyle name="Гиперссылка 2" xfId="16320" hidden="1"/>
    <cellStyle name="Гиперссылка 2" xfId="16321" hidden="1"/>
    <cellStyle name="Гиперссылка 2" xfId="16317" hidden="1"/>
    <cellStyle name="Гиперссылка 2" xfId="16316" hidden="1"/>
    <cellStyle name="Гиперссылка 2" xfId="16319" hidden="1"/>
    <cellStyle name="Гиперссылка 2" xfId="16318" hidden="1"/>
    <cellStyle name="Гиперссылка 2" xfId="16323" hidden="1"/>
    <cellStyle name="Гиперссылка 2" xfId="16322" hidden="1"/>
    <cellStyle name="Гиперссылка 2" xfId="16326" hidden="1"/>
    <cellStyle name="Гиперссылка 2" xfId="16327" hidden="1"/>
    <cellStyle name="Гиперссылка 2" xfId="16332" hidden="1"/>
    <cellStyle name="Гиперссылка 2" xfId="16333" hidden="1"/>
    <cellStyle name="Гиперссылка 2" xfId="16329" hidden="1"/>
    <cellStyle name="Гиперссылка 2" xfId="16328" hidden="1"/>
    <cellStyle name="Гиперссылка 2" xfId="16331" hidden="1"/>
    <cellStyle name="Гиперссылка 2" xfId="16330" hidden="1"/>
    <cellStyle name="Гиперссылка 2" xfId="16335" hidden="1"/>
    <cellStyle name="Гиперссылка 2" xfId="16334" hidden="1"/>
    <cellStyle name="Гиперссылка 2" xfId="16336" hidden="1"/>
    <cellStyle name="Гиперссылка 2" xfId="16337" hidden="1"/>
    <cellStyle name="Гиперссылка 2" xfId="16342" hidden="1"/>
    <cellStyle name="Гиперссылка 2" xfId="16343" hidden="1"/>
    <cellStyle name="Гиперссылка 2" xfId="16339" hidden="1"/>
    <cellStyle name="Гиперссылка 2" xfId="16338" hidden="1"/>
    <cellStyle name="Гиперссылка 2" xfId="16341" hidden="1"/>
    <cellStyle name="Гиперссылка 2" xfId="16340" hidden="1"/>
    <cellStyle name="Гиперссылка 2" xfId="16345" hidden="1"/>
    <cellStyle name="Гиперссылка 2" xfId="16344" hidden="1"/>
    <cellStyle name="Гиперссылка 2" xfId="15967" hidden="1"/>
    <cellStyle name="Гиперссылка 2" xfId="14838" hidden="1"/>
    <cellStyle name="Гиперссылка 2" xfId="14881" hidden="1"/>
    <cellStyle name="Гиперссылка 2" xfId="15756" hidden="1"/>
    <cellStyle name="Гиперссылка 2" xfId="16186" hidden="1"/>
    <cellStyle name="Гиперссылка 2" xfId="16299" hidden="1"/>
    <cellStyle name="Гиперссылка 2" xfId="15916" hidden="1"/>
    <cellStyle name="Гиперссылка 2" xfId="16162" hidden="1"/>
    <cellStyle name="Гиперссылка 2" xfId="16467" hidden="1"/>
    <cellStyle name="Гиперссылка 2" xfId="16466" hidden="1"/>
    <cellStyle name="Гиперссылка 2" xfId="16506" hidden="1"/>
    <cellStyle name="Гиперссылка 2" xfId="16507" hidden="1"/>
    <cellStyle name="Гиперссылка 2" xfId="16513" hidden="1"/>
    <cellStyle name="Гиперссылка 2" xfId="16514" hidden="1"/>
    <cellStyle name="Гиперссылка 2" xfId="16510" hidden="1"/>
    <cellStyle name="Гиперссылка 2" xfId="16509" hidden="1"/>
    <cellStyle name="Гиперссылка 2" xfId="16512" hidden="1"/>
    <cellStyle name="Гиперссылка 2" xfId="16511" hidden="1"/>
    <cellStyle name="Гиперссылка 2" xfId="16516" hidden="1"/>
    <cellStyle name="Гиперссылка 2" xfId="16515" hidden="1"/>
    <cellStyle name="Гиперссылка 2" xfId="16519" hidden="1"/>
    <cellStyle name="Гиперссылка 2" xfId="16520" hidden="1"/>
    <cellStyle name="Гиперссылка 2" xfId="16525" hidden="1"/>
    <cellStyle name="Гиперссылка 2" xfId="16526" hidden="1"/>
    <cellStyle name="Гиперссылка 2" xfId="16522" hidden="1"/>
    <cellStyle name="Гиперссылка 2" xfId="16521" hidden="1"/>
    <cellStyle name="Гиперссылка 2" xfId="16524" hidden="1"/>
    <cellStyle name="Гиперссылка 2" xfId="16523" hidden="1"/>
    <cellStyle name="Гиперссылка 2" xfId="16528" hidden="1"/>
    <cellStyle name="Гиперссылка 2" xfId="16527" hidden="1"/>
    <cellStyle name="Гиперссылка 2" xfId="16529" hidden="1"/>
    <cellStyle name="Гиперссылка 2" xfId="16530" hidden="1"/>
    <cellStyle name="Гиперссылка 2" xfId="16535" hidden="1"/>
    <cellStyle name="Гиперссылка 2" xfId="16536" hidden="1"/>
    <cellStyle name="Гиперссылка 2" xfId="16532" hidden="1"/>
    <cellStyle name="Гиперссылка 2" xfId="16531" hidden="1"/>
    <cellStyle name="Гиперссылка 2" xfId="16534" hidden="1"/>
    <cellStyle name="Гиперссылка 2" xfId="16533" hidden="1"/>
    <cellStyle name="Гиперссылка 2" xfId="16538" hidden="1"/>
    <cellStyle name="Гиперссылка 2" xfId="16537" hidden="1"/>
    <cellStyle name="Гиперссылка 2" xfId="16163" hidden="1"/>
    <cellStyle name="Гиперссылка 2" xfId="14895" hidden="1"/>
    <cellStyle name="Гиперссылка 2" xfId="15766" hidden="1"/>
    <cellStyle name="Гиперссылка 2" xfId="14906" hidden="1"/>
    <cellStyle name="Гиперссылка 2" xfId="16380" hidden="1"/>
    <cellStyle name="Гиперссылка 2" xfId="16492" hidden="1"/>
    <cellStyle name="Гиперссылка 2" xfId="15815" hidden="1"/>
    <cellStyle name="Гиперссылка 2" xfId="16357" hidden="1"/>
    <cellStyle name="Гиперссылка 2" xfId="16657" hidden="1"/>
    <cellStyle name="Гиперссылка 2" xfId="16656" hidden="1"/>
    <cellStyle name="Гиперссылка 2" xfId="16696" hidden="1"/>
    <cellStyle name="Гиперссылка 2" xfId="16697" hidden="1"/>
    <cellStyle name="Гиперссылка 2" xfId="16703" hidden="1"/>
    <cellStyle name="Гиперссылка 2" xfId="16704" hidden="1"/>
    <cellStyle name="Гиперссылка 2" xfId="16700" hidden="1"/>
    <cellStyle name="Гиперссылка 2" xfId="16699" hidden="1"/>
    <cellStyle name="Гиперссылка 2" xfId="16702" hidden="1"/>
    <cellStyle name="Гиперссылка 2" xfId="16701" hidden="1"/>
    <cellStyle name="Гиперссылка 2" xfId="16706" hidden="1"/>
    <cellStyle name="Гиперссылка 2" xfId="16705" hidden="1"/>
    <cellStyle name="Гиперссылка 2" xfId="16709" hidden="1"/>
    <cellStyle name="Гиперссылка 2" xfId="16710" hidden="1"/>
    <cellStyle name="Гиперссылка 2" xfId="16715" hidden="1"/>
    <cellStyle name="Гиперссылка 2" xfId="16716" hidden="1"/>
    <cellStyle name="Гиперссылка 2" xfId="16712" hidden="1"/>
    <cellStyle name="Гиперссылка 2" xfId="16711" hidden="1"/>
    <cellStyle name="Гиперссылка 2" xfId="16714" hidden="1"/>
    <cellStyle name="Гиперссылка 2" xfId="16713" hidden="1"/>
    <cellStyle name="Гиперссылка 2" xfId="16718" hidden="1"/>
    <cellStyle name="Гиперссылка 2" xfId="16717" hidden="1"/>
    <cellStyle name="Гиперссылка 2" xfId="16719" hidden="1"/>
    <cellStyle name="Гиперссылка 2" xfId="16720" hidden="1"/>
    <cellStyle name="Гиперссылка 2" xfId="16725" hidden="1"/>
    <cellStyle name="Гиперссылка 2" xfId="16726" hidden="1"/>
    <cellStyle name="Гиперссылка 2" xfId="16722" hidden="1"/>
    <cellStyle name="Гиперссылка 2" xfId="16721" hidden="1"/>
    <cellStyle name="Гиперссылка 2" xfId="16724" hidden="1"/>
    <cellStyle name="Гиперссылка 2" xfId="16723" hidden="1"/>
    <cellStyle name="Гиперссылка 2" xfId="16728" hidden="1"/>
    <cellStyle name="Гиперссылка 2" xfId="16727" hidden="1"/>
    <cellStyle name="Гиперссылка 2" xfId="16358" hidden="1"/>
    <cellStyle name="Гиперссылка 2" xfId="15782" hidden="1"/>
    <cellStyle name="Гиперссылка 2" xfId="15582" hidden="1"/>
    <cellStyle name="Гиперссылка 2" xfId="15765" hidden="1"/>
    <cellStyle name="Гиперссылка 2" xfId="16572" hidden="1"/>
    <cellStyle name="Гиперссылка 2" xfId="16682" hidden="1"/>
    <cellStyle name="Гиперссылка 2" xfId="15578" hidden="1"/>
    <cellStyle name="Гиперссылка 2" xfId="16550" hidden="1"/>
    <cellStyle name="Гиперссылка 2" xfId="16840" hidden="1"/>
    <cellStyle name="Гиперссылка 2" xfId="16839" hidden="1"/>
    <cellStyle name="Гиперссылка 2" xfId="16877" hidden="1"/>
    <cellStyle name="Гиперссылка 2" xfId="16878" hidden="1"/>
    <cellStyle name="Гиперссылка 2" xfId="16884" hidden="1"/>
    <cellStyle name="Гиперссылка 2" xfId="16885" hidden="1"/>
    <cellStyle name="Гиперссылка 2" xfId="16881" hidden="1"/>
    <cellStyle name="Гиперссылка 2" xfId="16880" hidden="1"/>
    <cellStyle name="Гиперссылка 2" xfId="16883" hidden="1"/>
    <cellStyle name="Гиперссылка 2" xfId="16882" hidden="1"/>
    <cellStyle name="Гиперссылка 2" xfId="16887" hidden="1"/>
    <cellStyle name="Гиперссылка 2" xfId="16886" hidden="1"/>
    <cellStyle name="Гиперссылка 2" xfId="16890" hidden="1"/>
    <cellStyle name="Гиперссылка 2" xfId="16891" hidden="1"/>
    <cellStyle name="Гиперссылка 2" xfId="16896" hidden="1"/>
    <cellStyle name="Гиперссылка 2" xfId="16897" hidden="1"/>
    <cellStyle name="Гиперссылка 2" xfId="16893" hidden="1"/>
    <cellStyle name="Гиперссылка 2" xfId="16892" hidden="1"/>
    <cellStyle name="Гиперссылка 2" xfId="16895" hidden="1"/>
    <cellStyle name="Гиперссылка 2" xfId="16894" hidden="1"/>
    <cellStyle name="Гиперссылка 2" xfId="16899" hidden="1"/>
    <cellStyle name="Гиперссылка 2" xfId="16898" hidden="1"/>
    <cellStyle name="Гиперссылка 2" xfId="16900" hidden="1"/>
    <cellStyle name="Гиперссылка 2" xfId="16901" hidden="1"/>
    <cellStyle name="Гиперссылка 2" xfId="16906" hidden="1"/>
    <cellStyle name="Гиперссылка 2" xfId="16907" hidden="1"/>
    <cellStyle name="Гиперссылка 2" xfId="16903" hidden="1"/>
    <cellStyle name="Гиперссылка 2" xfId="16902" hidden="1"/>
    <cellStyle name="Гиперссылка 2" xfId="16905" hidden="1"/>
    <cellStyle name="Гиперссылка 2" xfId="16904" hidden="1"/>
    <cellStyle name="Гиперссылка 2" xfId="16909" hidden="1"/>
    <cellStyle name="Гиперссылка 2" xfId="16908" hidden="1"/>
    <cellStyle name="Гиперссылка 2" xfId="16551" hidden="1"/>
    <cellStyle name="Гиперссылка 2" xfId="15858" hidden="1"/>
    <cellStyle name="Гиперссылка 2" xfId="15984" hidden="1"/>
    <cellStyle name="Гиперссылка 2" xfId="15595" hidden="1"/>
    <cellStyle name="Гиперссылка 2" xfId="16760" hidden="1"/>
    <cellStyle name="Гиперссылка 2" xfId="16864" hidden="1"/>
    <cellStyle name="Гиперссылка 2" xfId="16029" hidden="1"/>
    <cellStyle name="Гиперссылка 2" xfId="16740" hidden="1"/>
    <cellStyle name="Гиперссылка 2" xfId="17015" hidden="1"/>
    <cellStyle name="Гиперссылка 2" xfId="17014" hidden="1"/>
    <cellStyle name="Гиперссылка 2" xfId="17050" hidden="1"/>
    <cellStyle name="Гиперссылка 2" xfId="17051" hidden="1"/>
    <cellStyle name="Гиперссылка 2" xfId="17057" hidden="1"/>
    <cellStyle name="Гиперссылка 2" xfId="17058" hidden="1"/>
    <cellStyle name="Гиперссылка 2" xfId="17054" hidden="1"/>
    <cellStyle name="Гиперссылка 2" xfId="17053" hidden="1"/>
    <cellStyle name="Гиперссылка 2" xfId="17056" hidden="1"/>
    <cellStyle name="Гиперссылка 2" xfId="17055" hidden="1"/>
    <cellStyle name="Гиперссылка 2" xfId="17060" hidden="1"/>
    <cellStyle name="Гиперссылка 2" xfId="17059" hidden="1"/>
    <cellStyle name="Гиперссылка 2" xfId="17063" hidden="1"/>
    <cellStyle name="Гиперссылка 2" xfId="17064" hidden="1"/>
    <cellStyle name="Гиперссылка 2" xfId="17069" hidden="1"/>
    <cellStyle name="Гиперссылка 2" xfId="17070" hidden="1"/>
    <cellStyle name="Гиперссылка 2" xfId="17066" hidden="1"/>
    <cellStyle name="Гиперссылка 2" xfId="17065" hidden="1"/>
    <cellStyle name="Гиперссылка 2" xfId="17068" hidden="1"/>
    <cellStyle name="Гиперссылка 2" xfId="17067" hidden="1"/>
    <cellStyle name="Гиперссылка 2" xfId="17072" hidden="1"/>
    <cellStyle name="Гиперссылка 2" xfId="17071" hidden="1"/>
    <cellStyle name="Гиперссылка 2" xfId="17073" hidden="1"/>
    <cellStyle name="Гиперссылка 2" xfId="17074" hidden="1"/>
    <cellStyle name="Гиперссылка 2" xfId="17079" hidden="1"/>
    <cellStyle name="Гиперссылка 2" xfId="17080" hidden="1"/>
    <cellStyle name="Гиперссылка 2" xfId="17076" hidden="1"/>
    <cellStyle name="Гиперссылка 2" xfId="17075" hidden="1"/>
    <cellStyle name="Гиперссылка 2" xfId="17078" hidden="1"/>
    <cellStyle name="Гиперссылка 2" xfId="17077" hidden="1"/>
    <cellStyle name="Гиперссылка 2" xfId="17082" hidden="1"/>
    <cellStyle name="Гиперссылка 2" xfId="17081" hidden="1"/>
    <cellStyle name="Гиперссылка 2" xfId="16741" hidden="1"/>
    <cellStyle name="Гиперссылка 2" xfId="14951" hidden="1"/>
    <cellStyle name="Гиперссылка 2" xfId="16180" hidden="1"/>
    <cellStyle name="Гиперссылка 2" xfId="15615" hidden="1"/>
    <cellStyle name="Гиперссылка 2" xfId="16940" hidden="1"/>
    <cellStyle name="Гиперссылка 2" xfId="17038" hidden="1"/>
    <cellStyle name="Гиперссылка 2" xfId="16225" hidden="1"/>
    <cellStyle name="Гиперссылка 2" xfId="16921" hidden="1"/>
    <cellStyle name="Гиперссылка 2" xfId="17181" hidden="1"/>
    <cellStyle name="Гиперссылка 2" xfId="17180" hidden="1"/>
    <cellStyle name="Гиперссылка 2" xfId="17211" hidden="1"/>
    <cellStyle name="Гиперссылка 2" xfId="17212" hidden="1"/>
    <cellStyle name="Гиперссылка 2" xfId="17218" hidden="1"/>
    <cellStyle name="Гиперссылка 2" xfId="17219" hidden="1"/>
    <cellStyle name="Гиперссылка 2" xfId="17215" hidden="1"/>
    <cellStyle name="Гиперссылка 2" xfId="17214" hidden="1"/>
    <cellStyle name="Гиперссылка 2" xfId="17217" hidden="1"/>
    <cellStyle name="Гиперссылка 2" xfId="17216" hidden="1"/>
    <cellStyle name="Гиперссылка 2" xfId="17221" hidden="1"/>
    <cellStyle name="Гиперссылка 2" xfId="17220" hidden="1"/>
    <cellStyle name="Гиперссылка 2" xfId="17224" hidden="1"/>
    <cellStyle name="Гиперссылка 2" xfId="17225" hidden="1"/>
    <cellStyle name="Гиперссылка 2" xfId="17230" hidden="1"/>
    <cellStyle name="Гиперссылка 2" xfId="17231" hidden="1"/>
    <cellStyle name="Гиперссылка 2" xfId="17227" hidden="1"/>
    <cellStyle name="Гиперссылка 2" xfId="17226" hidden="1"/>
    <cellStyle name="Гиперссылка 2" xfId="17229" hidden="1"/>
    <cellStyle name="Гиперссылка 2" xfId="17228" hidden="1"/>
    <cellStyle name="Гиперссылка 2" xfId="17233" hidden="1"/>
    <cellStyle name="Гиперссылка 2" xfId="17232" hidden="1"/>
    <cellStyle name="Гиперссылка 2" xfId="17234" hidden="1"/>
    <cellStyle name="Гиперссылка 2" xfId="17235" hidden="1"/>
    <cellStyle name="Гиперссылка 2" xfId="17240" hidden="1"/>
    <cellStyle name="Гиперссылка 2" xfId="17241" hidden="1"/>
    <cellStyle name="Гиперссылка 2" xfId="17237" hidden="1"/>
    <cellStyle name="Гиперссылка 2" xfId="17236" hidden="1"/>
    <cellStyle name="Гиперссылка 2" xfId="17239" hidden="1"/>
    <cellStyle name="Гиперссылка 2" xfId="17238" hidden="1"/>
    <cellStyle name="Гиперссылка 2" xfId="17243" hidden="1"/>
    <cellStyle name="Гиперссылка 2" xfId="17242" hidden="1"/>
    <cellStyle name="Гиперссылка 2" xfId="16922" hidden="1"/>
    <cellStyle name="Гиперссылка 2" xfId="15562" hidden="1"/>
    <cellStyle name="Гиперссылка 2" xfId="16374" hidden="1"/>
    <cellStyle name="Гиперссылка 2" xfId="16052" hidden="1"/>
    <cellStyle name="Гиперссылка 2" xfId="17112" hidden="1"/>
    <cellStyle name="Гиперссылка 2" xfId="17201" hidden="1"/>
    <cellStyle name="Гиперссылка 2" xfId="16418" hidden="1"/>
    <cellStyle name="Гиперссылка 2" xfId="17093" hidden="1"/>
    <cellStyle name="Гиперссылка 2" xfId="17330" hidden="1"/>
    <cellStyle name="Гиперссылка 2" xfId="17329" hidden="1"/>
    <cellStyle name="Гиперссылка 2" xfId="17359" hidden="1"/>
    <cellStyle name="Гиперссылка 2" xfId="17360" hidden="1"/>
    <cellStyle name="Гиперссылка 2" xfId="17366" hidden="1"/>
    <cellStyle name="Гиперссылка 2" xfId="17367" hidden="1"/>
    <cellStyle name="Гиперссылка 2" xfId="17363" hidden="1"/>
    <cellStyle name="Гиперссылка 2" xfId="17362" hidden="1"/>
    <cellStyle name="Гиперссылка 2" xfId="17365" hidden="1"/>
    <cellStyle name="Гиперссылка 2" xfId="17364" hidden="1"/>
    <cellStyle name="Гиперссылка 2" xfId="17369" hidden="1"/>
    <cellStyle name="Гиперссылка 2" xfId="17368" hidden="1"/>
    <cellStyle name="Гиперссылка 2" xfId="17372" hidden="1"/>
    <cellStyle name="Гиперссылка 2" xfId="17373" hidden="1"/>
    <cellStyle name="Гиперссылка 2" xfId="17378" hidden="1"/>
    <cellStyle name="Гиперссылка 2" xfId="17379" hidden="1"/>
    <cellStyle name="Гиперссылка 2" xfId="17375" hidden="1"/>
    <cellStyle name="Гиперссылка 2" xfId="17374" hidden="1"/>
    <cellStyle name="Гиперссылка 2" xfId="17377" hidden="1"/>
    <cellStyle name="Гиперссылка 2" xfId="17376" hidden="1"/>
    <cellStyle name="Гиперссылка 2" xfId="17381" hidden="1"/>
    <cellStyle name="Гиперссылка 2" xfId="17380" hidden="1"/>
    <cellStyle name="Гиперссылка 2" xfId="17382" hidden="1"/>
    <cellStyle name="Гиперссылка 2" xfId="17383" hidden="1"/>
    <cellStyle name="Гиперссылка 2" xfId="17388" hidden="1"/>
    <cellStyle name="Гиперссылка 2" xfId="17389" hidden="1"/>
    <cellStyle name="Гиперссылка 2" xfId="17385" hidden="1"/>
    <cellStyle name="Гиперссылка 2" xfId="17384" hidden="1"/>
    <cellStyle name="Гиперссылка 2" xfId="17387" hidden="1"/>
    <cellStyle name="Гиперссылка 2" xfId="17386" hidden="1"/>
    <cellStyle name="Гиперссылка 2" xfId="17391" hidden="1"/>
    <cellStyle name="Гиперссылка 2" xfId="17390" hidden="1"/>
    <cellStyle name="Гиперссылка 2" xfId="17094" hidden="1"/>
    <cellStyle name="Гиперссылка 2" xfId="16003" hidden="1"/>
    <cellStyle name="Гиперссылка 2" xfId="16566" hidden="1"/>
    <cellStyle name="Гиперссылка 2" xfId="16248" hidden="1"/>
    <cellStyle name="Гиперссылка 2" xfId="17268" hidden="1"/>
    <cellStyle name="Гиперссылка 2" xfId="17349" hidden="1"/>
    <cellStyle name="Гиперссылка 2" xfId="16609" hidden="1"/>
    <cellStyle name="Гиперссылка 2" xfId="17253" hidden="1"/>
    <cellStyle name="Гиперссылка 2" xfId="17467" hidden="1"/>
    <cellStyle name="Гиперссылка 2" xfId="17466" hidden="1"/>
    <cellStyle name="Гиперссылка 2" xfId="17493" hidden="1"/>
    <cellStyle name="Гиперссылка 2" xfId="17494" hidden="1"/>
    <cellStyle name="Гиперссылка 2" xfId="17500" hidden="1"/>
    <cellStyle name="Гиперссылка 2" xfId="17501" hidden="1"/>
    <cellStyle name="Гиперссылка 2" xfId="17497" hidden="1"/>
    <cellStyle name="Гиперссылка 2" xfId="17496" hidden="1"/>
    <cellStyle name="Гиперссылка 2" xfId="17499" hidden="1"/>
    <cellStyle name="Гиперссылка 2" xfId="17498" hidden="1"/>
    <cellStyle name="Гиперссылка 2" xfId="17503" hidden="1"/>
    <cellStyle name="Гиперссылка 2" xfId="17502" hidden="1"/>
    <cellStyle name="Гиперссылка 2" xfId="17505" hidden="1"/>
    <cellStyle name="Гиперссылка 2" xfId="17506" hidden="1"/>
    <cellStyle name="Гиперссылка 2" xfId="17511" hidden="1"/>
    <cellStyle name="Гиперссылка 2" xfId="17512" hidden="1"/>
    <cellStyle name="Гиперссылка 2" xfId="17508" hidden="1"/>
    <cellStyle name="Гиперссылка 2" xfId="17507" hidden="1"/>
    <cellStyle name="Гиперссылка 2" xfId="17510" hidden="1"/>
    <cellStyle name="Гиперссылка 2" xfId="17509" hidden="1"/>
    <cellStyle name="Гиперссылка 2" xfId="17514" hidden="1"/>
    <cellStyle name="Гиперссылка 2" xfId="17513" hidden="1"/>
    <cellStyle name="Гиперссылка 2" xfId="17515" hidden="1"/>
    <cellStyle name="Гиперссылка 2" xfId="17516" hidden="1"/>
    <cellStyle name="Гиперссылка 2" xfId="17521" hidden="1"/>
    <cellStyle name="Гиперссылка 2" xfId="17522" hidden="1"/>
    <cellStyle name="Гиперссылка 2" xfId="17518" hidden="1"/>
    <cellStyle name="Гиперссылка 2" xfId="17517" hidden="1"/>
    <cellStyle name="Гиперссылка 2" xfId="17520" hidden="1"/>
    <cellStyle name="Гиперссылка 2" xfId="17519" hidden="1"/>
    <cellStyle name="Гиперссылка 2" xfId="17524" hidden="1"/>
    <cellStyle name="Гиперссылка 2" xfId="17523" hidden="1"/>
    <cellStyle name="Гиперссылка 2" xfId="17254" hidden="1"/>
    <cellStyle name="Гиперссылка 2" xfId="16199" hidden="1"/>
    <cellStyle name="Гиперссылка 2" xfId="16754" hidden="1"/>
    <cellStyle name="Гиперссылка 2" xfId="16441" hidden="1"/>
    <cellStyle name="Гиперссылка 2" xfId="17413" hidden="1"/>
    <cellStyle name="Гиперссылка 2" xfId="17484" hidden="1"/>
    <cellStyle name="Гиперссылка 2" xfId="16795" hidden="1"/>
    <cellStyle name="Гиперссылка 2" xfId="17400" hidden="1"/>
    <cellStyle name="Гиперссылка 2" xfId="17587" hidden="1"/>
    <cellStyle name="Гиперссылка 2" xfId="17586" hidden="1"/>
    <cellStyle name="Гиперссылка 2" xfId="17610" hidden="1"/>
    <cellStyle name="Гиперссылка 2" xfId="17611" hidden="1"/>
    <cellStyle name="Гиперссылка 2" xfId="17617" hidden="1"/>
    <cellStyle name="Гиперссылка 2" xfId="17618" hidden="1"/>
    <cellStyle name="Гиперссылка 2" xfId="17614" hidden="1"/>
    <cellStyle name="Гиперссылка 2" xfId="17613" hidden="1"/>
    <cellStyle name="Гиперссылка 2" xfId="17616" hidden="1"/>
    <cellStyle name="Гиперссылка 2" xfId="17615" hidden="1"/>
    <cellStyle name="Гиперссылка 2" xfId="17620" hidden="1"/>
    <cellStyle name="Гиперссылка 2" xfId="17619" hidden="1"/>
    <cellStyle name="Гиперссылка 2" xfId="17622" hidden="1"/>
    <cellStyle name="Гиперссылка 2" xfId="17623" hidden="1"/>
    <cellStyle name="Гиперссылка 2" xfId="17628" hidden="1"/>
    <cellStyle name="Гиперссылка 2" xfId="17629" hidden="1"/>
    <cellStyle name="Гиперссылка 2" xfId="17625" hidden="1"/>
    <cellStyle name="Гиперссылка 2" xfId="17624" hidden="1"/>
    <cellStyle name="Гиперссылка 2" xfId="17627" hidden="1"/>
    <cellStyle name="Гиперссылка 2" xfId="17626" hidden="1"/>
    <cellStyle name="Гиперссылка 2" xfId="17631" hidden="1"/>
    <cellStyle name="Гиперссылка 2" xfId="17630" hidden="1"/>
    <cellStyle name="Гиперссылка 2" xfId="17632" hidden="1"/>
    <cellStyle name="Гиперссылка 2" xfId="17633" hidden="1"/>
    <cellStyle name="Гиперссылка 2" xfId="17638" hidden="1"/>
    <cellStyle name="Гиперссылка 2" xfId="17639" hidden="1"/>
    <cellStyle name="Гиперссылка 2" xfId="17635" hidden="1"/>
    <cellStyle name="Гиперссылка 2" xfId="17634" hidden="1"/>
    <cellStyle name="Гиперссылка 2" xfId="17637" hidden="1"/>
    <cellStyle name="Гиперссылка 2" xfId="17636" hidden="1"/>
    <cellStyle name="Гиперссылка 2" xfId="17641" hidden="1"/>
    <cellStyle name="Гиперссылка 2" xfId="17640" hidden="1"/>
    <cellStyle name="Гиперссылка 2" xfId="17401" hidden="1"/>
    <cellStyle name="Гиперссылка 2" xfId="16392" hidden="1"/>
    <cellStyle name="Гиперссылка 2" xfId="16935" hidden="1"/>
    <cellStyle name="Гиперссылка 2" xfId="16631" hidden="1"/>
    <cellStyle name="Гиперссылка 2" xfId="17541" hidden="1"/>
    <cellStyle name="Гиперссылка 2" xfId="17603" hidden="1"/>
    <cellStyle name="Гиперссылка 2" xfId="16973" hidden="1"/>
    <cellStyle name="Гиперссылка 2" xfId="17531" hidden="1"/>
    <cellStyle name="Гиперссылка 2" xfId="17682" hidden="1"/>
    <cellStyle name="Гиперссылка 2" xfId="17681" hidden="1"/>
    <cellStyle name="Гиперссылка 2" xfId="17697" hidden="1"/>
    <cellStyle name="Гиперссылка 2" xfId="17698" hidden="1"/>
    <cellStyle name="Гиперссылка 2" xfId="17704" hidden="1"/>
    <cellStyle name="Гиперссылка 2" xfId="17705" hidden="1"/>
    <cellStyle name="Гиперссылка 2" xfId="17701" hidden="1"/>
    <cellStyle name="Гиперссылка 2" xfId="17700" hidden="1"/>
    <cellStyle name="Гиперссылка 2" xfId="17703" hidden="1"/>
    <cellStyle name="Гиперссылка 2" xfId="17702" hidden="1"/>
    <cellStyle name="Гиперссылка 2" xfId="17707" hidden="1"/>
    <cellStyle name="Гиперссылка 2" xfId="17706" hidden="1"/>
    <cellStyle name="Гиперссылка 2" xfId="17708" hidden="1"/>
    <cellStyle name="Гиперссылка 2" xfId="17709" hidden="1"/>
    <cellStyle name="Гиперссылка 2" xfId="17714" hidden="1"/>
    <cellStyle name="Гиперссылка 2" xfId="17715" hidden="1"/>
    <cellStyle name="Гиперссылка 2" xfId="17711" hidden="1"/>
    <cellStyle name="Гиперссылка 2" xfId="17710" hidden="1"/>
    <cellStyle name="Гиперссылка 2" xfId="17713" hidden="1"/>
    <cellStyle name="Гиперссылка 2" xfId="17712" hidden="1"/>
    <cellStyle name="Гиперссылка 2" xfId="17717" hidden="1"/>
    <cellStyle name="Гиперссылка 2" xfId="17716" hidden="1"/>
    <cellStyle name="Гиперссылка 2" xfId="17718" hidden="1"/>
    <cellStyle name="Гиперссылка 2" xfId="17719" hidden="1"/>
    <cellStyle name="Гиперссылка 2" xfId="17724" hidden="1"/>
    <cellStyle name="Гиперссылка 2" xfId="17725" hidden="1"/>
    <cellStyle name="Гиперссылка 2" xfId="17721" hidden="1"/>
    <cellStyle name="Гиперссылка 2" xfId="17720" hidden="1"/>
    <cellStyle name="Гиперссылка 2" xfId="17723" hidden="1"/>
    <cellStyle name="Гиперссылка 2" xfId="17722" hidden="1"/>
    <cellStyle name="Гиперссылка 2" xfId="17727" hidden="1"/>
    <cellStyle name="Гиперссылка 2" xfId="17726" hidden="1"/>
    <cellStyle name="Гиперссылка 2" xfId="17532" hidden="1"/>
    <cellStyle name="Гиперссылка 2" xfId="16584" hidden="1"/>
    <cellStyle name="Гиперссылка 2" xfId="17107" hidden="1"/>
    <cellStyle name="Гиперссылка 2" xfId="16815" hidden="1"/>
    <cellStyle name="Гиперссылка 2" xfId="17649" hidden="1"/>
    <cellStyle name="Гиперссылка 2" xfId="17694" hidden="1"/>
    <cellStyle name="Гиперссылка 2" xfId="17142" hidden="1"/>
    <cellStyle name="Гиперссылка 2" xfId="17645" hidden="1"/>
    <cellStyle name="Гиперссылка 2" xfId="17729" hidden="1"/>
    <cellStyle name="Гиперссылка 2" xfId="17728" hidden="1"/>
    <cellStyle name="Гиперссылка 2" xfId="17730" hidden="1"/>
    <cellStyle name="Гиперссылка 2" xfId="17731" hidden="1"/>
    <cellStyle name="Гиперссылка 2" xfId="17736" hidden="1"/>
    <cellStyle name="Гиперссылка 2" xfId="17737" hidden="1"/>
    <cellStyle name="Гиперссылка 2" xfId="17733" hidden="1"/>
    <cellStyle name="Гиперссылка 2" xfId="17732" hidden="1"/>
    <cellStyle name="Гиперссылка 2" xfId="17735" hidden="1"/>
    <cellStyle name="Гиперссылка 2" xfId="17734" hidden="1"/>
    <cellStyle name="Гиперссылка 2" xfId="17739" hidden="1"/>
    <cellStyle name="Гиперссылка 2" xfId="17738" hidden="1"/>
    <cellStyle name="Гиперссылка 2" xfId="17740" hidden="1"/>
    <cellStyle name="Гиперссылка 2" xfId="17741" hidden="1"/>
    <cellStyle name="Гиперссылка 2" xfId="17746" hidden="1"/>
    <cellStyle name="Гиперссылка 2" xfId="17747" hidden="1"/>
    <cellStyle name="Гиперссылка 2" xfId="17743" hidden="1"/>
    <cellStyle name="Гиперссылка 2" xfId="17742" hidden="1"/>
    <cellStyle name="Гиперссылка 2" xfId="17745" hidden="1"/>
    <cellStyle name="Гиперссылка 2" xfId="17744" hidden="1"/>
    <cellStyle name="Гиперссылка 2" xfId="17749" hidden="1"/>
    <cellStyle name="Гиперссылка 2" xfId="17748" hidden="1"/>
    <cellStyle name="Гиперссылка 2" xfId="17750" hidden="1"/>
    <cellStyle name="Гиперссылка 2" xfId="17751" hidden="1"/>
    <cellStyle name="Гиперссылка 2" xfId="17756" hidden="1"/>
    <cellStyle name="Гиперссылка 2" xfId="17757" hidden="1"/>
    <cellStyle name="Гиперссылка 2" xfId="17753" hidden="1"/>
    <cellStyle name="Гиперссылка 2" xfId="17752" hidden="1"/>
    <cellStyle name="Гиперссылка 2" xfId="17755" hidden="1"/>
    <cellStyle name="Гиперссылка 2" xfId="17754" hidden="1"/>
    <cellStyle name="Гиперссылка 2" xfId="17759" hidden="1"/>
    <cellStyle name="Гиперссылка 2" xfId="17758" hidden="1"/>
    <cellStyle name="Гиперссылка 2" xfId="17838" hidden="1"/>
    <cellStyle name="Гиперссылка 2" xfId="17839" hidden="1"/>
    <cellStyle name="Гиперссылка 2" xfId="17974" hidden="1"/>
    <cellStyle name="Гиперссылка 2" xfId="17975" hidden="1"/>
    <cellStyle name="Гиперссылка 2" xfId="17896" hidden="1"/>
    <cellStyle name="Гиперссылка 2" xfId="17842" hidden="1"/>
    <cellStyle name="Гиперссылка 2" xfId="17955" hidden="1"/>
    <cellStyle name="Гиперссылка 2" xfId="17954" hidden="1"/>
    <cellStyle name="Гиперссылка 2" xfId="18030" hidden="1"/>
    <cellStyle name="Гиперссылка 2" xfId="18029" hidden="1"/>
    <cellStyle name="Гиперссылка 2" xfId="18045" hidden="1"/>
    <cellStyle name="Гиперссылка 2" xfId="18046" hidden="1"/>
    <cellStyle name="Гиперссылка 2" xfId="18052" hidden="1"/>
    <cellStyle name="Гиперссылка 2" xfId="18053" hidden="1"/>
    <cellStyle name="Гиперссылка 2" xfId="18049" hidden="1"/>
    <cellStyle name="Гиперссылка 2" xfId="18048" hidden="1"/>
    <cellStyle name="Гиперссылка 2" xfId="18051" hidden="1"/>
    <cellStyle name="Гиперссылка 2" xfId="18050" hidden="1"/>
    <cellStyle name="Гиперссылка 2" xfId="18055" hidden="1"/>
    <cellStyle name="Гиперссылка 2" xfId="18054" hidden="1"/>
    <cellStyle name="Гиперссылка 2" xfId="18056" hidden="1"/>
    <cellStyle name="Гиперссылка 2" xfId="18057" hidden="1"/>
    <cellStyle name="Гиперссылка 2" xfId="18062" hidden="1"/>
    <cellStyle name="Гиперссылка 2" xfId="18063" hidden="1"/>
    <cellStyle name="Гиперссылка 2" xfId="18059" hidden="1"/>
    <cellStyle name="Гиперссылка 2" xfId="18058" hidden="1"/>
    <cellStyle name="Гиперссылка 2" xfId="18061" hidden="1"/>
    <cellStyle name="Гиперссылка 2" xfId="18060" hidden="1"/>
    <cellStyle name="Гиперссылка 2" xfId="18065" hidden="1"/>
    <cellStyle name="Гиперссылка 2" xfId="18064" hidden="1"/>
    <cellStyle name="Гиперссылка 2" xfId="18066" hidden="1"/>
    <cellStyle name="Гиперссылка 2" xfId="18067" hidden="1"/>
    <cellStyle name="Гиперссылка 2" xfId="18072" hidden="1"/>
    <cellStyle name="Гиперссылка 2" xfId="18073" hidden="1"/>
    <cellStyle name="Гиперссылка 2" xfId="18069" hidden="1"/>
    <cellStyle name="Гиперссылка 2" xfId="18068" hidden="1"/>
    <cellStyle name="Гиперссылка 2" xfId="18071" hidden="1"/>
    <cellStyle name="Гиперссылка 2" xfId="18070" hidden="1"/>
    <cellStyle name="Гиперссылка 2" xfId="18075" hidden="1"/>
    <cellStyle name="Гиперссылка 2" xfId="18074" hidden="1"/>
    <cellStyle name="Гиперссылка 2" xfId="18122" hidden="1"/>
    <cellStyle name="Гиперссылка 2" xfId="18123" hidden="1"/>
    <cellStyle name="Гиперссылка 2" xfId="18236" hidden="1"/>
    <cellStyle name="Гиперссылка 2" xfId="18237" hidden="1"/>
    <cellStyle name="Гиперссылка 2" xfId="18179" hidden="1"/>
    <cellStyle name="Гиперссылка 2" xfId="18125" hidden="1"/>
    <cellStyle name="Гиперссылка 2" xfId="18223" hidden="1"/>
    <cellStyle name="Гиперссылка 2" xfId="18222" hidden="1"/>
    <cellStyle name="Гиперссылка 2" xfId="18296" hidden="1"/>
    <cellStyle name="Гиперссылка 2" xfId="18295" hidden="1"/>
    <cellStyle name="Гиперссылка 2" xfId="18314" hidden="1"/>
    <cellStyle name="Гиперссылка 2" xfId="18315" hidden="1"/>
    <cellStyle name="Гиперссылка 2" xfId="18320" hidden="1"/>
    <cellStyle name="Гиперссылка 2" xfId="18321" hidden="1"/>
    <cellStyle name="Гиперссылка 2" xfId="18317" hidden="1"/>
    <cellStyle name="Гиперссылка 2" xfId="18316" hidden="1"/>
    <cellStyle name="Гиперссылка 2" xfId="18319" hidden="1"/>
    <cellStyle name="Гиперссылка 2" xfId="18318" hidden="1"/>
    <cellStyle name="Гиперссылка 2" xfId="18323" hidden="1"/>
    <cellStyle name="Гиперссылка 2" xfId="18322" hidden="1"/>
    <cellStyle name="Гиперссылка 2" xfId="18325" hidden="1"/>
    <cellStyle name="Гиперссылка 2" xfId="18326" hidden="1"/>
    <cellStyle name="Гиперссылка 2" xfId="18331" hidden="1"/>
    <cellStyle name="Гиперссылка 2" xfId="18332" hidden="1"/>
    <cellStyle name="Гиперссылка 2" xfId="18328" hidden="1"/>
    <cellStyle name="Гиперссылка 2" xfId="18327" hidden="1"/>
    <cellStyle name="Гиперссылка 2" xfId="18330" hidden="1"/>
    <cellStyle name="Гиперссылка 2" xfId="18329" hidden="1"/>
    <cellStyle name="Гиперссылка 2" xfId="18334" hidden="1"/>
    <cellStyle name="Гиперссылка 2" xfId="18333" hidden="1"/>
    <cellStyle name="Гиперссылка 2" xfId="18335" hidden="1"/>
    <cellStyle name="Гиперссылка 2" xfId="18336" hidden="1"/>
    <cellStyle name="Гиперссылка 2" xfId="18341" hidden="1"/>
    <cellStyle name="Гиперссылка 2" xfId="18342" hidden="1"/>
    <cellStyle name="Гиперссылка 2" xfId="18338" hidden="1"/>
    <cellStyle name="Гиперссылка 2" xfId="18337" hidden="1"/>
    <cellStyle name="Гиперссылка 2" xfId="18340" hidden="1"/>
    <cellStyle name="Гиперссылка 2" xfId="18339" hidden="1"/>
    <cellStyle name="Гиперссылка 2" xfId="18344" hidden="1"/>
    <cellStyle name="Гиперссылка 2" xfId="18343" hidden="1"/>
    <cellStyle name="Гиперссылка 2" xfId="18233" hidden="1"/>
    <cellStyle name="Гиперссылка 2" xfId="18195" hidden="1"/>
    <cellStyle name="Гиперссылка 2" xfId="18244" hidden="1"/>
    <cellStyle name="Гиперссылка 2" xfId="18127" hidden="1"/>
    <cellStyle name="Гиперссылка 2" xfId="18262" hidden="1"/>
    <cellStyle name="Гиперссылка 2" xfId="18305" hidden="1"/>
    <cellStyle name="Гиперссылка 2" xfId="18211" hidden="1"/>
    <cellStyle name="Гиперссылка 2" xfId="18251" hidden="1"/>
    <cellStyle name="Гиперссылка 2" xfId="18399" hidden="1"/>
    <cellStyle name="Гиперссылка 2" xfId="18398" hidden="1"/>
    <cellStyle name="Гиперссылка 2" xfId="18413" hidden="1"/>
    <cellStyle name="Гиперссылка 2" xfId="18414" hidden="1"/>
    <cellStyle name="Гиперссылка 2" xfId="18419" hidden="1"/>
    <cellStyle name="Гиперссылка 2" xfId="18420" hidden="1"/>
    <cellStyle name="Гиперссылка 2" xfId="18416" hidden="1"/>
    <cellStyle name="Гиперссылка 2" xfId="18415" hidden="1"/>
    <cellStyle name="Гиперссылка 2" xfId="18418" hidden="1"/>
    <cellStyle name="Гиперссылка 2" xfId="18417" hidden="1"/>
    <cellStyle name="Гиперссылка 2" xfId="18422" hidden="1"/>
    <cellStyle name="Гиперссылка 2" xfId="18421" hidden="1"/>
    <cellStyle name="Гиперссылка 2" xfId="18424" hidden="1"/>
    <cellStyle name="Гиперссылка 2" xfId="18425" hidden="1"/>
    <cellStyle name="Гиперссылка 2" xfId="18430" hidden="1"/>
    <cellStyle name="Гиперссылка 2" xfId="18431" hidden="1"/>
    <cellStyle name="Гиперссылка 2" xfId="18427" hidden="1"/>
    <cellStyle name="Гиперссылка 2" xfId="18426" hidden="1"/>
    <cellStyle name="Гиперссылка 2" xfId="18429" hidden="1"/>
    <cellStyle name="Гиперссылка 2" xfId="18428" hidden="1"/>
    <cellStyle name="Гиперссылка 2" xfId="18433" hidden="1"/>
    <cellStyle name="Гиперссылка 2" xfId="18432" hidden="1"/>
    <cellStyle name="Гиперссылка 2" xfId="18434" hidden="1"/>
    <cellStyle name="Гиперссылка 2" xfId="18435" hidden="1"/>
    <cellStyle name="Гиперссылка 2" xfId="18440" hidden="1"/>
    <cellStyle name="Гиперссылка 2" xfId="18441" hidden="1"/>
    <cellStyle name="Гиперссылка 2" xfId="18437" hidden="1"/>
    <cellStyle name="Гиперссылка 2" xfId="18436" hidden="1"/>
    <cellStyle name="Гиперссылка 2" xfId="18439" hidden="1"/>
    <cellStyle name="Гиперссылка 2" xfId="18438" hidden="1"/>
    <cellStyle name="Гиперссылка 2" xfId="18443" hidden="1"/>
    <cellStyle name="Гиперссылка 2" xfId="18442" hidden="1"/>
    <cellStyle name="Гиперссылка 2" xfId="18252" hidden="1"/>
    <cellStyle name="Гиперссылка 2" xfId="17786" hidden="1"/>
    <cellStyle name="Гиперссылка 2" xfId="17799" hidden="1"/>
    <cellStyle name="Гиперссылка 2" xfId="18180" hidden="1"/>
    <cellStyle name="Гиперссылка 2" xfId="18364" hidden="1"/>
    <cellStyle name="Гиперссылка 2" xfId="18409" hidden="1"/>
    <cellStyle name="Гиперссылка 2" xfId="18230" hidden="1"/>
    <cellStyle name="Гиперссылка 2" xfId="18353" hidden="1"/>
    <cellStyle name="Гиперссылка 2" xfId="18497" hidden="1"/>
    <cellStyle name="Гиперссылка 2" xfId="18496" hidden="1"/>
    <cellStyle name="Гиперссылка 2" xfId="18512" hidden="1"/>
    <cellStyle name="Гиперссылка 2" xfId="18513" hidden="1"/>
    <cellStyle name="Гиперссылка 2" xfId="18519" hidden="1"/>
    <cellStyle name="Гиперссылка 2" xfId="18520" hidden="1"/>
    <cellStyle name="Гиперссылка 2" xfId="18516" hidden="1"/>
    <cellStyle name="Гиперссылка 2" xfId="18515" hidden="1"/>
    <cellStyle name="Гиперссылка 2" xfId="18518" hidden="1"/>
    <cellStyle name="Гиперссылка 2" xfId="18517" hidden="1"/>
    <cellStyle name="Гиперссылка 2" xfId="18522" hidden="1"/>
    <cellStyle name="Гиперссылка 2" xfId="18521" hidden="1"/>
    <cellStyle name="Гиперссылка 2" xfId="18525" hidden="1"/>
    <cellStyle name="Гиперссылка 2" xfId="18526" hidden="1"/>
    <cellStyle name="Гиперссылка 2" xfId="18531" hidden="1"/>
    <cellStyle name="Гиперссылка 2" xfId="18532" hidden="1"/>
    <cellStyle name="Гиперссылка 2" xfId="18528" hidden="1"/>
    <cellStyle name="Гиперссылка 2" xfId="18527" hidden="1"/>
    <cellStyle name="Гиперссылка 2" xfId="18530" hidden="1"/>
    <cellStyle name="Гиперссылка 2" xfId="18529" hidden="1"/>
    <cellStyle name="Гиперссылка 2" xfId="18534" hidden="1"/>
    <cellStyle name="Гиперссылка 2" xfId="18533" hidden="1"/>
    <cellStyle name="Гиперссылка 2" xfId="18535" hidden="1"/>
    <cellStyle name="Гиперссылка 2" xfId="18536" hidden="1"/>
    <cellStyle name="Гиперссылка 2" xfId="18541" hidden="1"/>
    <cellStyle name="Гиперссылка 2" xfId="18542" hidden="1"/>
    <cellStyle name="Гиперссылка 2" xfId="18538" hidden="1"/>
    <cellStyle name="Гиперссылка 2" xfId="18537" hidden="1"/>
    <cellStyle name="Гиперссылка 2" xfId="18540" hidden="1"/>
    <cellStyle name="Гиперссылка 2" xfId="18539" hidden="1"/>
    <cellStyle name="Гиперссылка 2" xfId="18544" hidden="1"/>
    <cellStyle name="Гиперссылка 2" xfId="18543" hidden="1"/>
    <cellStyle name="Гиперссылка 2" xfId="18354" hidden="1"/>
    <cellStyle name="Гиперссылка 2" xfId="17805" hidden="1"/>
    <cellStyle name="Гиперссылка 2" xfId="18186" hidden="1"/>
    <cellStyle name="Гиперссылка 2" xfId="17809" hidden="1"/>
    <cellStyle name="Гиперссылка 2" xfId="18460" hidden="1"/>
    <cellStyle name="Гиперссылка 2" xfId="18506" hidden="1"/>
    <cellStyle name="Гиперссылка 2" xfId="18203" hidden="1"/>
    <cellStyle name="Гиперссылка 2" xfId="18449" hidden="1"/>
    <cellStyle name="Гиперссылка 2" xfId="18591" hidden="1"/>
    <cellStyle name="Гиперссылка 2" xfId="18590" hidden="1"/>
    <cellStyle name="Гиперссылка 2" xfId="18609" hidden="1"/>
    <cellStyle name="Гиперссылка 2" xfId="18610" hidden="1"/>
    <cellStyle name="Гиперссылка 2" xfId="18615" hidden="1"/>
    <cellStyle name="Гиперссылка 2" xfId="18616" hidden="1"/>
    <cellStyle name="Гиперссылка 2" xfId="18612" hidden="1"/>
    <cellStyle name="Гиперссылка 2" xfId="18611" hidden="1"/>
    <cellStyle name="Гиперссылка 2" xfId="18614" hidden="1"/>
    <cellStyle name="Гиперссылка 2" xfId="18613" hidden="1"/>
    <cellStyle name="Гиперссылка 2" xfId="18618" hidden="1"/>
    <cellStyle name="Гиперссылка 2" xfId="18617" hidden="1"/>
    <cellStyle name="Гиперссылка 2" xfId="18620" hidden="1"/>
    <cellStyle name="Гиперссылка 2" xfId="18621" hidden="1"/>
    <cellStyle name="Гиперссылка 2" xfId="18626" hidden="1"/>
    <cellStyle name="Гиперссылка 2" xfId="18627" hidden="1"/>
    <cellStyle name="Гиперссылка 2" xfId="18623" hidden="1"/>
    <cellStyle name="Гиперссылка 2" xfId="18622" hidden="1"/>
    <cellStyle name="Гиперссылка 2" xfId="18625" hidden="1"/>
    <cellStyle name="Гиперссылка 2" xfId="18624" hidden="1"/>
    <cellStyle name="Гиперссылка 2" xfId="18629" hidden="1"/>
    <cellStyle name="Гиперссылка 2" xfId="18628" hidden="1"/>
    <cellStyle name="Гиперссылка 2" xfId="18630" hidden="1"/>
    <cellStyle name="Гиперссылка 2" xfId="18631" hidden="1"/>
    <cellStyle name="Гиперссылка 2" xfId="18636" hidden="1"/>
    <cellStyle name="Гиперссылка 2" xfId="18637" hidden="1"/>
    <cellStyle name="Гиперссылка 2" xfId="18633" hidden="1"/>
    <cellStyle name="Гиперссылка 2" xfId="18632" hidden="1"/>
    <cellStyle name="Гиперссылка 2" xfId="18635" hidden="1"/>
    <cellStyle name="Гиперссылка 2" xfId="18634" hidden="1"/>
    <cellStyle name="Гиперссылка 2" xfId="18639" hidden="1"/>
    <cellStyle name="Гиперссылка 2" xfId="18638" hidden="1"/>
    <cellStyle name="Гиперссылка 2" xfId="18450" hidden="1"/>
    <cellStyle name="Гиперссылка 2" xfId="18193" hidden="1"/>
    <cellStyle name="Гиперссылка 2" xfId="18109" hidden="1"/>
    <cellStyle name="Гиперссылка 2" xfId="18185" hidden="1"/>
    <cellStyle name="Гиперссылка 2" xfId="18556" hidden="1"/>
    <cellStyle name="Гиперссылка 2" xfId="18601" hidden="1"/>
    <cellStyle name="Гиперссылка 2" xfId="18106" hidden="1"/>
    <cellStyle name="Гиперссылка 2" xfId="18547" hidden="1"/>
    <cellStyle name="Гиперссылка 2" xfId="18677" hidden="1"/>
    <cellStyle name="Гиперссылка 2" xfId="18676" hidden="1"/>
    <cellStyle name="Гиперссылка 2" xfId="18691" hidden="1"/>
    <cellStyle name="Гиперссылка 2" xfId="18692" hidden="1"/>
    <cellStyle name="Гиперссылка 2" xfId="18697" hidden="1"/>
    <cellStyle name="Гиперссылка 2" xfId="18698" hidden="1"/>
    <cellStyle name="Гиперссылка 2" xfId="18694" hidden="1"/>
    <cellStyle name="Гиперссылка 2" xfId="18693" hidden="1"/>
    <cellStyle name="Гиперссылка 2" xfId="18696" hidden="1"/>
    <cellStyle name="Гиперссылка 2" xfId="18695" hidden="1"/>
    <cellStyle name="Гиперссылка 2" xfId="18700" hidden="1"/>
    <cellStyle name="Гиперссылка 2" xfId="18699" hidden="1"/>
    <cellStyle name="Гиперссылка 2" xfId="18703" hidden="1"/>
    <cellStyle name="Гиперссылка 2" xfId="18704" hidden="1"/>
    <cellStyle name="Гиперссылка 2" xfId="18709" hidden="1"/>
    <cellStyle name="Гиперссылка 2" xfId="18710" hidden="1"/>
    <cellStyle name="Гиперссылка 2" xfId="18706" hidden="1"/>
    <cellStyle name="Гиперссылка 2" xfId="18705" hidden="1"/>
    <cellStyle name="Гиперссылка 2" xfId="18708" hidden="1"/>
    <cellStyle name="Гиперссылка 2" xfId="18707" hidden="1"/>
    <cellStyle name="Гиперссылка 2" xfId="18712" hidden="1"/>
    <cellStyle name="Гиперссылка 2" xfId="18711" hidden="1"/>
    <cellStyle name="Гиперссылка 2" xfId="18713" hidden="1"/>
    <cellStyle name="Гиперссылка 2" xfId="18714" hidden="1"/>
    <cellStyle name="Гиперссылка 2" xfId="18719" hidden="1"/>
    <cellStyle name="Гиперссылка 2" xfId="18720" hidden="1"/>
    <cellStyle name="Гиперссылка 2" xfId="18716" hidden="1"/>
    <cellStyle name="Гиперссылка 2" xfId="18715" hidden="1"/>
    <cellStyle name="Гиперссылка 2" xfId="18718" hidden="1"/>
    <cellStyle name="Гиперссылка 2" xfId="18717" hidden="1"/>
    <cellStyle name="Гиперссылка 2" xfId="18722" hidden="1"/>
    <cellStyle name="Гиперссылка 2" xfId="18721" hidden="1"/>
    <cellStyle name="Гиперссылка 2" xfId="18548" hidden="1"/>
    <cellStyle name="Гиперссылка 2" xfId="18214" hidden="1"/>
    <cellStyle name="Гиперссылка 2" xfId="18260" hidden="1"/>
    <cellStyle name="Гиперссылка 2" xfId="18116" hidden="1"/>
    <cellStyle name="Гиперссылка 2" xfId="18653" hidden="1"/>
    <cellStyle name="Гиперссылка 2" xfId="18685" hidden="1"/>
    <cellStyle name="Гиперссылка 2" xfId="18274" hidden="1"/>
    <cellStyle name="Гиперссылка 2" xfId="18646" hidden="1"/>
    <cellStyle name="Гиперссылка 2" xfId="18764" hidden="1"/>
    <cellStyle name="Гиперссылка 2" xfId="18763" hidden="1"/>
    <cellStyle name="Гиперссылка 2" xfId="18778" hidden="1"/>
    <cellStyle name="Гиперссылка 2" xfId="18779" hidden="1"/>
    <cellStyle name="Гиперссылка 2" xfId="18784" hidden="1"/>
    <cellStyle name="Гиперссылка 2" xfId="18785" hidden="1"/>
    <cellStyle name="Гиперссылка 2" xfId="18781" hidden="1"/>
    <cellStyle name="Гиперссылка 2" xfId="18780" hidden="1"/>
    <cellStyle name="Гиперссылка 2" xfId="18783" hidden="1"/>
    <cellStyle name="Гиперссылка 2" xfId="18782" hidden="1"/>
    <cellStyle name="Гиперссылка 2" xfId="18787" hidden="1"/>
    <cellStyle name="Гиперссылка 2" xfId="18786" hidden="1"/>
    <cellStyle name="Гиперссылка 2" xfId="18789" hidden="1"/>
    <cellStyle name="Гиперссылка 2" xfId="18790" hidden="1"/>
    <cellStyle name="Гиперссылка 2" xfId="18795" hidden="1"/>
    <cellStyle name="Гиперссылка 2" xfId="18796" hidden="1"/>
    <cellStyle name="Гиперссылка 2" xfId="18792" hidden="1"/>
    <cellStyle name="Гиперссылка 2" xfId="18791" hidden="1"/>
    <cellStyle name="Гиперссылка 2" xfId="18794" hidden="1"/>
    <cellStyle name="Гиперссылка 2" xfId="18793" hidden="1"/>
    <cellStyle name="Гиперссылка 2" xfId="18798" hidden="1"/>
    <cellStyle name="Гиперссылка 2" xfId="18797" hidden="1"/>
    <cellStyle name="Гиперссылка 2" xfId="18799" hidden="1"/>
    <cellStyle name="Гиперссылка 2" xfId="18800" hidden="1"/>
    <cellStyle name="Гиперссылка 2" xfId="18805" hidden="1"/>
    <cellStyle name="Гиперссылка 2" xfId="18806" hidden="1"/>
    <cellStyle name="Гиперссылка 2" xfId="18802" hidden="1"/>
    <cellStyle name="Гиперссылка 2" xfId="18801" hidden="1"/>
    <cellStyle name="Гиперссылка 2" xfId="18804" hidden="1"/>
    <cellStyle name="Гиперссылка 2" xfId="18803" hidden="1"/>
    <cellStyle name="Гиперссылка 2" xfId="18808" hidden="1"/>
    <cellStyle name="Гиперссылка 2" xfId="18807" hidden="1"/>
    <cellStyle name="Гиперссылка 2" xfId="18647" hidden="1"/>
    <cellStyle name="Гиперссылка 2" xfId="17818" hidden="1"/>
    <cellStyle name="Гиперссылка 2" xfId="18361" hidden="1"/>
    <cellStyle name="Гиперссылка 2" xfId="18126" hidden="1"/>
    <cellStyle name="Гиперссылка 2" xfId="18737" hidden="1"/>
    <cellStyle name="Гиперссылка 2" xfId="18774" hidden="1"/>
    <cellStyle name="Гиперссылка 2" xfId="18384" hidden="1"/>
    <cellStyle name="Гиперссылка 2" xfId="18726" hidden="1"/>
    <cellStyle name="Гиперссылка 2" xfId="18848" hidden="1"/>
    <cellStyle name="Гиперссылка 2" xfId="18847" hidden="1"/>
    <cellStyle name="Гиперссылка 2" xfId="18861" hidden="1"/>
    <cellStyle name="Гиперссылка 2" xfId="18862" hidden="1"/>
    <cellStyle name="Гиперссылка 2" xfId="18867" hidden="1"/>
    <cellStyle name="Гиперссылка 2" xfId="18868" hidden="1"/>
    <cellStyle name="Гиперссылка 2" xfId="18864" hidden="1"/>
    <cellStyle name="Гиперссылка 2" xfId="18863" hidden="1"/>
    <cellStyle name="Гиперссылка 2" xfId="18866" hidden="1"/>
    <cellStyle name="Гиперссылка 2" xfId="18865" hidden="1"/>
    <cellStyle name="Гиперссылка 2" xfId="18870" hidden="1"/>
    <cellStyle name="Гиперссылка 2" xfId="18869" hidden="1"/>
    <cellStyle name="Гиперссылка 2" xfId="18871" hidden="1"/>
    <cellStyle name="Гиперссылка 2" xfId="18872" hidden="1"/>
    <cellStyle name="Гиперссылка 2" xfId="18877" hidden="1"/>
    <cellStyle name="Гиперссылка 2" xfId="18878" hidden="1"/>
    <cellStyle name="Гиперссылка 2" xfId="18874" hidden="1"/>
    <cellStyle name="Гиперссылка 2" xfId="18873" hidden="1"/>
    <cellStyle name="Гиперссылка 2" xfId="18876" hidden="1"/>
    <cellStyle name="Гиперссылка 2" xfId="18875" hidden="1"/>
    <cellStyle name="Гиперссылка 2" xfId="18880" hidden="1"/>
    <cellStyle name="Гиперссылка 2" xfId="18879" hidden="1"/>
    <cellStyle name="Гиперссылка 2" xfId="18881" hidden="1"/>
    <cellStyle name="Гиперссылка 2" xfId="18882" hidden="1"/>
    <cellStyle name="Гиперссылка 2" xfId="18887" hidden="1"/>
    <cellStyle name="Гиперссылка 2" xfId="18888" hidden="1"/>
    <cellStyle name="Гиперссылка 2" xfId="18884" hidden="1"/>
    <cellStyle name="Гиперссылка 2" xfId="18883" hidden="1"/>
    <cellStyle name="Гиперссылка 2" xfId="18886" hidden="1"/>
    <cellStyle name="Гиперссылка 2" xfId="18885" hidden="1"/>
    <cellStyle name="Гиперссылка 2" xfId="18890" hidden="1"/>
    <cellStyle name="Гиперссылка 2" xfId="18889" hidden="1"/>
    <cellStyle name="Гиперссылка 2" xfId="18727" hidden="1"/>
    <cellStyle name="Гиперссылка 2" xfId="18098" hidden="1"/>
    <cellStyle name="Гиперссылка 2" xfId="18457" hidden="1"/>
    <cellStyle name="Гиперссылка 2" xfId="18282" hidden="1"/>
    <cellStyle name="Гиперссылка 2" xfId="18824" hidden="1"/>
    <cellStyle name="Гиперссылка 2" xfId="18857" hidden="1"/>
    <cellStyle name="Гиперссылка 2" xfId="18471" hidden="1"/>
    <cellStyle name="Гиперссылка 2" xfId="18815" hidden="1"/>
    <cellStyle name="Гиперссылка 2" xfId="18924" hidden="1"/>
    <cellStyle name="Гиперссылка 2" xfId="18923" hidden="1"/>
    <cellStyle name="Гиперссылка 2" xfId="18938" hidden="1"/>
    <cellStyle name="Гиперссылка 2" xfId="18939" hidden="1"/>
    <cellStyle name="Гиперссылка 2" xfId="18945" hidden="1"/>
    <cellStyle name="Гиперссылка 2" xfId="18946" hidden="1"/>
    <cellStyle name="Гиперссылка 2" xfId="18942" hidden="1"/>
    <cellStyle name="Гиперссылка 2" xfId="18941" hidden="1"/>
    <cellStyle name="Гиперссылка 2" xfId="18944" hidden="1"/>
    <cellStyle name="Гиперссылка 2" xfId="18943" hidden="1"/>
    <cellStyle name="Гиперссылка 2" xfId="18948" hidden="1"/>
    <cellStyle name="Гиперссылка 2" xfId="18947" hidden="1"/>
    <cellStyle name="Гиперссылка 2" xfId="18951" hidden="1"/>
    <cellStyle name="Гиперссылка 2" xfId="18952" hidden="1"/>
    <cellStyle name="Гиперссылка 2" xfId="18957" hidden="1"/>
    <cellStyle name="Гиперссылка 2" xfId="18958" hidden="1"/>
    <cellStyle name="Гиперссылка 2" xfId="18954" hidden="1"/>
    <cellStyle name="Гиперссылка 2" xfId="18953" hidden="1"/>
    <cellStyle name="Гиперссылка 2" xfId="18956" hidden="1"/>
    <cellStyle name="Гиперссылка 2" xfId="18955" hidden="1"/>
    <cellStyle name="Гиперссылка 2" xfId="18960" hidden="1"/>
    <cellStyle name="Гиперссылка 2" xfId="18959" hidden="1"/>
    <cellStyle name="Гиперссылка 2" xfId="18961" hidden="1"/>
    <cellStyle name="Гиперссылка 2" xfId="18962" hidden="1"/>
    <cellStyle name="Гиперссылка 2" xfId="18967" hidden="1"/>
    <cellStyle name="Гиперссылка 2" xfId="18968" hidden="1"/>
    <cellStyle name="Гиперссылка 2" xfId="18964" hidden="1"/>
    <cellStyle name="Гиперссылка 2" xfId="18963" hidden="1"/>
    <cellStyle name="Гиперссылка 2" xfId="18966" hidden="1"/>
    <cellStyle name="Гиперссылка 2" xfId="18965" hidden="1"/>
    <cellStyle name="Гиперссылка 2" xfId="18970" hidden="1"/>
    <cellStyle name="Гиперссылка 2" xfId="18969" hidden="1"/>
    <cellStyle name="Гиперссылка 2" xfId="18816" hidden="1"/>
    <cellStyle name="Гиперссылка 2" xfId="18268" hidden="1"/>
    <cellStyle name="Гиперссылка 2" xfId="18553" hidden="1"/>
    <cellStyle name="Гиперссылка 2" xfId="18389" hidden="1"/>
    <cellStyle name="Гиперссылка 2" xfId="18899" hidden="1"/>
    <cellStyle name="Гиперссылка 2" xfId="18933" hidden="1"/>
    <cellStyle name="Гиперссылка 2" xfId="18571" hidden="1"/>
    <cellStyle name="Гиперссылка 2" xfId="18894" hidden="1"/>
    <cellStyle name="Гиперссылка 2" xfId="18999" hidden="1"/>
    <cellStyle name="Гиперссылка 2" xfId="18998" hidden="1"/>
    <cellStyle name="Гиперссылка 2" xfId="19011" hidden="1"/>
    <cellStyle name="Гиперссылка 2" xfId="19012" hidden="1"/>
    <cellStyle name="Гиперссылка 2" xfId="19017" hidden="1"/>
    <cellStyle name="Гиперссылка 2" xfId="19018" hidden="1"/>
    <cellStyle name="Гиперссылка 2" xfId="19014" hidden="1"/>
    <cellStyle name="Гиперссылка 2" xfId="19013" hidden="1"/>
    <cellStyle name="Гиперссылка 2" xfId="19016" hidden="1"/>
    <cellStyle name="Гиперссылка 2" xfId="19015" hidden="1"/>
    <cellStyle name="Гиперссылка 2" xfId="19020" hidden="1"/>
    <cellStyle name="Гиперссылка 2" xfId="19019" hidden="1"/>
    <cellStyle name="Гиперссылка 2" xfId="19021" hidden="1"/>
    <cellStyle name="Гиперссылка 2" xfId="19022" hidden="1"/>
    <cellStyle name="Гиперссылка 2" xfId="19027" hidden="1"/>
    <cellStyle name="Гиперссылка 2" xfId="19028" hidden="1"/>
    <cellStyle name="Гиперссылка 2" xfId="19024" hidden="1"/>
    <cellStyle name="Гиперссылка 2" xfId="19023" hidden="1"/>
    <cellStyle name="Гиперссылка 2" xfId="19026" hidden="1"/>
    <cellStyle name="Гиперссылка 2" xfId="19025" hidden="1"/>
    <cellStyle name="Гиперссылка 2" xfId="19030" hidden="1"/>
    <cellStyle name="Гиперссылка 2" xfId="19029" hidden="1"/>
    <cellStyle name="Гиперссылка 2" xfId="19031" hidden="1"/>
    <cellStyle name="Гиперссылка 2" xfId="19032" hidden="1"/>
    <cellStyle name="Гиперссылка 2" xfId="19037" hidden="1"/>
    <cellStyle name="Гиперссылка 2" xfId="19038" hidden="1"/>
    <cellStyle name="Гиперссылка 2" xfId="19034" hidden="1"/>
    <cellStyle name="Гиперссылка 2" xfId="19033" hidden="1"/>
    <cellStyle name="Гиперссылка 2" xfId="19036" hidden="1"/>
    <cellStyle name="Гиперссылка 2" xfId="19035" hidden="1"/>
    <cellStyle name="Гиперссылка 2" xfId="19040" hidden="1"/>
    <cellStyle name="Гиперссылка 2" xfId="19039" hidden="1"/>
    <cellStyle name="Гиперссылка 2" xfId="18895" hidden="1"/>
    <cellStyle name="Гиперссылка 2" xfId="18371" hidden="1"/>
    <cellStyle name="Гиперссылка 2" xfId="18651" hidden="1"/>
    <cellStyle name="Гиперссылка 2" xfId="18481" hidden="1"/>
    <cellStyle name="Гиперссылка 2" xfId="18982" hidden="1"/>
    <cellStyle name="Гиперссылка 2" xfId="19007" hidden="1"/>
    <cellStyle name="Гиперссылка 2" xfId="18662" hidden="1"/>
    <cellStyle name="Гиперссылка 2" xfId="18974" hidden="1"/>
    <cellStyle name="Гиперссылка 2" xfId="19066" hidden="1"/>
    <cellStyle name="Гиперссылка 2" xfId="19065" hidden="1"/>
    <cellStyle name="Гиперссылка 2" xfId="19075" hidden="1"/>
    <cellStyle name="Гиперссылка 2" xfId="19076" hidden="1"/>
    <cellStyle name="Гиперссылка 2" xfId="19081" hidden="1"/>
    <cellStyle name="Гиперссылка 2" xfId="19082" hidden="1"/>
    <cellStyle name="Гиперссылка 2" xfId="19078" hidden="1"/>
    <cellStyle name="Гиперссылка 2" xfId="19077" hidden="1"/>
    <cellStyle name="Гиперссылка 2" xfId="19080" hidden="1"/>
    <cellStyle name="Гиперссылка 2" xfId="19079" hidden="1"/>
    <cellStyle name="Гиперссылка 2" xfId="19084" hidden="1"/>
    <cellStyle name="Гиперссылка 2" xfId="19083" hidden="1"/>
    <cellStyle name="Гиперссылка 2" xfId="19086" hidden="1"/>
    <cellStyle name="Гиперссылка 2" xfId="19087" hidden="1"/>
    <cellStyle name="Гиперссылка 2" xfId="19092" hidden="1"/>
    <cellStyle name="Гиперссылка 2" xfId="19093" hidden="1"/>
    <cellStyle name="Гиперссылка 2" xfId="19089" hidden="1"/>
    <cellStyle name="Гиперссылка 2" xfId="19088" hidden="1"/>
    <cellStyle name="Гиперссылка 2" xfId="19091" hidden="1"/>
    <cellStyle name="Гиперссылка 2" xfId="19090" hidden="1"/>
    <cellStyle name="Гиперссылка 2" xfId="19095" hidden="1"/>
    <cellStyle name="Гиперссылка 2" xfId="19094" hidden="1"/>
    <cellStyle name="Гиперссылка 2" xfId="19096" hidden="1"/>
    <cellStyle name="Гиперссылка 2" xfId="19097" hidden="1"/>
    <cellStyle name="Гиперссылка 2" xfId="19102" hidden="1"/>
    <cellStyle name="Гиперссылка 2" xfId="19103" hidden="1"/>
    <cellStyle name="Гиперссылка 2" xfId="19099" hidden="1"/>
    <cellStyle name="Гиперссылка 2" xfId="19098" hidden="1"/>
    <cellStyle name="Гиперссылка 2" xfId="19101" hidden="1"/>
    <cellStyle name="Гиперссылка 2" xfId="19100" hidden="1"/>
    <cellStyle name="Гиперссылка 2" xfId="19105" hidden="1"/>
    <cellStyle name="Гиперссылка 2" xfId="19104" hidden="1"/>
    <cellStyle name="Гиперссылка 2" xfId="18975" hidden="1"/>
    <cellStyle name="Гиперссылка 2" xfId="18463" hidden="1"/>
    <cellStyle name="Гиперссылка 2" xfId="18734" hidden="1"/>
    <cellStyle name="Гиперссылка 2" xfId="18582" hidden="1"/>
    <cellStyle name="Гиперссылка 2" xfId="19047" hidden="1"/>
    <cellStyle name="Гиперссылка 2" xfId="19073" hidden="1"/>
    <cellStyle name="Гиперссылка 2" xfId="18747" hidden="1"/>
    <cellStyle name="Гиперссылка 2" xfId="19042" hidden="1"/>
    <cellStyle name="Гиперссылка 2" xfId="19123" hidden="1"/>
    <cellStyle name="Гиперссылка 2" xfId="19122" hidden="1"/>
    <cellStyle name="Гиперссылка 2" xfId="19130" hidden="1"/>
    <cellStyle name="Гиперссылка 2" xfId="19131" hidden="1"/>
    <cellStyle name="Гиперссылка 2" xfId="19136" hidden="1"/>
    <cellStyle name="Гиперссылка 2" xfId="19137" hidden="1"/>
    <cellStyle name="Гиперссылка 2" xfId="19133" hidden="1"/>
    <cellStyle name="Гиперссылка 2" xfId="19132" hidden="1"/>
    <cellStyle name="Гиперссылка 2" xfId="19135" hidden="1"/>
    <cellStyle name="Гиперссылка 2" xfId="19134" hidden="1"/>
    <cellStyle name="Гиперссылка 2" xfId="19139" hidden="1"/>
    <cellStyle name="Гиперссылка 2" xfId="19138" hidden="1"/>
    <cellStyle name="Гиперссылка 2" xfId="19140" hidden="1"/>
    <cellStyle name="Гиперссылка 2" xfId="19141" hidden="1"/>
    <cellStyle name="Гиперссылка 2" xfId="19146" hidden="1"/>
    <cellStyle name="Гиперссылка 2" xfId="19147" hidden="1"/>
    <cellStyle name="Гиперссылка 2" xfId="19143" hidden="1"/>
    <cellStyle name="Гиперссылка 2" xfId="19142" hidden="1"/>
    <cellStyle name="Гиперссылка 2" xfId="19145" hidden="1"/>
    <cellStyle name="Гиперссылка 2" xfId="19144" hidden="1"/>
    <cellStyle name="Гиперссылка 2" xfId="19149" hidden="1"/>
    <cellStyle name="Гиперссылка 2" xfId="19148" hidden="1"/>
    <cellStyle name="Гиперссылка 2" xfId="19150" hidden="1"/>
    <cellStyle name="Гиперссылка 2" xfId="19151" hidden="1"/>
    <cellStyle name="Гиперссылка 2" xfId="19156" hidden="1"/>
    <cellStyle name="Гиперссылка 2" xfId="19157" hidden="1"/>
    <cellStyle name="Гиперссылка 2" xfId="19153" hidden="1"/>
    <cellStyle name="Гиперссылка 2" xfId="19152" hidden="1"/>
    <cellStyle name="Гиперссылка 2" xfId="19155" hidden="1"/>
    <cellStyle name="Гиперссылка 2" xfId="19154" hidden="1"/>
    <cellStyle name="Гиперссылка 2" xfId="19159" hidden="1"/>
    <cellStyle name="Гиперссылка 2" xfId="19158" hidden="1"/>
    <cellStyle name="Гиперссылка 2" xfId="19043" hidden="1"/>
    <cellStyle name="Гиперссылка 2" xfId="18563" hidden="1"/>
    <cellStyle name="Гиперссылка 2" xfId="18822" hidden="1"/>
    <cellStyle name="Гиперссылка 2" xfId="18668" hidden="1"/>
    <cellStyle name="Гиперссылка 2" xfId="19110" hidden="1"/>
    <cellStyle name="Гиперссылка 2" xfId="19129" hidden="1"/>
    <cellStyle name="Гиперссылка 2" xfId="18835" hidden="1"/>
    <cellStyle name="Гиперссылка 2" xfId="19107" hidden="1"/>
    <cellStyle name="Гиперссылка 2" xfId="19161" hidden="1"/>
    <cellStyle name="Гиперссылка 2" xfId="19160" hidden="1"/>
    <cellStyle name="Гиперссылка 2" xfId="19162" hidden="1"/>
    <cellStyle name="Гиперссылка 2" xfId="19163" hidden="1"/>
    <cellStyle name="Гиперссылка 2" xfId="19168" hidden="1"/>
    <cellStyle name="Гиперссылка 2" xfId="19169" hidden="1"/>
    <cellStyle name="Гиперссылка 2" xfId="19165" hidden="1"/>
    <cellStyle name="Гиперссылка 2" xfId="19164" hidden="1"/>
    <cellStyle name="Гиперссылка 2" xfId="19167" hidden="1"/>
    <cellStyle name="Гиперссылка 2" xfId="19166" hidden="1"/>
    <cellStyle name="Гиперссылка 2" xfId="19171" hidden="1"/>
    <cellStyle name="Гиперссылка 2" xfId="19170" hidden="1"/>
    <cellStyle name="Гиперссылка 2" xfId="19172" hidden="1"/>
    <cellStyle name="Гиперссылка 2" xfId="19173" hidden="1"/>
    <cellStyle name="Гиперссылка 2" xfId="19178" hidden="1"/>
    <cellStyle name="Гиперссылка 2" xfId="19179" hidden="1"/>
    <cellStyle name="Гиперссылка 2" xfId="19175" hidden="1"/>
    <cellStyle name="Гиперссылка 2" xfId="19174" hidden="1"/>
    <cellStyle name="Гиперссылка 2" xfId="19177" hidden="1"/>
    <cellStyle name="Гиперссылка 2" xfId="19176" hidden="1"/>
    <cellStyle name="Гиперссылка 2" xfId="19181" hidden="1"/>
    <cellStyle name="Гиперссылка 2" xfId="19180" hidden="1"/>
    <cellStyle name="Гиперссылка 2" xfId="19182" hidden="1"/>
    <cellStyle name="Гиперссылка 2" xfId="19183" hidden="1"/>
    <cellStyle name="Гиперссылка 2" xfId="19188" hidden="1"/>
    <cellStyle name="Гиперссылка 2" xfId="19189" hidden="1"/>
    <cellStyle name="Гиперссылка 2" xfId="19185" hidden="1"/>
    <cellStyle name="Гиперссылка 2" xfId="19184" hidden="1"/>
    <cellStyle name="Гиперссылка 2" xfId="19187" hidden="1"/>
    <cellStyle name="Гиперссылка 2" xfId="19186" hidden="1"/>
    <cellStyle name="Гиперссылка 2" xfId="19191" hidden="1"/>
    <cellStyle name="Гиперссылка 2" xfId="19190" hidden="1"/>
    <cellStyle name="Гиперссылка 2" xfId="18511" hidden="1"/>
    <cellStyle name="Гиперссылка 2" xfId="14692" hidden="1"/>
    <cellStyle name="Гиперссылка 2" xfId="18927" hidden="1"/>
    <cellStyle name="Гиперссылка 2" xfId="17798" hidden="1"/>
    <cellStyle name="Гиперссылка 2" xfId="18742" hidden="1"/>
    <cellStyle name="Гиперссылка 2" xfId="18105" hidden="1"/>
    <cellStyle name="Гиперссылка 2" xfId="18002" hidden="1"/>
    <cellStyle name="Гиперссылка 2" xfId="17990" hidden="1"/>
    <cellStyle name="Гиперссылка 2" xfId="18016" hidden="1"/>
    <cellStyle name="Гиперссылка 2" xfId="17784" hidden="1"/>
    <cellStyle name="Гиперссылка 2" xfId="19060" hidden="1"/>
    <cellStyle name="Гиперссылка 2" xfId="18913" hidden="1"/>
    <cellStyle name="Гиперссылка 2" xfId="18392" hidden="1"/>
    <cellStyle name="Гиперссылка 2" xfId="14746" hidden="1"/>
    <cellStyle name="Гиперссылка 2" xfId="18842" hidden="1"/>
    <cellStyle name="Гиперссылка 2" xfId="18995" hidden="1"/>
    <cellStyle name="Гиперссылка 2" xfId="18586" hidden="1"/>
    <cellStyle name="Гиперссылка 2" xfId="18674" hidden="1"/>
    <cellStyle name="Гиперссылка 2" xfId="18660" hidden="1"/>
    <cellStyle name="Гиперссылка 2" xfId="14686" hidden="1"/>
    <cellStyle name="Гиперссылка 2" xfId="14705" hidden="1"/>
    <cellStyle name="Гиперссылка 2" xfId="18089" hidden="1"/>
    <cellStyle name="Гиперссылка 2" xfId="17843" hidden="1"/>
    <cellStyle name="Гиперссылка 2" xfId="17840" hidden="1"/>
    <cellStyle name="Гиперссылка 2" xfId="18200" hidden="1"/>
    <cellStyle name="Гиперссылка 2" xfId="18225" hidden="1"/>
    <cellStyle name="Гиперссылка 2" xfId="17976" hidden="1"/>
    <cellStyle name="Гиперссылка 2" xfId="17979" hidden="1"/>
    <cellStyle name="Гиперссылка 2" xfId="18043" hidden="1"/>
    <cellStyle name="Гиперссылка 2" xfId="17827" hidden="1"/>
    <cellStyle name="Гиперссылка 2" xfId="17973" hidden="1"/>
    <cellStyle name="Гиперссылка 2" xfId="17911" hidden="1"/>
    <cellStyle name="Гиперссылка 2" xfId="17964" hidden="1"/>
    <cellStyle name="Гиперссылка 2" xfId="17921" hidden="1"/>
    <cellStyle name="Гиперссылка 2" xfId="17949" hidden="1"/>
    <cellStyle name="Гиперссылка 2" xfId="18025" hidden="1"/>
    <cellStyle name="Гиперссылка 2" xfId="18036" hidden="1"/>
    <cellStyle name="Гиперссылка 2" xfId="17763" hidden="1"/>
    <cellStyle name="Гиперссылка 2" xfId="17968" hidden="1"/>
    <cellStyle name="Гиперссылка 2" xfId="18019" hidden="1"/>
    <cellStyle name="Гиперссылка 2" xfId="14738" hidden="1"/>
    <cellStyle name="Гиперссылка 2" xfId="18120" hidden="1"/>
    <cellStyle name="Гиперссылка 2" xfId="18010" hidden="1"/>
    <cellStyle name="Гиперссылка 2" xfId="17937" hidden="1"/>
    <cellStyle name="Гиперссылка 2" xfId="18035" hidden="1"/>
    <cellStyle name="Гиперссылка 2" xfId="18360" hidden="1"/>
    <cellStyle name="Гиперссылка 2" xfId="18987" hidden="1"/>
    <cellStyle name="Гиперссылка 2" xfId="19052" hidden="1"/>
    <cellStyle name="Гиперссылка 2" xfId="17887" hidden="1"/>
    <cellStyle name="Гиперссылка 2" xfId="18168" hidden="1"/>
    <cellStyle name="Гиперссылка 2" xfId="18729" hidden="1"/>
    <cellStyle name="Гиперссылка 2" xfId="18551" hidden="1"/>
    <cellStyle name="Гиперссылка 2" xfId="17928" hidden="1"/>
    <cellStyle name="Гиперссылка 2" xfId="18603" hidden="1"/>
    <cellStyle name="Гиперссылка 2" xfId="18278" hidden="1"/>
    <cellStyle name="Гиперссылка 2" xfId="14712" hidden="1"/>
    <cellStyle name="Гиперссылка 2" xfId="18005" hidden="1"/>
    <cellStyle name="Гиперссылка 2" xfId="17986" hidden="1"/>
    <cellStyle name="Гиперссылка 2" xfId="18207" hidden="1"/>
    <cellStyle name="Гиперссылка 2" xfId="18308" hidden="1"/>
    <cellStyle name="Гиперссылка 2" xfId="19008" hidden="1"/>
    <cellStyle name="Гиперссылка 2" xfId="18858" hidden="1"/>
    <cellStyle name="Гиперссылка 2" xfId="18576" hidden="1"/>
    <cellStyle name="Гиперссылка 2" xfId="14713" hidden="1"/>
    <cellStyle name="Гиперссылка 2" xfId="18992" hidden="1"/>
    <cellStyle name="Гиперссылка 2" xfId="19118" hidden="1"/>
    <cellStyle name="Гиперссылка 2" xfId="18752" hidden="1"/>
    <cellStyle name="Гиперссылка 2" xfId="18837" hidden="1"/>
    <cellStyle name="Гиперссылка 2" xfId="17988" hidden="1"/>
    <cellStyle name="Гиперссылка 2" xfId="18078" hidden="1"/>
    <cellStyle name="Гиперссылка 2" xfId="17884" hidden="1"/>
    <cellStyle name="Гиперссылка 2" xfId="18597" hidden="1"/>
    <cellStyle name="Гиперссылка 2" xfId="18852" hidden="1"/>
    <cellStyle name="Гиперссылка 2" xfId="18681" hidden="1"/>
    <cellStyle name="Гиперссылка 2" xfId="18234" hidden="1"/>
    <cellStyle name="Гиперссылка 2" xfId="18301" hidden="1"/>
    <cellStyle name="Гиперссылка 2" xfId="19003" hidden="1"/>
    <cellStyle name="Гиперссылка 2" xfId="17882" hidden="1"/>
    <cellStyle name="Гиперссылка 2" xfId="19005" hidden="1"/>
    <cellStyle name="Гиперссылка 2" xfId="19070" hidden="1"/>
    <cellStyle name="Гиперссылка 2" xfId="18396" hidden="1"/>
    <cellStyle name="Гиперссылка 2" xfId="18376" hidden="1"/>
    <cellStyle name="Гиперссылка 2" xfId="18914" hidden="1"/>
    <cellStyle name="Гиперссылка 2" xfId="17855" hidden="1"/>
    <cellStyle name="Гиперссылка 2" xfId="18248" hidden="1"/>
    <cellStyle name="Гиперссылка 2" xfId="18083" hidden="1"/>
    <cellStyle name="Гиперссылка 2" xfId="18656" hidden="1"/>
    <cellStyle name="Гиперссылка 2" xfId="18648" hidden="1"/>
    <cellStyle name="Гиперссылка 2" xfId="17998" hidden="1"/>
    <cellStyle name="Гиперссылка 2" xfId="18003" hidden="1"/>
    <cellStyle name="Гиперссылка 2" xfId="18156" hidden="1"/>
    <cellStyle name="Гиперссылка 2" xfId="18079" hidden="1"/>
    <cellStyle name="Гиперссылка 2" xfId="18523" hidden="1"/>
    <cellStyle name="Гиперссылка 2" xfId="18324" hidden="1"/>
    <cellStyle name="Гиперссылка 2" xfId="18949" hidden="1"/>
    <cellStyle name="Гиперссылка 2" xfId="18117" hidden="1"/>
    <cellStyle name="Гиперссылка 2" xfId="18701" hidden="1"/>
    <cellStyle name="Гиперссылка 2" xfId="18788" hidden="1"/>
    <cellStyle name="Гиперссылка 2" xfId="14728" hidden="1"/>
    <cellStyle name="Гиперссылка 2" xfId="14724" hidden="1"/>
    <cellStyle name="Гиперссылка 2" xfId="18663" hidden="1"/>
    <cellStyle name="Гиперссылка 2" xfId="18573" hidden="1"/>
    <cellStyle name="Гиперссылка 2" xfId="14749" hidden="1"/>
    <cellStyle name="Гиперссылка 2" xfId="17947" hidden="1"/>
    <cellStyle name="Гиперссылка 2" xfId="18198" hidden="1"/>
    <cellStyle name="Гиперссылка 2" xfId="18275" hidden="1"/>
    <cellStyle name="Гиперссылка 2" xfId="17769" hidden="1"/>
    <cellStyle name="Гиперссылка 2" xfId="17808" hidden="1"/>
    <cellStyle name="Гиперссылка 2" xfId="17831" hidden="1"/>
    <cellStyle name="Гиперссылка 2" xfId="17835" hidden="1"/>
    <cellStyle name="Гиперссылка 2" xfId="18042" hidden="1"/>
    <cellStyle name="Гиперссылка 2" xfId="17972" hidden="1"/>
    <cellStyle name="Гиперссылка 2" xfId="18037" hidden="1"/>
    <cellStyle name="Гиперссылка 2" xfId="17966" hidden="1"/>
    <cellStyle name="Гиперссылка 2" xfId="18027" hidden="1"/>
    <cellStyle name="Гиперссылка 2" xfId="17822" hidden="1"/>
    <cellStyle name="Гиперссылка 2" xfId="17912" hidden="1"/>
    <cellStyle name="Гиперссылка 2" xfId="17952" hidden="1"/>
    <cellStyle name="Гиперссылка 2" xfId="18040" hidden="1"/>
    <cellStyle name="Гиперссылка 2" xfId="17916" hidden="1"/>
    <cellStyle name="Гиперссылка 2" xfId="18549" hidden="1"/>
    <cellStyle name="Гиперссылка 2" xfId="18140" hidden="1"/>
    <cellStyle name="Гиперссылка 2" xfId="18034" hidden="1"/>
    <cellStyle name="Гиперссылка 2" xfId="17940" hidden="1"/>
    <cellStyle name="Гиперссылка 2" xfId="17764" hidden="1"/>
    <cellStyle name="Гиперссылка 2" xfId="14715" hidden="1"/>
    <cellStyle name="Гиперссылка 2" xfId="18922" hidden="1"/>
    <cellStyle name="Гиперссылка 2" xfId="18199" hidden="1"/>
    <cellStyle name="Гиперссылка 2" xfId="14733" hidden="1"/>
    <cellStyle name="Гиперссылка 2" xfId="17821" hidden="1"/>
    <cellStyle name="Гиперссылка 2" xfId="18664" hidden="1"/>
    <cellStyle name="Гиперссылка 2" xfId="18472" hidden="1"/>
    <cellStyle name="Гиперссылка 2" xfId="18101" hidden="1"/>
    <cellStyle name="Гиперссылка 2" xfId="18184" hidden="1"/>
    <cellStyle name="Гиперссылка 2" xfId="19054" hidden="1"/>
    <cellStyle name="Гиперссылка 2" xfId="17871" hidden="1"/>
    <cellStyle name="Гиперссылка 2" xfId="18836" hidden="1"/>
    <cellStyle name="Гиперссылка 2" xfId="18910" hidden="1"/>
    <cellStyle name="Гиперссылка 2" xfId="17804" hidden="1"/>
    <cellStyle name="Гиперссылка 2" xfId="18242" hidden="1"/>
    <cellStyle name="Гиперссылка 2" xfId="18129" hidden="1"/>
    <cellStyle name="Гиперссылка 2" xfId="17797" hidden="1"/>
    <cellStyle name="Гиперссылка 2" xfId="18197" hidden="1"/>
    <cellStyle name="Гиперссылка 2" xfId="17869" hidden="1"/>
    <cellStyle name="Гиперссылка 2" xfId="18345" hidden="1"/>
    <cellStyle name="Гиперссылка 2" xfId="17950" hidden="1"/>
    <cellStyle name="Гиперссылка 2" xfId="18224" hidden="1"/>
    <cellStyle name="Гиперссылка 2" xfId="18138" hidden="1"/>
    <cellStyle name="Гиперссылка 2" xfId="18545" hidden="1"/>
    <cellStyle name="Гиперссылка 2" xfId="18640" hidden="1"/>
    <cellStyle name="Гиперссылка 2" xfId="17788" hidden="1"/>
    <cellStyle name="Гиперссылка 2" xfId="18452" hidden="1"/>
    <cellStyle name="Гиперссылка 2" xfId="18291" hidden="1"/>
    <cellStyle name="Гиперссылка 2" xfId="17997" hidden="1"/>
    <cellStyle name="Гиперссылка 2" xfId="18196" hidden="1"/>
    <cellStyle name="Гиперссылка 2" xfId="18172" hidden="1"/>
    <cellStyle name="Гиперссылка 2" xfId="14693" hidden="1"/>
    <cellStyle name="Гиперссылка 2" xfId="18093" hidden="1"/>
    <cellStyle name="Гиперссылка 2" xfId="18501" hidden="1"/>
    <cellStyle name="Гиперссылка 2" xfId="17877" hidden="1"/>
    <cellStyle name="Гиперссылка 2" xfId="18246" hidden="1"/>
    <cellStyle name="Гиперссылка 2" xfId="18814" hidden="1"/>
    <cellStyle name="Гиперссылка 2" xfId="18606" hidden="1"/>
    <cellStyle name="Гиперссылка 2" xfId="18102" hidden="1"/>
    <cellStyle name="Гиперссылка 2" xfId="17828" hidden="1"/>
    <cellStyle name="Гиперссылка 2" xfId="18829" hidden="1"/>
    <cellStyle name="Гиперссылка 2" xfId="17939" hidden="1"/>
    <cellStyle name="Гиперссылка 2" xfId="14708" hidden="1"/>
    <cellStyle name="Гиперссылка 2" xfId="17864" hidden="1"/>
    <cellStyle name="Гиперссылка 2" xfId="18144" hidden="1"/>
    <cellStyle name="Гиперссылка 2" xfId="18993" hidden="1"/>
    <cellStyle name="Гиперссылка 2" xfId="18838" hidden="1"/>
    <cellStyle name="Гиперссылка 2" xfId="14735" hidden="1"/>
    <cellStyle name="Гиперссылка 2" xfId="14687" hidden="1"/>
    <cellStyle name="Гиперссылка 2" xfId="14737" hidden="1"/>
    <cellStyle name="Гиперссылка 2" xfId="18478" hidden="1"/>
    <cellStyle name="Гиперссылка 2" xfId="14717" hidden="1"/>
    <cellStyle name="Гиперссылка 2" xfId="14711" hidden="1"/>
    <cellStyle name="Гиперссылка 2" xfId="14682" hidden="1"/>
    <cellStyle name="Гиперссылка 2" xfId="14731" hidden="1"/>
    <cellStyle name="Гиперссылка 2" xfId="18028" hidden="1"/>
    <cellStyle name="Гиперссылка 2" xfId="17953" hidden="1"/>
    <cellStyle name="Гиперссылка 2" xfId="19120" hidden="1"/>
    <cellStyle name="Гиперссылка 2" xfId="18994" hidden="1"/>
    <cellStyle name="Гиперссылка 2" xfId="18482" hidden="1"/>
    <cellStyle name="Гиперссылка 2" xfId="18669" hidden="1"/>
    <cellStyle name="Гиперссылка 2" xfId="18150" hidden="1"/>
    <cellStyle name="Гиперссылка 2" xfId="18283" hidden="1"/>
    <cellStyle name="Гиперссылка 2" xfId="18746" hidden="1"/>
    <cellStyle name="Гиперссылка 2" xfId="17789" hidden="1"/>
    <cellStyle name="Гиперссылка 2" xfId="18567" hidden="1"/>
    <cellStyle name="Гиперссылка 2" xfId="18383" hidden="1"/>
    <cellStyle name="Гиперссылка 2" xfId="17989" hidden="1"/>
    <cellStyle name="Гиперссылка 2" xfId="17913" hidden="1"/>
    <cellStyle name="Гиперссылка 2" xfId="14691" hidden="1"/>
    <cellStyle name="Гиперссылка 2" xfId="18218" hidden="1"/>
    <cellStyle name="Гиперссылка 2" xfId="17802" hidden="1"/>
    <cellStyle name="Гиперссылка 2" xfId="18220" hidden="1"/>
    <cellStyle name="Гиперссылка 2" xfId="18131" hidden="1"/>
    <cellStyle name="Гиперссылка 2" xfId="18077" hidden="1"/>
    <cellStyle name="Гиперссылка 2" xfId="14700" hidden="1"/>
    <cellStyle name="Гиперссылка 2" xfId="18095" hidden="1"/>
    <cellStyle name="Гиперссылка 2" xfId="17977" hidden="1"/>
    <cellStyle name="Гиперссылка 2" xfId="18689" hidden="1"/>
    <cellStyle name="Гиперссылка 2" xfId="19058" hidden="1"/>
    <cellStyle name="Гиперссылка 2" xfId="18564" hidden="1"/>
    <cellStyle name="Гиперссылка 2" xfId="18508" hidden="1"/>
    <cellStyle name="Гиперссылка 2" xfId="19064" hidden="1"/>
    <cellStyle name="Гиперссылка 2" xfId="18124" hidden="1"/>
    <cellStyle name="Гиперссылка 2" xfId="18304" hidden="1"/>
    <cellStyle name="Гиперссылка 2" xfId="19085" hidden="1"/>
    <cellStyle name="Гиперссылка 2" xfId="18950" hidden="1"/>
    <cellStyle name="Гиперссылка 2" xfId="18151" hidden="1"/>
    <cellStyle name="Гиперссылка 2" xfId="14690" hidden="1"/>
    <cellStyle name="Гиперссылка 2" xfId="18562" hidden="1"/>
    <cellStyle name="Гиперссылка 2" xfId="18739" hidden="1"/>
    <cellStyle name="Гиперссылка 2" xfId="18267" hidden="1"/>
    <cellStyle name="Гиперссылка 2" xfId="18370" hidden="1"/>
    <cellStyle name="Гиперссылка 2" xfId="18026" hidden="1"/>
    <cellStyle name="Гиперссылка 2" xfId="17767" hidden="1"/>
    <cellStyle name="Гиперссылка 2" xfId="18362" hidden="1"/>
    <cellStyle name="Гиперссылка 2" xfId="18229" hidden="1"/>
    <cellStyle name="Гиперссылка 2" xfId="18458" hidden="1"/>
    <cellStyle name="Гиперссылка 2" xfId="19121" hidden="1"/>
    <cellStyle name="Гиперссылка 2" xfId="17861" hidden="1"/>
    <cellStyle name="Гиперссылка 2" xfId="18128" hidden="1"/>
    <cellStyle name="Гиперссылка 2" xfId="18652" hidden="1"/>
    <cellStyle name="Гиперссылка 2" xfId="18735" hidden="1"/>
    <cellStyle name="Гиперссылка 2" xfId="18841" hidden="1"/>
    <cellStyle name="Гиперссылка 2" xfId="18916" hidden="1"/>
    <cellStyle name="Гиперссылка 2" xfId="18672" hidden="1"/>
    <cellStyle name="Гиперссылка 2" xfId="18484" hidden="1"/>
    <cellStyle name="Гиперссылка 2" xfId="18401" hidden="1"/>
    <cellStyle name="Гиперссылка 2" xfId="18175" hidden="1"/>
    <cellStyle name="Гиперссылка 2" xfId="17991" hidden="1"/>
    <cellStyle name="Гиперссылка 2" xfId="18231" hidden="1"/>
    <cellStyle name="Гиперссылка 2" xfId="17881" hidden="1"/>
    <cellStyle name="Гиперссылка 2" xfId="17867" hidden="1"/>
    <cellStyle name="Гиперссылка 2" xfId="17859" hidden="1"/>
    <cellStyle name="Гиперссылка 2" xfId="18137" hidden="1"/>
    <cellStyle name="Гиперссылка 2" xfId="18997" hidden="1"/>
    <cellStyle name="Гиперссылка 2" xfId="19051" hidden="1"/>
    <cellStyle name="Гиперссылка 2" xfId="17933" hidden="1"/>
    <cellStyle name="Гиперссылка 2" xfId="18380" hidden="1"/>
    <cellStyle name="Гиперссылка 2" xfId="19128" hidden="1"/>
    <cellStyle name="Гиперссылка 2" xfId="17794" hidden="1"/>
    <cellStyle name="Гиперссылка 2" xfId="19002" hidden="1"/>
    <cellStyle name="Гиперссылка 2" xfId="18588" hidden="1"/>
    <cellStyle name="Гиперссылка 2" xfId="19206" hidden="1"/>
    <cellStyle name="Гиперссылка 2" xfId="19205" hidden="1"/>
    <cellStyle name="Гиперссылка 2" xfId="19216" hidden="1"/>
    <cellStyle name="Гиперссылка 2" xfId="19217" hidden="1"/>
    <cellStyle name="Гиперссылка 2" xfId="19222" hidden="1"/>
    <cellStyle name="Гиперссылка 2" xfId="19223" hidden="1"/>
    <cellStyle name="Гиперссылка 2" xfId="19219" hidden="1"/>
    <cellStyle name="Гиперссылка 2" xfId="19218" hidden="1"/>
    <cellStyle name="Гиперссылка 2" xfId="19221" hidden="1"/>
    <cellStyle name="Гиперссылка 2" xfId="19220" hidden="1"/>
    <cellStyle name="Гиперссылка 2" xfId="19225" hidden="1"/>
    <cellStyle name="Гиперссылка 2" xfId="19224" hidden="1"/>
    <cellStyle name="Гиперссылка 2" xfId="19227" hidden="1"/>
    <cellStyle name="Гиперссылка 2" xfId="19228" hidden="1"/>
    <cellStyle name="Гиперссылка 2" xfId="19233" hidden="1"/>
    <cellStyle name="Гиперссылка 2" xfId="19234" hidden="1"/>
    <cellStyle name="Гиперссылка 2" xfId="19230" hidden="1"/>
    <cellStyle name="Гиперссылка 2" xfId="19229" hidden="1"/>
    <cellStyle name="Гиперссылка 2" xfId="19232" hidden="1"/>
    <cellStyle name="Гиперссылка 2" xfId="19231" hidden="1"/>
    <cellStyle name="Гиперссылка 2" xfId="19236" hidden="1"/>
    <cellStyle name="Гиперссылка 2" xfId="19235" hidden="1"/>
    <cellStyle name="Гиперссылка 2" xfId="19237" hidden="1"/>
    <cellStyle name="Гиперссылка 2" xfId="19238" hidden="1"/>
    <cellStyle name="Гиперссылка 2" xfId="19243" hidden="1"/>
    <cellStyle name="Гиперссылка 2" xfId="19244" hidden="1"/>
    <cellStyle name="Гиперссылка 2" xfId="19240" hidden="1"/>
    <cellStyle name="Гиперссылка 2" xfId="19239" hidden="1"/>
    <cellStyle name="Гиперссылка 2" xfId="19242" hidden="1"/>
    <cellStyle name="Гиперссылка 2" xfId="19241" hidden="1"/>
    <cellStyle name="Гиперссылка 2" xfId="19246" hidden="1"/>
    <cellStyle name="Гиперссылка 2" xfId="19245" hidden="1"/>
    <cellStyle name="Гиперссылка 2" xfId="18491" hidden="1"/>
    <cellStyle name="Гиперссылка 2" xfId="18094" hidden="1"/>
    <cellStyle name="Гиперссылка 2" xfId="18263" hidden="1"/>
    <cellStyle name="Гиперссылка 2" xfId="18259" hidden="1"/>
    <cellStyle name="Гиперссылка 2" xfId="18891" hidden="1"/>
    <cellStyle name="Гиперссылка 2" xfId="19211" hidden="1"/>
    <cellStyle name="Гиперссылка 2" xfId="18160" hidden="1"/>
    <cellStyle name="Гиперссылка 2" xfId="18378" hidden="1"/>
    <cellStyle name="Гиперссылка 2" xfId="19285" hidden="1"/>
    <cellStyle name="Гиперссылка 2" xfId="19284" hidden="1"/>
    <cellStyle name="Гиперссылка 2" xfId="19294" hidden="1"/>
    <cellStyle name="Гиперссылка 2" xfId="19295" hidden="1"/>
    <cellStyle name="Гиперссылка 2" xfId="19300" hidden="1"/>
    <cellStyle name="Гиперссылка 2" xfId="19301" hidden="1"/>
    <cellStyle name="Гиперссылка 2" xfId="19297" hidden="1"/>
    <cellStyle name="Гиперссылка 2" xfId="19296" hidden="1"/>
    <cellStyle name="Гиперссылка 2" xfId="19299" hidden="1"/>
    <cellStyle name="Гиперссылка 2" xfId="19298" hidden="1"/>
    <cellStyle name="Гиперссылка 2" xfId="19303" hidden="1"/>
    <cellStyle name="Гиперссылка 2" xfId="19302" hidden="1"/>
    <cellStyle name="Гиперссылка 2" xfId="19304" hidden="1"/>
    <cellStyle name="Гиперссылка 2" xfId="19305" hidden="1"/>
    <cellStyle name="Гиперссылка 2" xfId="19310" hidden="1"/>
    <cellStyle name="Гиперссылка 2" xfId="19311" hidden="1"/>
    <cellStyle name="Гиперссылка 2" xfId="19307" hidden="1"/>
    <cellStyle name="Гиперссылка 2" xfId="19306" hidden="1"/>
    <cellStyle name="Гиперссылка 2" xfId="19309" hidden="1"/>
    <cellStyle name="Гиперссылка 2" xfId="19308" hidden="1"/>
    <cellStyle name="Гиперссылка 2" xfId="19313" hidden="1"/>
    <cellStyle name="Гиперссылка 2" xfId="19312" hidden="1"/>
    <cellStyle name="Гиперссылка 2" xfId="19314" hidden="1"/>
    <cellStyle name="Гиперссылка 2" xfId="19315" hidden="1"/>
    <cellStyle name="Гиперссылка 2" xfId="19320" hidden="1"/>
    <cellStyle name="Гиперссылка 2" xfId="19321" hidden="1"/>
    <cellStyle name="Гиперссылка 2" xfId="19317" hidden="1"/>
    <cellStyle name="Гиперссылка 2" xfId="19316" hidden="1"/>
    <cellStyle name="Гиперссылка 2" xfId="19319" hidden="1"/>
    <cellStyle name="Гиперссылка 2" xfId="19318" hidden="1"/>
    <cellStyle name="Гиперссылка 2" xfId="19323" hidden="1"/>
    <cellStyle name="Гиперссылка 2" xfId="19322" hidden="1"/>
    <cellStyle name="Гиперссылка 2" xfId="14725" hidden="1"/>
    <cellStyle name="Гиперссылка 2" xfId="18279" hidden="1"/>
    <cellStyle name="Гиперссылка 2" xfId="17825" hidden="1"/>
    <cellStyle name="Гиперссылка 2" xfId="19001" hidden="1"/>
    <cellStyle name="Гиперссылка 2" xfId="19260" hidden="1"/>
    <cellStyle name="Гиперссылка 2" xfId="19291" hidden="1"/>
    <cellStyle name="Гиперссылка 2" xfId="18183" hidden="1"/>
    <cellStyle name="Гиперссылка 2" xfId="19251" hidden="1"/>
    <cellStyle name="Гиперссылка 2" xfId="19352" hidden="1"/>
    <cellStyle name="Гиперссылка 2" xfId="19351" hidden="1"/>
    <cellStyle name="Гиперссылка 2" xfId="19365" hidden="1"/>
    <cellStyle name="Гиперссылка 2" xfId="19366" hidden="1"/>
    <cellStyle name="Гиперссылка 2" xfId="19372" hidden="1"/>
    <cellStyle name="Гиперссылка 2" xfId="19373" hidden="1"/>
    <cellStyle name="Гиперссылка 2" xfId="19369" hidden="1"/>
    <cellStyle name="Гиперссылка 2" xfId="19368" hidden="1"/>
    <cellStyle name="Гиперссылка 2" xfId="19371" hidden="1"/>
    <cellStyle name="Гиперссылка 2" xfId="19370" hidden="1"/>
    <cellStyle name="Гиперссылка 2" xfId="19375" hidden="1"/>
    <cellStyle name="Гиперссылка 2" xfId="19374" hidden="1"/>
    <cellStyle name="Гиперссылка 2" xfId="19378" hidden="1"/>
    <cellStyle name="Гиперссылка 2" xfId="19379" hidden="1"/>
    <cellStyle name="Гиперссылка 2" xfId="19384" hidden="1"/>
    <cellStyle name="Гиперссылка 2" xfId="19385" hidden="1"/>
    <cellStyle name="Гиперссылка 2" xfId="19381" hidden="1"/>
    <cellStyle name="Гиперссылка 2" xfId="19380" hidden="1"/>
    <cellStyle name="Гиперссылка 2" xfId="19383" hidden="1"/>
    <cellStyle name="Гиперссылка 2" xfId="19382" hidden="1"/>
    <cellStyle name="Гиперссылка 2" xfId="19387" hidden="1"/>
    <cellStyle name="Гиперссылка 2" xfId="19386" hidden="1"/>
    <cellStyle name="Гиперссылка 2" xfId="19388" hidden="1"/>
    <cellStyle name="Гиперссылка 2" xfId="19389" hidden="1"/>
    <cellStyle name="Гиперссылка 2" xfId="19394" hidden="1"/>
    <cellStyle name="Гиперссылка 2" xfId="19395" hidden="1"/>
    <cellStyle name="Гиперссылка 2" xfId="19391" hidden="1"/>
    <cellStyle name="Гиперссылка 2" xfId="19390" hidden="1"/>
    <cellStyle name="Гиперссылка 2" xfId="19393" hidden="1"/>
    <cellStyle name="Гиперссылка 2" xfId="19392" hidden="1"/>
    <cellStyle name="Гиперссылка 2" xfId="19397" hidden="1"/>
    <cellStyle name="Гиперссылка 2" xfId="19396" hidden="1"/>
    <cellStyle name="Гиперссылка 2" xfId="19252" hidden="1"/>
    <cellStyle name="Гиперссылка 2" xfId="18748" hidden="1"/>
    <cellStyle name="Гиперссылка 2" xfId="18476" hidden="1"/>
    <cellStyle name="Гиперссылка 2" xfId="17851" hidden="1"/>
    <cellStyle name="Гиперссылка 2" xfId="19332" hidden="1"/>
    <cellStyle name="Гиперссылка 2" xfId="19360" hidden="1"/>
    <cellStyle name="Гиперссылка 2" xfId="18834" hidden="1"/>
    <cellStyle name="Гиперссылка 2" xfId="19326" hidden="1"/>
    <cellStyle name="Гиперссылка 2" xfId="19424" hidden="1"/>
    <cellStyle name="Гиперссылка 2" xfId="19423" hidden="1"/>
    <cellStyle name="Гиперссылка 2" xfId="19435" hidden="1"/>
    <cellStyle name="Гиперссылка 2" xfId="19436" hidden="1"/>
    <cellStyle name="Гиперссылка 2" xfId="19441" hidden="1"/>
    <cellStyle name="Гиперссылка 2" xfId="19442" hidden="1"/>
    <cellStyle name="Гиперссылка 2" xfId="19438" hidden="1"/>
    <cellStyle name="Гиперссылка 2" xfId="19437" hidden="1"/>
    <cellStyle name="Гиперссылка 2" xfId="19440" hidden="1"/>
    <cellStyle name="Гиперссылка 2" xfId="19439" hidden="1"/>
    <cellStyle name="Гиперссылка 2" xfId="19444" hidden="1"/>
    <cellStyle name="Гиперссылка 2" xfId="19443" hidden="1"/>
    <cellStyle name="Гиперссылка 2" xfId="19445" hidden="1"/>
    <cellStyle name="Гиперссылка 2" xfId="19446" hidden="1"/>
    <cellStyle name="Гиперссылка 2" xfId="19451" hidden="1"/>
    <cellStyle name="Гиперссылка 2" xfId="19452" hidden="1"/>
    <cellStyle name="Гиперссылка 2" xfId="19448" hidden="1"/>
    <cellStyle name="Гиперссылка 2" xfId="19447" hidden="1"/>
    <cellStyle name="Гиперссылка 2" xfId="19450" hidden="1"/>
    <cellStyle name="Гиперссылка 2" xfId="19449" hidden="1"/>
    <cellStyle name="Гиперссылка 2" xfId="19454" hidden="1"/>
    <cellStyle name="Гиперссылка 2" xfId="19453" hidden="1"/>
    <cellStyle name="Гиперссылка 2" xfId="19455" hidden="1"/>
    <cellStyle name="Гиперссылка 2" xfId="19456" hidden="1"/>
    <cellStyle name="Гиперссылка 2" xfId="19461" hidden="1"/>
    <cellStyle name="Гиперссылка 2" xfId="19462" hidden="1"/>
    <cellStyle name="Гиперссылка 2" xfId="19458" hidden="1"/>
    <cellStyle name="Гиперссылка 2" xfId="19457" hidden="1"/>
    <cellStyle name="Гиперссылка 2" xfId="19460" hidden="1"/>
    <cellStyle name="Гиперссылка 2" xfId="19459" hidden="1"/>
    <cellStyle name="Гиперссылка 2" xfId="19464" hidden="1"/>
    <cellStyle name="Гиперссылка 2" xfId="19463" hidden="1"/>
    <cellStyle name="Гиперссылка 2" xfId="19327" hidden="1"/>
    <cellStyle name="Гиперссылка 2" xfId="18728" hidden="1"/>
    <cellStyle name="Гиперссылка 2" xfId="18599" hidden="1"/>
    <cellStyle name="Гиперссылка 2" xfId="18245" hidden="1"/>
    <cellStyle name="Гиперссылка 2" xfId="19407" hidden="1"/>
    <cellStyle name="Гиперссылка 2" xfId="19431" hidden="1"/>
    <cellStyle name="Гиперссылка 2" xfId="18934" hidden="1"/>
    <cellStyle name="Гиперссылка 2" xfId="19401" hidden="1"/>
    <cellStyle name="Гиперссылка 2" xfId="19488" hidden="1"/>
    <cellStyle name="Гиперссылка 2" xfId="19487" hidden="1"/>
    <cellStyle name="Гиперссылка 2" xfId="19497" hidden="1"/>
    <cellStyle name="Гиперссылка 2" xfId="19498" hidden="1"/>
    <cellStyle name="Гиперссылка 2" xfId="19503" hidden="1"/>
    <cellStyle name="Гиперссылка 2" xfId="19504" hidden="1"/>
    <cellStyle name="Гиперссылка 2" xfId="19500" hidden="1"/>
    <cellStyle name="Гиперссылка 2" xfId="19499" hidden="1"/>
    <cellStyle name="Гиперссылка 2" xfId="19502" hidden="1"/>
    <cellStyle name="Гиперссылка 2" xfId="19501" hidden="1"/>
    <cellStyle name="Гиперссылка 2" xfId="19506" hidden="1"/>
    <cellStyle name="Гиперссылка 2" xfId="19505" hidden="1"/>
    <cellStyle name="Гиперссылка 2" xfId="19508" hidden="1"/>
    <cellStyle name="Гиперссылка 2" xfId="19509" hidden="1"/>
    <cellStyle name="Гиперссылка 2" xfId="19514" hidden="1"/>
    <cellStyle name="Гиперссылка 2" xfId="19515" hidden="1"/>
    <cellStyle name="Гиперссылка 2" xfId="19511" hidden="1"/>
    <cellStyle name="Гиперссылка 2" xfId="19510" hidden="1"/>
    <cellStyle name="Гиперссылка 2" xfId="19513" hidden="1"/>
    <cellStyle name="Гиперссылка 2" xfId="19512" hidden="1"/>
    <cellStyle name="Гиперссылка 2" xfId="19517" hidden="1"/>
    <cellStyle name="Гиперссылка 2" xfId="19516" hidden="1"/>
    <cellStyle name="Гиперссылка 2" xfId="19518" hidden="1"/>
    <cellStyle name="Гиперссылка 2" xfId="19519" hidden="1"/>
    <cellStyle name="Гиперссылка 2" xfId="19524" hidden="1"/>
    <cellStyle name="Гиперссылка 2" xfId="19525" hidden="1"/>
    <cellStyle name="Гиперссылка 2" xfId="19521" hidden="1"/>
    <cellStyle name="Гиперссылка 2" xfId="19520" hidden="1"/>
    <cellStyle name="Гиперссылка 2" xfId="19523" hidden="1"/>
    <cellStyle name="Гиперссылка 2" xfId="19522" hidden="1"/>
    <cellStyle name="Гиперссылка 2" xfId="19527" hidden="1"/>
    <cellStyle name="Гиперссылка 2" xfId="19526" hidden="1"/>
    <cellStyle name="Гиперссылка 2" xfId="19402" hidden="1"/>
    <cellStyle name="Гиперссылка 2" xfId="18825" hidden="1"/>
    <cellStyle name="Гиперссылка 2" xfId="18135" hidden="1"/>
    <cellStyle name="Гиперссылка 2" xfId="18589" hidden="1"/>
    <cellStyle name="Гиперссылка 2" xfId="19471" hidden="1"/>
    <cellStyle name="Гиперссылка 2" xfId="19495" hidden="1"/>
    <cellStyle name="Гиперссылка 2" xfId="19192" hidden="1"/>
    <cellStyle name="Гиперссылка 2" xfId="19465" hidden="1"/>
    <cellStyle name="Гиперссылка 2" xfId="19544" hidden="1"/>
    <cellStyle name="Гиперссылка 2" xfId="19543" hidden="1"/>
    <cellStyle name="Гиперссылка 2" xfId="19549" hidden="1"/>
    <cellStyle name="Гиперссылка 2" xfId="19550" hidden="1"/>
    <cellStyle name="Гиперссылка 2" xfId="19555" hidden="1"/>
    <cellStyle name="Гиперссылка 2" xfId="19556" hidden="1"/>
    <cellStyle name="Гиперссылка 2" xfId="19552" hidden="1"/>
    <cellStyle name="Гиперссылка 2" xfId="19551" hidden="1"/>
    <cellStyle name="Гиперссылка 2" xfId="19554" hidden="1"/>
    <cellStyle name="Гиперссылка 2" xfId="19553" hidden="1"/>
    <cellStyle name="Гиперссылка 2" xfId="19558" hidden="1"/>
    <cellStyle name="Гиперссылка 2" xfId="19557" hidden="1"/>
    <cellStyle name="Гиперссылка 2" xfId="19559" hidden="1"/>
    <cellStyle name="Гиперссылка 2" xfId="19560" hidden="1"/>
    <cellStyle name="Гиперссылка 2" xfId="19565" hidden="1"/>
    <cellStyle name="Гиперссылка 2" xfId="19566" hidden="1"/>
    <cellStyle name="Гиперссылка 2" xfId="19562" hidden="1"/>
    <cellStyle name="Гиперссылка 2" xfId="19561" hidden="1"/>
    <cellStyle name="Гиперссылка 2" xfId="19564" hidden="1"/>
    <cellStyle name="Гиперссылка 2" xfId="19563" hidden="1"/>
    <cellStyle name="Гиперссылка 2" xfId="19568" hidden="1"/>
    <cellStyle name="Гиперссылка 2" xfId="19567" hidden="1"/>
    <cellStyle name="Гиперссылка 2" xfId="19569" hidden="1"/>
    <cellStyle name="Гиперссылка 2" xfId="19570" hidden="1"/>
    <cellStyle name="Гиперссылка 2" xfId="19575" hidden="1"/>
    <cellStyle name="Гиперссылка 2" xfId="19576" hidden="1"/>
    <cellStyle name="Гиперссылка 2" xfId="19572" hidden="1"/>
    <cellStyle name="Гиперссылка 2" xfId="19571" hidden="1"/>
    <cellStyle name="Гиперссылка 2" xfId="19574" hidden="1"/>
    <cellStyle name="Гиперссылка 2" xfId="19573" hidden="1"/>
    <cellStyle name="Гиперссылка 2" xfId="19578" hidden="1"/>
    <cellStyle name="Гиперссылка 2" xfId="19577" hidden="1"/>
    <cellStyle name="Гиперссылка 2" xfId="19466" hidden="1"/>
    <cellStyle name="Гиперссылка 2" xfId="18489" hidden="1"/>
    <cellStyle name="Гиперссылка 2" xfId="19259" hidden="1"/>
    <cellStyle name="Гиперссылка 2" xfId="18241" hidden="1"/>
    <cellStyle name="Гиперссылка 2" xfId="19531" hidden="1"/>
    <cellStyle name="Гиперссылка 2" xfId="19548" hidden="1"/>
    <cellStyle name="Гиперссылка 2" xfId="19271" hidden="1"/>
    <cellStyle name="Гиперссылка 2" xfId="19529" hidden="1"/>
    <cellStyle name="Гиперссылка 2" xfId="19580" hidden="1"/>
    <cellStyle name="Гиперссылка 2" xfId="19579" hidden="1"/>
    <cellStyle name="Гиперссылка 2" xfId="19581" hidden="1"/>
    <cellStyle name="Гиперссылка 2" xfId="19582" hidden="1"/>
    <cellStyle name="Гиперссылка 2" xfId="19587" hidden="1"/>
    <cellStyle name="Гиперссылка 2" xfId="19588" hidden="1"/>
    <cellStyle name="Гиперссылка 2" xfId="19584" hidden="1"/>
    <cellStyle name="Гиперссылка 2" xfId="19583" hidden="1"/>
    <cellStyle name="Гиперссылка 2" xfId="19586" hidden="1"/>
    <cellStyle name="Гиперссылка 2" xfId="19585" hidden="1"/>
    <cellStyle name="Гиперссылка 2" xfId="19590" hidden="1"/>
    <cellStyle name="Гиперссылка 2" xfId="19589" hidden="1"/>
    <cellStyle name="Гиперссылка 2" xfId="19591" hidden="1"/>
    <cellStyle name="Гиперссылка 2" xfId="19592" hidden="1"/>
    <cellStyle name="Гиперссылка 2" xfId="19597" hidden="1"/>
    <cellStyle name="Гиперссылка 2" xfId="19598" hidden="1"/>
    <cellStyle name="Гиперссылка 2" xfId="19594" hidden="1"/>
    <cellStyle name="Гиперссылка 2" xfId="19593" hidden="1"/>
    <cellStyle name="Гиперссылка 2" xfId="19596" hidden="1"/>
    <cellStyle name="Гиперссылка 2" xfId="19595" hidden="1"/>
    <cellStyle name="Гиперссылка 2" xfId="19600" hidden="1"/>
    <cellStyle name="Гиперссылка 2" xfId="19599" hidden="1"/>
    <cellStyle name="Гиперссылка 2" xfId="19601" hidden="1"/>
    <cellStyle name="Гиперссылка 2" xfId="19602" hidden="1"/>
    <cellStyle name="Гиперссылка 2" xfId="19607" hidden="1"/>
    <cellStyle name="Гиперссылка 2" xfId="19608" hidden="1"/>
    <cellStyle name="Гиперссылка 2" xfId="19604" hidden="1"/>
    <cellStyle name="Гиперссылка 2" xfId="19603" hidden="1"/>
    <cellStyle name="Гиперссылка 2" xfId="19606" hidden="1"/>
    <cellStyle name="Гиперссылка 2" xfId="19605" hidden="1"/>
    <cellStyle name="Гиперссылка 2" xfId="19610" hidden="1"/>
    <cellStyle name="Гиперссылка 2" xfId="19609" hidden="1"/>
    <cellStyle name="Гиперссылка 2" xfId="17870" hidden="1"/>
    <cellStyle name="Гиперссылка 2" xfId="17785" hidden="1"/>
    <cellStyle name="Гиперссылка 2" xfId="19354" hidden="1"/>
    <cellStyle name="Гиперссылка 2" xfId="18152" hidden="1"/>
    <cellStyle name="Гиперссылка 2" xfId="14683" hidden="1"/>
    <cellStyle name="Гиперссылка 2" xfId="18604" hidden="1"/>
    <cellStyle name="Гиперссылка 2" xfId="19069" hidden="1"/>
    <cellStyle name="Гиперссылка 2" xfId="18407" hidden="1"/>
    <cellStyle name="Гиперссылка 2" xfId="18840" hidden="1"/>
    <cellStyle name="Гиперссылка 2" xfId="17963" hidden="1"/>
    <cellStyle name="Гиперссылка 2" xfId="19484" hidden="1"/>
    <cellStyle name="Гиперссылка 2" xfId="19344" hidden="1"/>
    <cellStyle name="Гиперссылка 2" xfId="19055" hidden="1"/>
    <cellStyle name="Гиперссылка 2" xfId="18182" hidden="1"/>
    <cellStyle name="Гиперссылка 2" xfId="19279" hidden="1"/>
    <cellStyle name="Гиперссылка 2" xfId="19420" hidden="1"/>
    <cellStyle name="Гиперссылка 2" xfId="18293" hidden="1"/>
    <cellStyle name="Гиперссылка 2" xfId="18743" hidden="1"/>
    <cellStyle name="Гиперссылка 2" xfId="18115" hidden="1"/>
    <cellStyle name="Гиперссылка 2" xfId="18041" hidden="1"/>
    <cellStyle name="Гиперссылка 2" xfId="17906" hidden="1"/>
    <cellStyle name="Гиперссылка 2" xfId="18918" hidden="1"/>
    <cellStyle name="Гиперссылка 2" xfId="18148" hidden="1"/>
    <cellStyle name="Гиперссылка 2" xfId="18014" hidden="1"/>
    <cellStyle name="Гиперссылка 2" xfId="18820" hidden="1"/>
    <cellStyle name="Гиперссылка 2" xfId="18468" hidden="1"/>
    <cellStyle name="Гиперссылка 2" xfId="18819" hidden="1"/>
    <cellStyle name="Гиперссылка 2" xfId="18261" hidden="1"/>
    <cellStyle name="Гиперссылка 2" xfId="18284" hidden="1"/>
    <cellStyle name="Гиперссылка 2" xfId="14726" hidden="1"/>
    <cellStyle name="Гиперссылка 2" xfId="18299" hidden="1"/>
    <cellStyle name="Гиперссылка 2" xfId="18570" hidden="1"/>
    <cellStyle name="Гиперссылка 2" xfId="18667" hidden="1"/>
    <cellStyle name="Гиперссылка 2" xfId="17879" hidden="1"/>
    <cellStyle name="Гиперссылка 2" xfId="18550" hidden="1"/>
    <cellStyle name="Гиперссылка 2" xfId="18826" hidden="1"/>
    <cellStyle name="Гиперссылка 2" xfId="18607" hidden="1"/>
    <cellStyle name="Гиперссылка 2" xfId="18158" hidden="1"/>
    <cellStyle name="Гиперссылка 2" xfId="18228" hidden="1"/>
    <cellStyle name="Гиперссылка 2" xfId="17994" hidden="1"/>
    <cellStyle name="Гиперссылка 2" xfId="17970" hidden="1"/>
    <cellStyle name="Гиперссылка 2" xfId="18495" hidden="1"/>
    <cellStyle name="Гиперссылка 2" xfId="18167" hidden="1"/>
    <cellStyle name="Гиперссылка 2" xfId="18272" hidden="1"/>
    <cellStyle name="Гиперссылка 2" xfId="18860" hidden="1"/>
    <cellStyle name="Гиперссылка 2" xfId="18365" hidden="1"/>
    <cellStyle name="Гиперссылка 2" xfId="19413" hidden="1"/>
    <cellStyle name="Гиперссылка 2" xfId="19475" hidden="1"/>
    <cellStyle name="Гиперссылка 2" xfId="14707" hidden="1"/>
    <cellStyle name="Гиперссылка 2" xfId="18363" hidden="1"/>
    <cellStyle name="Гиперссылка 2" xfId="17999" hidden="1"/>
    <cellStyle name="Гиперссылка 2" xfId="18587" hidden="1"/>
    <cellStyle name="Гиперссылка 2" xfId="18930" hidden="1"/>
    <cellStyle name="Гиперссылка 2" xfId="18142" hidden="1"/>
    <cellStyle name="Гиперссылка 2" xfId="17981" hidden="1"/>
    <cellStyle name="Гиперссылка 2" xfId="19010" hidden="1"/>
    <cellStyle name="Гиперссылка 2" xfId="18971" hidden="1"/>
    <cellStyle name="Гиперссылка 2" xfId="18555" hidden="1"/>
    <cellStyle name="Гиперссылка 2" xfId="14698" hidden="1"/>
    <cellStyle name="Гиперссылка 2" xfId="18165" hidden="1"/>
    <cellStyle name="Гиперссылка 2" xfId="19432" hidden="1"/>
    <cellStyle name="Гиперссылка 2" xfId="19292" hidden="1"/>
    <cellStyle name="Гиперссылка 2" xfId="17938" hidden="1"/>
    <cellStyle name="Гиперссылка 2" xfId="18688" hidden="1"/>
    <cellStyle name="Гиперссылка 2" xfId="19416" hidden="1"/>
    <cellStyle name="Гиперссылка 2" xfId="19537" hidden="1"/>
    <cellStyle name="Гиперссылка 2" xfId="19197" hidden="1"/>
    <cellStyle name="Гиперссылка 2" xfId="19274" hidden="1"/>
    <cellStyle name="Гиперссылка 2" xfId="17765" hidden="1"/>
    <cellStyle name="Гиперссылка 2" xfId="14696" hidden="1"/>
    <cellStyle name="Гиперссылка 2" xfId="18926" hidden="1"/>
    <cellStyle name="Гиперссылка 2" xfId="18600" hidden="1"/>
    <cellStyle name="Гиперссылка 2" xfId="19287" hidden="1"/>
    <cellStyle name="Гиперссылка 2" xfId="18977" hidden="1"/>
    <cellStyle name="Гиперссылка 2" xfId="18088" hidden="1"/>
    <cellStyle name="Гиперссылка 2" xfId="18488" hidden="1"/>
    <cellStyle name="Гиперссылка 2" xfId="19427" hidden="1"/>
    <cellStyle name="Гиперссылка 2" xfId="17813" hidden="1"/>
    <cellStyle name="Гиперссылка 2" xfId="19429" hidden="1"/>
    <cellStyle name="Гиперссылка 2" xfId="19492" hidden="1"/>
    <cellStyle name="Гиперссылка 2" xfId="18194" hidden="1"/>
    <cellStyle name="Гиперссылка 2" xfId="19071" hidden="1"/>
    <cellStyle name="Гиперссылка 2" xfId="19345" hidden="1"/>
    <cellStyle name="Гиперссылка 2" xfId="18090" hidden="1"/>
    <cellStyle name="Гиперссылка 2" xfId="18092" hidden="1"/>
    <cellStyle name="Гиперссылка 2" xfId="14718" hidden="1"/>
    <cellStyle name="Гиперссылка 2" xfId="18405" hidden="1"/>
    <cellStyle name="Гиперссылка 2" xfId="18395" hidden="1"/>
    <cellStyle name="Гиперссылка 2" xfId="17777" hidden="1"/>
    <cellStyle name="Гиперссылка 2" xfId="18850" hidden="1"/>
    <cellStyle name="Гиперссылка 2" xfId="18444" hidden="1"/>
    <cellStyle name="Гиперссылка 2" xfId="14703" hidden="1"/>
    <cellStyle name="Гиперссылка 2" xfId="18076" hidden="1"/>
    <cellStyle name="Гиперссылка 2" xfId="17883" hidden="1"/>
    <cellStyle name="Гиперссылка 2" xfId="19376" hidden="1"/>
    <cellStyle name="Гиперссылка 2" xfId="18103" hidden="1"/>
    <cellStyle name="Гиперссылка 2" xfId="17951" hidden="1"/>
    <cellStyle name="Гиперссылка 2" xfId="19226" hidden="1"/>
    <cellStyle name="Гиперссылка 2" xfId="18021" hidden="1"/>
    <cellStyle name="Гиперссылка 2" xfId="17903" hidden="1"/>
    <cellStyle name="Гиперссылка 2" xfId="18687" hidden="1"/>
    <cellStyle name="Гиперссылка 2" xfId="18568" hidden="1"/>
    <cellStyle name="Гиперссылка 2" xfId="17971" hidden="1"/>
    <cellStyle name="Гиперссылка 2" xfId="18896" hidden="1"/>
    <cellStyle name="Гиперссылка 2" xfId="19108" hidden="1"/>
    <cellStyle name="Гиперссылка 2" xfId="18770" hidden="1"/>
    <cellStyle name="Гиперссылка 2" xfId="18084" hidden="1"/>
    <cellStyle name="Гиперссылка 2" xfId="18139" hidden="1"/>
    <cellStyle name="Гиперссылка 2" xfId="17894" hidden="1"/>
    <cellStyle name="Гиперссылка 2" xfId="18777" hidden="1"/>
    <cellStyle name="Гиперссылка 2" xfId="18483" hidden="1"/>
    <cellStyle name="Гиперссылка 2" xfId="18502" hidden="1"/>
    <cellStyle name="Гиперссылка 2" xfId="18412" hidden="1"/>
    <cellStyle name="Гиперссылка 2" xfId="18480" hidden="1"/>
    <cellStyle name="Гиперссылка 2" xfId="18461" hidden="1"/>
    <cellStyle name="Гиперссылка 2" xfId="18675" hidden="1"/>
    <cellStyle name="Гиперссылка 2" xfId="17807" hidden="1"/>
    <cellStyle name="Гиперссылка 2" xfId="18232" hidden="1"/>
    <cellStyle name="Гиперссылка 2" xfId="17792" hidden="1"/>
    <cellStyle name="Гиперссылка 2" xfId="18665" hidden="1"/>
    <cellStyle name="Гиперссылка 2" xfId="18919" hidden="1"/>
    <cellStyle name="Гиперссылка 2" xfId="18983" hidden="1"/>
    <cellStyle name="Гиперссылка 2" xfId="18937" hidden="1"/>
    <cellStyle name="Гиперссылка 2" xfId="18255" hidden="1"/>
    <cellStyle name="Гиперссылка 2" xfId="18189" hidden="1"/>
    <cellStyle name="Гиперссылка 2" xfId="14734" hidden="1"/>
    <cellStyle name="Гиперссылка 2" xfId="19349" hidden="1"/>
    <cellStyle name="Гиперссылка 2" xfId="18897" hidden="1"/>
    <cellStyle name="Гиперссылка 2" xfId="17766" hidden="1"/>
    <cellStyle name="Гиперссылка 2" xfId="18762" hidden="1"/>
    <cellStyle name="Гиперссылка 2" xfId="18602" hidden="1"/>
    <cellStyle name="Гиперссылка 2" xfId="18022" hidden="1"/>
    <cellStyle name="Гиперссылка 2" xfId="19009" hidden="1"/>
    <cellStyle name="Гиперссылка 2" xfId="18776" hidden="1"/>
    <cellStyle name="Гиперссылка 2" xfId="19479" hidden="1"/>
    <cellStyle name="Гиперссылка 2" xfId="19112" hidden="1"/>
    <cellStyle name="Гиперссылка 2" xfId="19272" hidden="1"/>
    <cellStyle name="Гиперссылка 2" xfId="19340" hidden="1"/>
    <cellStyle name="Гиперссылка 2" xfId="18973" hidden="1"/>
    <cellStyle name="Гиперссылка 2" xfId="17889" hidden="1"/>
    <cellStyle name="Гиперссылка 2" xfId="18733" hidden="1"/>
    <cellStyle name="Гиперссылка 2" xfId="18500" hidden="1"/>
    <cellStyle name="Гиперссылка 2" xfId="17816" hidden="1"/>
    <cellStyle name="Гиперссылка 2" xfId="18464" hidden="1"/>
    <cellStyle name="Гиперссылка 2" xfId="18854" hidden="1"/>
    <cellStyle name="Гиперссылка 2" xfId="18451" hidden="1"/>
    <cellStyle name="Гиперссылка 2" xfId="18238" hidden="1"/>
    <cellStyle name="Гиперссылка 2" xfId="17919" hidden="1"/>
    <cellStyle name="Гиперссылка 2" xfId="18298" hidden="1"/>
    <cellStyle name="Гиперссылка 2" xfId="18202" hidden="1"/>
    <cellStyle name="Гиперссылка 2" xfId="18038" hidden="1"/>
    <cellStyle name="Гиперссылка 2" xfId="14709" hidden="1"/>
    <cellStyle name="Гиперссылка 2" xfId="18289" hidden="1"/>
    <cellStyle name="Гиперссылка 2" xfId="18239" hidden="1"/>
    <cellStyle name="Гиперссылка 2" xfId="19113" hidden="1"/>
    <cellStyle name="Гиперссылка 2" xfId="18367" hidden="1"/>
    <cellStyle name="Гиперссылка 2" xfId="17946" hidden="1"/>
    <cellStyle name="Гиперссылка 2" xfId="18309" hidden="1"/>
    <cellStyle name="Гиперссылка 2" xfId="17865" hidden="1"/>
    <cellStyle name="Гиперссылка 2" xfId="18032" hidden="1"/>
    <cellStyle name="Гиперссылка 2" xfId="18031" hidden="1"/>
    <cellStyle name="Гиперссылка 2" xfId="19250" hidden="1"/>
    <cellStyle name="Гиперссылка 2" xfId="18984" hidden="1"/>
    <cellStyle name="Гиперссылка 2" xfId="18935" hidden="1"/>
    <cellStyle name="Гиперссылка 2" xfId="18215" hidden="1"/>
    <cellStyle name="Гиперссылка 2" xfId="19263" hidden="1"/>
    <cellStyle name="Гиперссылка 2" xfId="18730" hidden="1"/>
    <cellStyle name="Гиперссылка 2" xfId="18133" hidden="1"/>
    <cellStyle name="Гиперссылка 2" xfId="18265" hidden="1"/>
    <cellStyle name="Гиперссылка 2" xfId="19062" hidden="1"/>
    <cellStyle name="Гиперссылка 2" xfId="19417" hidden="1"/>
    <cellStyle name="Гиперссылка 2" xfId="19276" hidden="1"/>
    <cellStyle name="Гиперссылка 2" xfId="14729" hidden="1"/>
    <cellStyle name="Гиперссылка 2" xfId="17914" hidden="1"/>
    <cellStyle name="Гиперссылка 2" xfId="14721" hidden="1"/>
    <cellStyle name="Гиперссылка 2" xfId="14723" hidden="1"/>
    <cellStyle name="Гиперссылка 2" xfId="14742" hidden="1"/>
    <cellStyle name="Гиперссылка 2" xfId="17978" hidden="1"/>
    <cellStyle name="Гиперссылка 2" xfId="14722" hidden="1"/>
    <cellStyle name="Гиперссылка 2" xfId="17826" hidden="1"/>
    <cellStyle name="Гиперссылка 2" xfId="18119" hidden="1"/>
    <cellStyle name="Гиперссылка 2" xfId="18281" hidden="1"/>
    <cellStyle name="Гиперссылка 2" xfId="19539" hidden="1"/>
    <cellStyle name="Гиперссылка 2" xfId="19419" hidden="1"/>
    <cellStyle name="Гиперссылка 2" xfId="17781" hidden="1"/>
    <cellStyle name="Гиперссылка 2" xfId="18146" hidden="1"/>
    <cellStyle name="Гиперссылка 2" xfId="18018" hidden="1"/>
    <cellStyle name="Гиперссылка 2" xfId="18928" hidden="1"/>
    <cellStyle name="Гиперссылка 2" xfId="17837" hidden="1"/>
    <cellStyle name="Гиперссылка 2" xfId="17967" hidden="1"/>
    <cellStyle name="Гиперссылка 2" xfId="18192" hidden="1"/>
    <cellStyle name="Гиперссылка 2" xfId="17841" hidden="1"/>
    <cellStyle name="Гиперссылка 2" xfId="17878" hidden="1"/>
    <cellStyle name="Гиперссылка 2" xfId="19056" hidden="1"/>
    <cellStyle name="Гиперссылка 2" xfId="18280" hidden="1"/>
    <cellStyle name="Гиперссылка 2" xfId="18270" hidden="1"/>
    <cellStyle name="Гиперссылка 2" xfId="18250" hidden="1"/>
    <cellStyle name="Гиперссылка 2" xfId="18657" hidden="1"/>
    <cellStyle name="Гиперссылка 2" xfId="18024" hidden="1"/>
    <cellStyle name="Гиперссылка 2" xfId="17897" hidden="1"/>
    <cellStyle name="Гиперссылка 2" xfId="18171" hidden="1"/>
    <cellStyle name="Гиперссылка 2" xfId="17847" hidden="1"/>
    <cellStyle name="Гиперссылка 2" xfId="18731" hidden="1"/>
    <cellStyle name="Гиперссылка 2" xfId="18423" hidden="1"/>
    <cellStyle name="Гиперссылка 2" xfId="19482" hidden="1"/>
    <cellStyle name="Гиперссылка 2" xfId="17932" hidden="1"/>
    <cellStyle name="Гиперссылка 2" xfId="14741" hidden="1"/>
    <cellStyle name="Гиперссылка 2" xfId="19486" hidden="1"/>
    <cellStyle name="Гиперссылка 2" xfId="18004" hidden="1"/>
    <cellStyle name="Гиперссылка 2" xfId="17875" hidden="1"/>
    <cellStyle name="Гиперссылка 2" xfId="19507" hidden="1"/>
    <cellStyle name="Гиперссылка 2" xfId="19377" hidden="1"/>
    <cellStyle name="Гиперссылка 2" xfId="17965" hidden="1"/>
    <cellStyle name="Гиперссылка 2" xfId="17941" hidden="1"/>
    <cellStyle name="Гиперссылка 2" xfId="18759" hidden="1"/>
    <cellStyle name="Гиперссылка 2" xfId="18510" hidden="1"/>
    <cellStyle name="Гиперссылка 2" xfId="18990" hidden="1"/>
    <cellStyle name="Гиперссылка 2" xfId="18161" hidden="1"/>
    <cellStyle name="Гиперссылка 2" xfId="18559" hidden="1"/>
    <cellStyle name="Гиперссылка 2" xfId="18243" hidden="1"/>
    <cellStyle name="Гиперссылка 2" xfId="18178" hidden="1"/>
    <cellStyle name="Гиперссылка 2" xfId="18907" hidden="1"/>
    <cellStyle name="Гиперссылка 2" xfId="17824" hidden="1"/>
    <cellStyle name="Гиперссылка 2" xfId="19540" hidden="1"/>
    <cellStyle name="Гиперссылка 2" xfId="18174" hidden="1"/>
    <cellStyle name="Гиперссылка 2" xfId="18821" hidden="1"/>
    <cellStyle name="Гиперссылка 2" xfId="18505" hidden="1"/>
    <cellStyle name="Гиперссылка 2" xfId="17858" hidden="1"/>
    <cellStyle name="Гиперссылка 2" xfId="19278" hidden="1"/>
    <cellStyle name="Гиперссылка 2" xfId="19346" hidden="1"/>
    <cellStyle name="Гиперссылка 2" xfId="18732" hidden="1"/>
    <cellStyle name="Гиперссылка 2" xfId="18666" hidden="1"/>
    <cellStyle name="Гиперссылка 2" xfId="18475" hidden="1"/>
    <cellStyle name="Гиперссылка 2" xfId="18902" hidden="1"/>
    <cellStyle name="Гиперссылка 2" xfId="18833" hidden="1"/>
    <cellStyle name="Гиперссылка 2" xfId="18844" hidden="1"/>
    <cellStyle name="Гиперссылка 2" xfId="18831" hidden="1"/>
    <cellStyle name="Гиперссылка 2" xfId="18382" hidden="1"/>
    <cellStyle name="Гиперссылка 2" xfId="18240" hidden="1"/>
    <cellStyle name="Гиперссылка 2" xfId="18266" hidden="1"/>
    <cellStyle name="Гиперссылка 2" xfId="19421" hidden="1"/>
    <cellStyle name="Гиперссылка 2" xfId="19473" hidden="1"/>
    <cellStyle name="Гиперссылка 2" xfId="18744" hidden="1"/>
    <cellStyle name="Гиперссылка 2" xfId="18121" hidden="1"/>
    <cellStyle name="Гиперссылка 2" xfId="19547" hidden="1"/>
    <cellStyle name="Гиперссылка 2" xfId="18911" hidden="1"/>
    <cellStyle name="Гиперссылка 2" xfId="19426" hidden="1"/>
    <cellStyle name="Гиперссылка 2" xfId="17850" hidden="1"/>
    <cellStyle name="Гиперссылка 2" xfId="19621" hidden="1"/>
    <cellStyle name="Гиперссылка 2" xfId="19620" hidden="1"/>
    <cellStyle name="Гиперссылка 2" xfId="19628" hidden="1"/>
    <cellStyle name="Гиперссылка 2" xfId="19629" hidden="1"/>
    <cellStyle name="Гиперссылка 2" xfId="19634" hidden="1"/>
    <cellStyle name="Гиперссылка 2" xfId="19635" hidden="1"/>
    <cellStyle name="Гиперссылка 2" xfId="19631" hidden="1"/>
    <cellStyle name="Гиперссылка 2" xfId="19630" hidden="1"/>
    <cellStyle name="Гиперссылка 2" xfId="19633" hidden="1"/>
    <cellStyle name="Гиперссылка 2" xfId="19632" hidden="1"/>
    <cellStyle name="Гиперссылка 2" xfId="19637" hidden="1"/>
    <cellStyle name="Гиперссылка 2" xfId="19636" hidden="1"/>
    <cellStyle name="Гиперссылка 2" xfId="19640" hidden="1"/>
    <cellStyle name="Гиперссылка 2" xfId="19641" hidden="1"/>
    <cellStyle name="Гиперссылка 2" xfId="19646" hidden="1"/>
    <cellStyle name="Гиперссылка 2" xfId="19647" hidden="1"/>
    <cellStyle name="Гиперссылка 2" xfId="19643" hidden="1"/>
    <cellStyle name="Гиперссылка 2" xfId="19642" hidden="1"/>
    <cellStyle name="Гиперссылка 2" xfId="19645" hidden="1"/>
    <cellStyle name="Гиперссылка 2" xfId="19644" hidden="1"/>
    <cellStyle name="Гиперссылка 2" xfId="19649" hidden="1"/>
    <cellStyle name="Гиперссылка 2" xfId="19648" hidden="1"/>
    <cellStyle name="Гиперссылка 2" xfId="19650" hidden="1"/>
    <cellStyle name="Гиперссылка 2" xfId="19651" hidden="1"/>
    <cellStyle name="Гиперссылка 2" xfId="19656" hidden="1"/>
    <cellStyle name="Гиперссылка 2" xfId="19657" hidden="1"/>
    <cellStyle name="Гиперссылка 2" xfId="19653" hidden="1"/>
    <cellStyle name="Гиперссылка 2" xfId="19652" hidden="1"/>
    <cellStyle name="Гиперссылка 2" xfId="19655" hidden="1"/>
    <cellStyle name="Гиперссылка 2" xfId="19654" hidden="1"/>
    <cellStyle name="Гиперссылка 2" xfId="19659" hidden="1"/>
    <cellStyle name="Гиперссылка 2" xfId="19658" hidden="1"/>
    <cellStyle name="Гиперссылка 2" xfId="18190" hidden="1"/>
    <cellStyle name="Гиперссылка 2" xfId="17863" hidden="1"/>
    <cellStyle name="Гиперссылка 2" xfId="19106" hidden="1"/>
    <cellStyle name="Гиперссылка 2" xfId="17918" hidden="1"/>
    <cellStyle name="Гиперссылка 2" xfId="19324" hidden="1"/>
    <cellStyle name="Гиперссылка 2" xfId="19624" hidden="1"/>
    <cellStyle name="Гиперссылка 2" xfId="18723" hidden="1"/>
    <cellStyle name="Гиперссылка 2" xfId="18683" hidden="1"/>
    <cellStyle name="Гиперссылка 2" xfId="19691" hidden="1"/>
    <cellStyle name="Гиперссылка 2" xfId="19690" hidden="1"/>
    <cellStyle name="Гиперссылка 2" xfId="19699" hidden="1"/>
    <cellStyle name="Гиперссылка 2" xfId="19700" hidden="1"/>
    <cellStyle name="Гиперссылка 2" xfId="19705" hidden="1"/>
    <cellStyle name="Гиперссылка 2" xfId="19706" hidden="1"/>
    <cellStyle name="Гиперссылка 2" xfId="19702" hidden="1"/>
    <cellStyle name="Гиперссылка 2" xfId="19701" hidden="1"/>
    <cellStyle name="Гиперссылка 2" xfId="19704" hidden="1"/>
    <cellStyle name="Гиперссылка 2" xfId="19703" hidden="1"/>
    <cellStyle name="Гиперссылка 2" xfId="19708" hidden="1"/>
    <cellStyle name="Гиперссылка 2" xfId="19707" hidden="1"/>
    <cellStyle name="Гиперссылка 2" xfId="19709" hidden="1"/>
    <cellStyle name="Гиперссылка 2" xfId="19710" hidden="1"/>
    <cellStyle name="Гиперссылка 2" xfId="19715" hidden="1"/>
    <cellStyle name="Гиперссылка 2" xfId="19716" hidden="1"/>
    <cellStyle name="Гиперссылка 2" xfId="19712" hidden="1"/>
    <cellStyle name="Гиперссылка 2" xfId="19711" hidden="1"/>
    <cellStyle name="Гиперссылка 2" xfId="19714" hidden="1"/>
    <cellStyle name="Гиперссылка 2" xfId="19713" hidden="1"/>
    <cellStyle name="Гиперссылка 2" xfId="19718" hidden="1"/>
    <cellStyle name="Гиперссылка 2" xfId="19717" hidden="1"/>
    <cellStyle name="Гиперссылка 2" xfId="19719" hidden="1"/>
    <cellStyle name="Гиперссылка 2" xfId="19720" hidden="1"/>
    <cellStyle name="Гиперссылка 2" xfId="19725" hidden="1"/>
    <cellStyle name="Гиперссылка 2" xfId="19726" hidden="1"/>
    <cellStyle name="Гиперссылка 2" xfId="19722" hidden="1"/>
    <cellStyle name="Гиперссылка 2" xfId="19721" hidden="1"/>
    <cellStyle name="Гиперссылка 2" xfId="19724" hidden="1"/>
    <cellStyle name="Гиперссылка 2" xfId="19723" hidden="1"/>
    <cellStyle name="Гиперссылка 2" xfId="19728" hidden="1"/>
    <cellStyle name="Гиперссылка 2" xfId="19727" hidden="1"/>
    <cellStyle name="Гиперссылка 2" xfId="17969" hidden="1"/>
    <cellStyle name="Гиперссылка 2" xfId="18594" hidden="1"/>
    <cellStyle name="Гиперссылка 2" xfId="18583" hidden="1"/>
    <cellStyle name="Гиперссылка 2" xfId="19425" hidden="1"/>
    <cellStyle name="Гиперссылка 2" xfId="19671" hidden="1"/>
    <cellStyle name="Гиперссылка 2" xfId="19696" hidden="1"/>
    <cellStyle name="Гиперссылка 2" xfId="18141" hidden="1"/>
    <cellStyle name="Гиперссылка 2" xfId="19662" hidden="1"/>
    <cellStyle name="Гиперссылка 2" xfId="19753" hidden="1"/>
    <cellStyle name="Гиперссылка 2" xfId="19752" hidden="1"/>
    <cellStyle name="Гиперссылка 2" xfId="19761" hidden="1"/>
    <cellStyle name="Гиперссылка 2" xfId="19762" hidden="1"/>
    <cellStyle name="Гиперссылка 2" xfId="19767" hidden="1"/>
    <cellStyle name="Гиперссылка 2" xfId="19768" hidden="1"/>
    <cellStyle name="Гиперссылка 2" xfId="19764" hidden="1"/>
    <cellStyle name="Гиперссылка 2" xfId="19763" hidden="1"/>
    <cellStyle name="Гиперссылка 2" xfId="19766" hidden="1"/>
    <cellStyle name="Гиперссылка 2" xfId="19765" hidden="1"/>
    <cellStyle name="Гиперссылка 2" xfId="19770" hidden="1"/>
    <cellStyle name="Гиперссылка 2" xfId="19769" hidden="1"/>
    <cellStyle name="Гиперссылка 2" xfId="19773" hidden="1"/>
    <cellStyle name="Гиперссылка 2" xfId="19774" hidden="1"/>
    <cellStyle name="Гиперссылка 2" xfId="19779" hidden="1"/>
    <cellStyle name="Гиперссылка 2" xfId="19780" hidden="1"/>
    <cellStyle name="Гиперссылка 2" xfId="19776" hidden="1"/>
    <cellStyle name="Гиперссылка 2" xfId="19775" hidden="1"/>
    <cellStyle name="Гиперссылка 2" xfId="19778" hidden="1"/>
    <cellStyle name="Гиперссылка 2" xfId="19777" hidden="1"/>
    <cellStyle name="Гиперссылка 2" xfId="19782" hidden="1"/>
    <cellStyle name="Гиперссылка 2" xfId="19781" hidden="1"/>
    <cellStyle name="Гиперссылка 2" xfId="19783" hidden="1"/>
    <cellStyle name="Гиперссылка 2" xfId="19784" hidden="1"/>
    <cellStyle name="Гиперссылка 2" xfId="19789" hidden="1"/>
    <cellStyle name="Гиперссылка 2" xfId="19790" hidden="1"/>
    <cellStyle name="Гиперссылка 2" xfId="19786" hidden="1"/>
    <cellStyle name="Гиперссылка 2" xfId="19785" hidden="1"/>
    <cellStyle name="Гиперссылка 2" xfId="19788" hidden="1"/>
    <cellStyle name="Гиперссылка 2" xfId="19787" hidden="1"/>
    <cellStyle name="Гиперссылка 2" xfId="19792" hidden="1"/>
    <cellStyle name="Гиперссылка 2" xfId="19791" hidden="1"/>
    <cellStyle name="Гиперссылка 2" xfId="19663" hidden="1"/>
    <cellStyle name="Гиперссылка 2" xfId="19193" hidden="1"/>
    <cellStyle name="Гиперссылка 2" xfId="14688" hidden="1"/>
    <cellStyle name="Гиперссылка 2" xfId="18385" hidden="1"/>
    <cellStyle name="Гиперссылка 2" xfId="19737" hidden="1"/>
    <cellStyle name="Гиперссылка 2" xfId="19756" hidden="1"/>
    <cellStyle name="Гиперссылка 2" xfId="19270" hidden="1"/>
    <cellStyle name="Гиперссылка 2" xfId="19731" hidden="1"/>
    <cellStyle name="Гиперссылка 2" xfId="19816" hidden="1"/>
    <cellStyle name="Гиперссылка 2" xfId="19815" hidden="1"/>
    <cellStyle name="Гиперссылка 2" xfId="19825" hidden="1"/>
    <cellStyle name="Гиперссылка 2" xfId="19826" hidden="1"/>
    <cellStyle name="Гиперссылка 2" xfId="19832" hidden="1"/>
    <cellStyle name="Гиперссылка 2" xfId="19833" hidden="1"/>
    <cellStyle name="Гиперссылка 2" xfId="19829" hidden="1"/>
    <cellStyle name="Гиперссылка 2" xfId="19828" hidden="1"/>
    <cellStyle name="Гиперссылка 2" xfId="19831" hidden="1"/>
    <cellStyle name="Гиперссылка 2" xfId="19830" hidden="1"/>
    <cellStyle name="Гиперссылка 2" xfId="19835" hidden="1"/>
    <cellStyle name="Гиперссылка 2" xfId="19834" hidden="1"/>
    <cellStyle name="Гиперссылка 2" xfId="19836" hidden="1"/>
    <cellStyle name="Гиперссылка 2" xfId="19837" hidden="1"/>
    <cellStyle name="Гиперссылка 2" xfId="19842" hidden="1"/>
    <cellStyle name="Гиперссылка 2" xfId="19843" hidden="1"/>
    <cellStyle name="Гиперссылка 2" xfId="19839" hidden="1"/>
    <cellStyle name="Гиперссылка 2" xfId="19838" hidden="1"/>
    <cellStyle name="Гиперссылка 2" xfId="19841" hidden="1"/>
    <cellStyle name="Гиперссылка 2" xfId="19840" hidden="1"/>
    <cellStyle name="Гиперссылка 2" xfId="19845" hidden="1"/>
    <cellStyle name="Гиперссылка 2" xfId="19844" hidden="1"/>
    <cellStyle name="Гиперссылка 2" xfId="19846" hidden="1"/>
    <cellStyle name="Гиперссылка 2" xfId="19847" hidden="1"/>
    <cellStyle name="Гиперссылка 2" xfId="19852" hidden="1"/>
    <cellStyle name="Гиперссылка 2" xfId="19853" hidden="1"/>
    <cellStyle name="Гиперссылка 2" xfId="19849" hidden="1"/>
    <cellStyle name="Гиперссылка 2" xfId="19848" hidden="1"/>
    <cellStyle name="Гиперссылка 2" xfId="19851" hidden="1"/>
    <cellStyle name="Гиперссылка 2" xfId="19850" hidden="1"/>
    <cellStyle name="Гиперссылка 2" xfId="19855" hidden="1"/>
    <cellStyle name="Гиперссылка 2" xfId="19854" hidden="1"/>
    <cellStyle name="Гиперссылка 2" xfId="19732" hidden="1"/>
    <cellStyle name="Гиперссылка 2" xfId="18187" hidden="1"/>
    <cellStyle name="Гиперссылка 2" xfId="17860" hidden="1"/>
    <cellStyle name="Гиперссылка 2" xfId="14699" hidden="1"/>
    <cellStyle name="Гиперссылка 2" xfId="19799" hidden="1"/>
    <cellStyle name="Гиперссылка 2" xfId="19821" hidden="1"/>
    <cellStyle name="Гиперссылка 2" xfId="19361" hidden="1"/>
    <cellStyle name="Гиперссылка 2" xfId="19794" hidden="1"/>
    <cellStyle name="Гиперссылка 2" xfId="19874" hidden="1"/>
    <cellStyle name="Гиперссылка 2" xfId="19873" hidden="1"/>
    <cellStyle name="Гиперссылка 2" xfId="19883" hidden="1"/>
    <cellStyle name="Гиперссылка 2" xfId="19884" hidden="1"/>
    <cellStyle name="Гиперссылка 2" xfId="19889" hidden="1"/>
    <cellStyle name="Гиперссылка 2" xfId="19890" hidden="1"/>
    <cellStyle name="Гиперссылка 2" xfId="19886" hidden="1"/>
    <cellStyle name="Гиперссылка 2" xfId="19885" hidden="1"/>
    <cellStyle name="Гиперссылка 2" xfId="19888" hidden="1"/>
    <cellStyle name="Гиперссылка 2" xfId="19887" hidden="1"/>
    <cellStyle name="Гиперссылка 2" xfId="19892" hidden="1"/>
    <cellStyle name="Гиперссылка 2" xfId="19891" hidden="1"/>
    <cellStyle name="Гиперссылка 2" xfId="19894" hidden="1"/>
    <cellStyle name="Гиперссылка 2" xfId="19895" hidden="1"/>
    <cellStyle name="Гиперссылка 2" xfId="19900" hidden="1"/>
    <cellStyle name="Гиперссылка 2" xfId="19901" hidden="1"/>
    <cellStyle name="Гиперссылка 2" xfId="19897" hidden="1"/>
    <cellStyle name="Гиперссылка 2" xfId="19896" hidden="1"/>
    <cellStyle name="Гиперссылка 2" xfId="19899" hidden="1"/>
    <cellStyle name="Гиперссылка 2" xfId="19898" hidden="1"/>
    <cellStyle name="Гиперссылка 2" xfId="19903" hidden="1"/>
    <cellStyle name="Гиперссылка 2" xfId="19902" hidden="1"/>
    <cellStyle name="Гиперссылка 2" xfId="19904" hidden="1"/>
    <cellStyle name="Гиперссылка 2" xfId="19905" hidden="1"/>
    <cellStyle name="Гиперссылка 2" xfId="19910" hidden="1"/>
    <cellStyle name="Гиперссылка 2" xfId="19911" hidden="1"/>
    <cellStyle name="Гиперссылка 2" xfId="19907" hidden="1"/>
    <cellStyle name="Гиперссылка 2" xfId="19906" hidden="1"/>
    <cellStyle name="Гиперссылка 2" xfId="19909" hidden="1"/>
    <cellStyle name="Гиперссылка 2" xfId="19908" hidden="1"/>
    <cellStyle name="Гиперссылка 2" xfId="19913" hidden="1"/>
    <cellStyle name="Гиперссылка 2" xfId="19912" hidden="1"/>
    <cellStyle name="Гиперссылка 2" xfId="19795" hidden="1"/>
    <cellStyle name="Гиперссылка 2" xfId="19261" hidden="1"/>
    <cellStyle name="Гиперссылка 2" xfId="18462" hidden="1"/>
    <cellStyle name="Гиперссылка 2" xfId="18394" hidden="1"/>
    <cellStyle name="Гиперссылка 2" xfId="19860" hidden="1"/>
    <cellStyle name="Гиперссылка 2" xfId="19881" hidden="1"/>
    <cellStyle name="Гиперссылка 2" xfId="19611" hidden="1"/>
    <cellStyle name="Гиперссылка 2" xfId="19858" hidden="1"/>
    <cellStyle name="Гиперссылка 2" xfId="19932" hidden="1"/>
    <cellStyle name="Гиперссылка 2" xfId="19931" hidden="1"/>
    <cellStyle name="Гиперссылка 2" xfId="19939" hidden="1"/>
    <cellStyle name="Гиперссылка 2" xfId="19940" hidden="1"/>
    <cellStyle name="Гиперссылка 2" xfId="19945" hidden="1"/>
    <cellStyle name="Гиперссылка 2" xfId="19946" hidden="1"/>
    <cellStyle name="Гиперссылка 2" xfId="19942" hidden="1"/>
    <cellStyle name="Гиперссылка 2" xfId="19941" hidden="1"/>
    <cellStyle name="Гиперссылка 2" xfId="19944" hidden="1"/>
    <cellStyle name="Гиперссылка 2" xfId="19943" hidden="1"/>
    <cellStyle name="Гиперссылка 2" xfId="19948" hidden="1"/>
    <cellStyle name="Гиперссылка 2" xfId="19947" hidden="1"/>
    <cellStyle name="Гиперссылка 2" xfId="19949" hidden="1"/>
    <cellStyle name="Гиперссылка 2" xfId="19950" hidden="1"/>
    <cellStyle name="Гиперссылка 2" xfId="19955" hidden="1"/>
    <cellStyle name="Гиперссылка 2" xfId="19956" hidden="1"/>
    <cellStyle name="Гиперссылка 2" xfId="19952" hidden="1"/>
    <cellStyle name="Гиперссылка 2" xfId="19951" hidden="1"/>
    <cellStyle name="Гиперссылка 2" xfId="19954" hidden="1"/>
    <cellStyle name="Гиперссылка 2" xfId="19953" hidden="1"/>
    <cellStyle name="Гиперссылка 2" xfId="19958" hidden="1"/>
    <cellStyle name="Гиперссылка 2" xfId="19957" hidden="1"/>
    <cellStyle name="Гиперссылка 2" xfId="19959" hidden="1"/>
    <cellStyle name="Гиперссылка 2" xfId="19960" hidden="1"/>
    <cellStyle name="Гиперссылка 2" xfId="19965" hidden="1"/>
    <cellStyle name="Гиперссылка 2" xfId="19966" hidden="1"/>
    <cellStyle name="Гиперссылка 2" xfId="19962" hidden="1"/>
    <cellStyle name="Гиперссылка 2" xfId="19961" hidden="1"/>
    <cellStyle name="Гиперссылка 2" xfId="19964" hidden="1"/>
    <cellStyle name="Гиперссылка 2" xfId="19963" hidden="1"/>
    <cellStyle name="Гиперссылка 2" xfId="19968" hidden="1"/>
    <cellStyle name="Гиперссылка 2" xfId="19967" hidden="1"/>
    <cellStyle name="Гиперссылка 2" xfId="19859" hidden="1"/>
    <cellStyle name="Гиперссылка 2" xfId="19119" hidden="1"/>
    <cellStyle name="Гиперссылка 2" xfId="19667" hidden="1"/>
    <cellStyle name="Гиперссылка 2" xfId="18205" hidden="1"/>
    <cellStyle name="Гиперссылка 2" xfId="19916" hidden="1"/>
    <cellStyle name="Гиперссылка 2" xfId="19937" hidden="1"/>
    <cellStyle name="Гиперссылка 2" xfId="19680" hidden="1"/>
    <cellStyle name="Гиперссылка 2" xfId="19914" hidden="1"/>
    <cellStyle name="Гиперссылка 2" xfId="19970" hidden="1"/>
    <cellStyle name="Гиперссылка 2" xfId="19969" hidden="1"/>
    <cellStyle name="Гиперссылка 2" xfId="19971" hidden="1"/>
    <cellStyle name="Гиперссылка 2" xfId="19972" hidden="1"/>
    <cellStyle name="Гиперссылка 2" xfId="19977" hidden="1"/>
    <cellStyle name="Гиперссылка 2" xfId="19978" hidden="1"/>
    <cellStyle name="Гиперссылка 2" xfId="19974" hidden="1"/>
    <cellStyle name="Гиперссылка 2" xfId="19973" hidden="1"/>
    <cellStyle name="Гиперссылка 2" xfId="19976" hidden="1"/>
    <cellStyle name="Гиперссылка 2" xfId="19975" hidden="1"/>
    <cellStyle name="Гиперссылка 2" xfId="19980" hidden="1"/>
    <cellStyle name="Гиперссылка 2" xfId="19979" hidden="1"/>
    <cellStyle name="Гиперссылка 2" xfId="19981" hidden="1"/>
    <cellStyle name="Гиперссылка 2" xfId="19982" hidden="1"/>
    <cellStyle name="Гиперссылка 2" xfId="19987" hidden="1"/>
    <cellStyle name="Гиперссылка 2" xfId="19988" hidden="1"/>
    <cellStyle name="Гиперссылка 2" xfId="19984" hidden="1"/>
    <cellStyle name="Гиперссылка 2" xfId="19983" hidden="1"/>
    <cellStyle name="Гиперссылка 2" xfId="19986" hidden="1"/>
    <cellStyle name="Гиперссылка 2" xfId="19985" hidden="1"/>
    <cellStyle name="Гиперссылка 2" xfId="19990" hidden="1"/>
    <cellStyle name="Гиперссылка 2" xfId="19989" hidden="1"/>
    <cellStyle name="Гиперссылка 2" xfId="19991" hidden="1"/>
    <cellStyle name="Гиперссылка 2" xfId="19992" hidden="1"/>
    <cellStyle name="Гиперссылка 2" xfId="19997" hidden="1"/>
    <cellStyle name="Гиперссылка 2" xfId="19998" hidden="1"/>
    <cellStyle name="Гиперссылка 2" xfId="19994" hidden="1"/>
    <cellStyle name="Гиперссылка 2" xfId="19993" hidden="1"/>
    <cellStyle name="Гиперссылка 2" xfId="19996" hidden="1"/>
    <cellStyle name="Гиперссылка 2" xfId="19995" hidden="1"/>
    <cellStyle name="Гиперссылка 2" xfId="20000" hidden="1"/>
    <cellStyle name="Гиперссылка 2" xfId="19999" hidden="1"/>
    <cellStyle name="Гиперссылка 2" xfId="18373" hidden="1"/>
    <cellStyle name="Гиперссылка 2" xfId="17920" hidden="1"/>
    <cellStyle name="Гиперссылка 2" xfId="19755" hidden="1"/>
    <cellStyle name="Гиперссылка 2" xfId="17915" hidden="1"/>
    <cellStyle name="Гиперссылка 2" xfId="17922" hidden="1"/>
    <cellStyle name="Гиперссылка 2" xfId="17862" hidden="1"/>
    <cellStyle name="Гиперссылка 2" xfId="19491" hidden="1"/>
    <cellStyle name="Гиперссылка 2" xfId="18374" hidden="1"/>
    <cellStyle name="Гиперссылка 2" xfId="19277" hidden="1"/>
    <cellStyle name="Гиперссылка 2" xfId="18756" hidden="1"/>
    <cellStyle name="Гиперссылка 2" xfId="19870" hidden="1"/>
    <cellStyle name="Гиперссылка 2" xfId="19747" hidden="1"/>
    <cellStyle name="Гиперссылка 2" xfId="19480" hidden="1"/>
    <cellStyle name="Гиперссылка 2" xfId="17771" hidden="1"/>
    <cellStyle name="Гиперссылка 2" xfId="19686" hidden="1"/>
    <cellStyle name="Гиперссылка 2" xfId="19813" hidden="1"/>
    <cellStyle name="Гиперссылка 2" xfId="18006" hidden="1"/>
    <cellStyle name="Гиперссылка 2" xfId="17761" hidden="1"/>
    <cellStyle name="Гиперссылка 2" xfId="18467" hidden="1"/>
    <cellStyle name="Гиперссылка 2" xfId="18584" hidden="1"/>
    <cellStyle name="Гиперссылка 2" xfId="17783" hidden="1"/>
    <cellStyle name="Гиперссылка 2" xfId="19347" hidden="1"/>
    <cellStyle name="Гиперссылка 2" xfId="17948" hidden="1"/>
    <cellStyle name="Гиперссылка 2" xfId="17779" hidden="1"/>
    <cellStyle name="Гиперссылка 2" xfId="19256" hidden="1"/>
    <cellStyle name="Гиперссылка 2" xfId="17819" hidden="1"/>
    <cellStyle name="Гиперссылка 2" xfId="19255" hidden="1"/>
    <cellStyle name="Гиперссылка 2" xfId="18446" hidden="1"/>
    <cellStyle name="Гиперссылка 2" xfId="18768" hidden="1"/>
    <cellStyle name="Гиперссылка 2" xfId="17909" hidden="1"/>
    <cellStyle name="Гиперссылка 2" xfId="18996" hidden="1"/>
    <cellStyle name="Гиперссылка 2" xfId="18908" hidden="1"/>
    <cellStyle name="Гиперссылка 2" xfId="18258" hidden="1"/>
    <cellStyle name="Гиперссылка 2" xfId="18741" hidden="1"/>
    <cellStyle name="Гиперссылка 2" xfId="18760" hidden="1"/>
    <cellStyle name="Гиперссылка 2" xfId="19262" hidden="1"/>
    <cellStyle name="Гиперссылка 2" xfId="17780" hidden="1"/>
    <cellStyle name="Гиперссылка 2" xfId="17900" hidden="1"/>
    <cellStyle name="Гиперссылка 2" xfId="17892" hidden="1"/>
    <cellStyle name="Гиперссылка 2" xfId="18271" hidden="1"/>
    <cellStyle name="Гиперссылка 2" xfId="18678" hidden="1"/>
    <cellStyle name="Гиперссылка 2" xfId="18110" hidden="1"/>
    <cellStyle name="Гиперссылка 2" xfId="18459" hidden="1"/>
    <cellStyle name="Гиперссылка 2" xfId="18170" hidden="1"/>
    <cellStyle name="Гиперссылка 2" xfId="19293" hidden="1"/>
    <cellStyle name="Гиперссылка 2" xfId="17917" hidden="1"/>
    <cellStyle name="Гиперссылка 2" xfId="19805" hidden="1"/>
    <cellStyle name="Гиперссылка 2" xfId="19866" hidden="1"/>
    <cellStyle name="Гиперссылка 2" xfId="17853" hidden="1"/>
    <cellStyle name="Гиперссылка 2" xfId="14685" hidden="1"/>
    <cellStyle name="Гиперссылка 2" xfId="17925" hidden="1"/>
    <cellStyle name="Гиперссылка 2" xfId="18408" hidden="1"/>
    <cellStyle name="Гиперссылка 2" xfId="19356" hidden="1"/>
    <cellStyle name="Гиперссылка 2" xfId="18738" hidden="1"/>
    <cellStyle name="Гиперссылка 2" xfId="17923" hidden="1"/>
    <cellStyle name="Гиперссылка 2" xfId="19434" hidden="1"/>
    <cellStyle name="Гиперссылка 2" xfId="19399" hidden="1"/>
    <cellStyle name="Гиперссылка 2" xfId="18149" hidden="1"/>
    <cellStyle name="Гиперссылка 2" xfId="17982" hidden="1"/>
    <cellStyle name="Гиперссылка 2" xfId="18736" hidden="1"/>
    <cellStyle name="Гиперссылка 2" xfId="19822" hidden="1"/>
    <cellStyle name="Гиперссылка 2" xfId="19697" hidden="1"/>
    <cellStyle name="Гиперссылка 2" xfId="18906" hidden="1"/>
    <cellStyle name="Гиперссылка 2" xfId="18619" hidden="1"/>
    <cellStyle name="Гиперссылка 2" xfId="19806" hidden="1"/>
    <cellStyle name="Гиперссылка 2" xfId="19922" hidden="1"/>
    <cellStyle name="Гиперссылка 2" xfId="19614" hidden="1"/>
    <cellStyle name="Гиперссылка 2" xfId="19683" hidden="1"/>
    <cellStyle name="Гиперссылка 2" xfId="18020" hidden="1"/>
    <cellStyle name="Гиперссылка 2" xfId="14745" hidden="1"/>
    <cellStyle name="Гиперссылка 2" xfId="19353" hidden="1"/>
    <cellStyle name="Гиперссылка 2" xfId="18659" hidden="1"/>
    <cellStyle name="Гиперссылка 2" xfId="19694" hidden="1"/>
    <cellStyle name="Гиперссылка 2" xfId="19403" hidden="1"/>
    <cellStyle name="Гиперссылка 2" xfId="19109" hidden="1"/>
    <cellStyle name="Гиперссылка 2" xfId="17876" hidden="1"/>
    <cellStyle name="Гиперссылка 2" xfId="19819" hidden="1"/>
    <cellStyle name="Гиперссылка 2" xfId="18155" hidden="1"/>
    <cellStyle name="Гиперссылка 2" xfId="19820" hidden="1"/>
    <cellStyle name="Гиперссылка 2" xfId="19877" hidden="1"/>
    <cellStyle name="Гиперссылка 2" xfId="18658" hidden="1"/>
    <cellStyle name="Гиперссылка 2" xfId="19493" hidden="1"/>
    <cellStyle name="Гиперссылка 2" xfId="19748" hidden="1"/>
    <cellStyle name="Гиперссылка 2" xfId="18843" hidden="1"/>
    <cellStyle name="Гиперссылка 2" xfId="18288" hidden="1"/>
    <cellStyle name="Гиперссылка 2" xfId="18514" hidden="1"/>
    <cellStyle name="Гиперссылка 2" xfId="18740" hidden="1"/>
    <cellStyle name="Гиперссылка 2" xfId="18217" hidden="1"/>
    <cellStyle name="Гиперссылка 2" xfId="17872" hidden="1"/>
    <cellStyle name="Гиперссылка 2" xfId="19286" hidden="1"/>
    <cellStyle name="Гиперссылка 2" xfId="17943" hidden="1"/>
    <cellStyle name="Гиперссылка 2" xfId="18643" hidden="1"/>
    <cellStyle name="Гиперссылка 2" xfId="17899" hidden="1"/>
    <cellStyle name="Гиперссылка 2" xfId="19000" hidden="1"/>
    <cellStyle name="Гиперссылка 2" xfId="19771" hidden="1"/>
    <cellStyle name="Гиперссылка 2" xfId="18859" hidden="1"/>
    <cellStyle name="Гиперссылка 2" xfId="18254" hidden="1"/>
    <cellStyle name="Гиперссылка 2" xfId="19638" hidden="1"/>
    <cellStyle name="Гиперссылка 2" xfId="17806" hidden="1"/>
    <cellStyle name="Гиперссылка 2" xfId="18765" hidden="1"/>
    <cellStyle name="Гиперссылка 2" xfId="17845" hidden="1"/>
    <cellStyle name="Гиперссылка 2" xfId="17782" hidden="1"/>
    <cellStyle name="Гиперссылка 2" xfId="18593" hidden="1"/>
    <cellStyle name="Гиперссылка 2" xfId="19328" hidden="1"/>
    <cellStyle name="Гиперссылка 2" xfId="19530" hidden="1"/>
    <cellStyle name="Гиперссылка 2" xfId="19208" hidden="1"/>
    <cellStyle name="Гиперссылка 2" xfId="14743" hidden="1"/>
    <cellStyle name="Гиперссылка 2" xfId="18132" hidden="1"/>
    <cellStyle name="Гиперссылка 2" xfId="18111" hidden="1"/>
    <cellStyle name="Гиперссылка 2" xfId="19215" hidden="1"/>
    <cellStyle name="Гиперссылка 2" xfId="17992" hidden="1"/>
    <cellStyle name="Гиперссылка 2" xfId="18772" hidden="1"/>
    <cellStyle name="Гиперссылка 2" xfId="18181" hidden="1"/>
    <cellStyle name="Гиперссылка 2" xfId="17768" hidden="1"/>
    <cellStyle name="Гиперссылка 2" xfId="17956" hidden="1"/>
    <cellStyle name="Гиперссылка 2" xfId="17987" hidden="1"/>
    <cellStyle name="Гиперссылка 2" xfId="18143" hidden="1"/>
    <cellStyle name="Гиперссылка 2" xfId="18761" hidden="1"/>
    <cellStyle name="Гиперссылка 2" xfId="18920" hidden="1"/>
    <cellStyle name="Гиперссылка 2" xfId="18307" hidden="1"/>
    <cellStyle name="Гиперссылка 2" xfId="19348" hidden="1"/>
    <cellStyle name="Гиперссылка 2" xfId="19409" hidden="1"/>
    <cellStyle name="Гиперссылка 2" xfId="19364" hidden="1"/>
    <cellStyle name="Гиперссылка 2" xfId="18447" hidden="1"/>
    <cellStyle name="Гиперссылка 2" xfId="18585" hidden="1"/>
    <cellStyle name="Гиперссылка 2" xfId="18047" hidden="1"/>
    <cellStyle name="Гиперссылка 2" xfId="19751" hidden="1"/>
    <cellStyle name="Гиперссылка 2" xfId="19329" hidden="1"/>
    <cellStyle name="Гиперссылка 2" xfId="17944" hidden="1"/>
    <cellStyle name="Гиперссылка 2" xfId="19204" hidden="1"/>
    <cellStyle name="Гиперссылка 2" xfId="18269" hidden="1"/>
    <cellStyle name="Гиперссылка 2" xfId="18682" hidden="1"/>
    <cellStyle name="Гиперссылка 2" xfId="19433" hidden="1"/>
    <cellStyle name="Гиперссылка 2" xfId="19214" hidden="1"/>
    <cellStyle name="Гиперссылка 2" xfId="19868" hidden="1"/>
    <cellStyle name="Гиперссылка 2" xfId="19533" hidden="1"/>
    <cellStyle name="Гиперссылка 2" xfId="19681" hidden="1"/>
    <cellStyle name="Гиперссылка 2" xfId="19742" hidden="1"/>
    <cellStyle name="Гиперссылка 2" xfId="19400" hidden="1"/>
    <cellStyle name="Гиперссылка 2" xfId="19050" hidden="1"/>
    <cellStyle name="Гиперссылка 2" xfId="18247" hidden="1"/>
    <cellStyle name="Гиперссылка 2" xfId="17854" hidden="1"/>
    <cellStyle name="Гиперссылка 2" xfId="18023" hidden="1"/>
    <cellStyle name="Гиперссылка 2" xfId="18654" hidden="1"/>
    <cellStyle name="Гиперссылка 2" xfId="19289" hidden="1"/>
    <cellStyle name="Гиперссылка 2" xfId="14697" hidden="1"/>
    <cellStyle name="Гиперссылка 2" xfId="18592" hidden="1"/>
    <cellStyle name="Гиперссылка 2" xfId="18082" hidden="1"/>
    <cellStyle name="Гиперссылка 2" xfId="19063" hidden="1"/>
    <cellStyle name="Гиперссылка 2" xfId="18352" hidden="1"/>
    <cellStyle name="Гиперссылка 2" xfId="14740" hidden="1"/>
    <cellStyle name="Гиперссылка 2" xfId="18936" hidden="1"/>
    <cellStyle name="Гиперссылка 2" xfId="18173" hidden="1"/>
    <cellStyle name="Гиперссылка 2" xfId="18498" hidden="1"/>
    <cellStyle name="Гиперссылка 2" xfId="19534" hidden="1"/>
    <cellStyle name="Гиперссылка 2" xfId="18253" hidden="1"/>
    <cellStyle name="Гиперссылка 2" xfId="17803" hidden="1"/>
    <cellStyle name="Гиперссылка 2" xfId="17885" hidden="1"/>
    <cellStyle name="Гиперссылка 2" xfId="18100" hidden="1"/>
    <cellStyle name="Гиперссылка 2" xfId="18107" hidden="1"/>
    <cellStyle name="Гиперссылка 2" xfId="18209" hidden="1"/>
    <cellStyle name="Гиперссылка 2" xfId="19661" hidden="1"/>
    <cellStyle name="Гиперссылка 2" xfId="19411" hidden="1"/>
    <cellStyle name="Гиперссылка 2" xfId="19362" hidden="1"/>
    <cellStyle name="Гиперссылка 2" xfId="18985" hidden="1"/>
    <cellStyle name="Гиперссылка 2" xfId="19677" hidden="1"/>
    <cellStyle name="Гиперссылка 2" xfId="17886" hidden="1"/>
    <cellStyle name="Гиперссылка 2" xfId="18287" hidden="1"/>
    <cellStyle name="Гиперссылка 2" xfId="18972" hidden="1"/>
    <cellStyle name="Гиперссылка 2" xfId="19485" hidden="1"/>
    <cellStyle name="Гиперссылка 2" xfId="19809" hidden="1"/>
    <cellStyle name="Гиперссылка 2" xfId="19684" hidden="1"/>
    <cellStyle name="Гиперссылка 2" xfId="17910" hidden="1"/>
    <cellStyle name="Гиперссылка 2" xfId="18991" hidden="1"/>
    <cellStyle name="Гиперссылка 2" xfId="17907" hidden="1"/>
    <cellStyle name="Гиперссылка 2" xfId="14716" hidden="1"/>
    <cellStyle name="Гиперссылка 2" xfId="18311" hidden="1"/>
    <cellStyle name="Гиперссылка 2" xfId="18455" hidden="1"/>
    <cellStyle name="Гиперссылка 2" xfId="17908" hidden="1"/>
    <cellStyle name="Гиперссылка 2" xfId="18390" hidden="1"/>
    <cellStyle name="Гиперссылка 2" xfId="18846" hidden="1"/>
    <cellStyle name="Гиперссылка 2" xfId="19068" hidden="1"/>
    <cellStyle name="Гиперссылка 2" xfId="19925" hidden="1"/>
    <cellStyle name="Гиперссылка 2" xfId="19810" hidden="1"/>
    <cellStyle name="Гиперссылка 2" xfId="18557" hidden="1"/>
    <cellStyle name="Гиперссылка 2" xfId="18673" hidden="1"/>
    <cellStyle name="Гиперссылка 2" xfId="18264" hidden="1"/>
    <cellStyle name="Гиперссылка 2" xfId="19355" hidden="1"/>
    <cellStyle name="Гиперссылка 2" xfId="18608" hidden="1"/>
    <cellStyle name="Гиперссылка 2" xfId="18257" hidden="1"/>
    <cellStyle name="Гиперссылка 2" xfId="18359" hidden="1"/>
    <cellStyle name="Гиперссылка 2" xfId="17958" hidden="1"/>
    <cellStyle name="Гиперссылка 2" xfId="17935" hidden="1"/>
    <cellStyle name="Гиперссылка 2" xfId="19481" hidden="1"/>
    <cellStyle name="Гиперссылка 2" xfId="18085" hidden="1"/>
    <cellStyle name="Гиперссылка 2" xfId="17762" hidden="1"/>
    <cellStyle name="Гиперссылка 2" xfId="18817" hidden="1"/>
    <cellStyle name="Гиперссылка 2" xfId="18226" hidden="1"/>
    <cellStyle name="Гиперссылка 2" xfId="19048" hidden="1"/>
    <cellStyle name="Гиперссылка 2" xfId="18466" hidden="1"/>
    <cellStyle name="Гиперссылка 2" xfId="18012" hidden="1"/>
    <cellStyle name="Гиперссылка 2" xfId="18453" hidden="1"/>
    <cellStyle name="Гиперссылка 2" xfId="18724" hidden="1"/>
    <cellStyle name="Гиперссылка 2" xfId="18749" hidden="1"/>
    <cellStyle name="Гиперссылка 2" xfId="19869" hidden="1"/>
    <cellStyle name="Гиперссылка 2" xfId="18080" hidden="1"/>
    <cellStyle name="Гиперссылка 2" xfId="18755" hidden="1"/>
    <cellStyle name="Гиперссылка 2" xfId="19872" hidden="1"/>
    <cellStyle name="Гиперссылка 2" xfId="19041" hidden="1"/>
    <cellStyle name="Гиперссылка 2" xfId="18989" hidden="1"/>
    <cellStyle name="Гиперссылка 2" xfId="19893" hidden="1"/>
    <cellStyle name="Гиперссылка 2" xfId="19772" hidden="1"/>
    <cellStyle name="Гиперссылка 2" xfId="18581" hidden="1"/>
    <cellStyle name="Гиперссылка 2" xfId="14751" hidden="1"/>
    <cellStyle name="Гиперссылка 2" xfId="19201" hidden="1"/>
    <cellStyle name="Гиперссылка 2" xfId="17984" hidden="1"/>
    <cellStyle name="Гиперссылка 2" xfId="19414" hidden="1"/>
    <cellStyle name="Гиперссылка 2" xfId="19061" hidden="1"/>
    <cellStyle name="Гиперссылка 2" xfId="18754" hidden="1"/>
    <cellStyle name="Гиперссылка 2" xfId="18849" hidden="1"/>
    <cellStyle name="Гиперссылка 2" xfId="14702" hidden="1"/>
    <cellStyle name="Гиперссылка 2" xfId="19338" hidden="1"/>
    <cellStyle name="Гиперссылка 2" xfId="18757" hidden="1"/>
    <cellStyle name="Гиперссылка 2" xfId="19927" hidden="1"/>
    <cellStyle name="Гиперссылка 2" xfId="18900" hidden="1"/>
    <cellStyle name="Гиперссылка 2" xfId="19258" hidden="1"/>
    <cellStyle name="Гиперссылка 2" xfId="19049" hidden="1"/>
    <cellStyle name="Гиперссылка 2" xfId="18164" hidden="1"/>
    <cellStyle name="Гиперссылка 2" xfId="19685" hidden="1"/>
    <cellStyle name="Гиперссылка 2" xfId="19749" hidden="1"/>
    <cellStyle name="Гиперссылка 2" xfId="18347" hidden="1"/>
    <cellStyle name="Гиперссылка 2" xfId="18009" hidden="1"/>
    <cellStyle name="Гиперссылка 2" xfId="17945" hidden="1"/>
    <cellStyle name="Гиперссылка 2" xfId="19333" hidden="1"/>
    <cellStyle name="Гиперссылка 2" xfId="19268" hidden="1"/>
    <cellStyle name="Гиперссылка 2" xfId="19283" hidden="1"/>
    <cellStyle name="Гиперссылка 2" xfId="19265" hidden="1"/>
    <cellStyle name="Гиперссылка 2" xfId="17957" hidden="1"/>
    <cellStyle name="Гиперссылка 2" xfId="18400" hidden="1"/>
    <cellStyle name="Гиперссылка 2" xfId="17810" hidden="1"/>
    <cellStyle name="Гиперссылка 2" xfId="19814" hidden="1"/>
    <cellStyle name="Гиперссылка 2" xfId="19865" hidden="1"/>
    <cellStyle name="Гиперссылка 2" xfId="14684" hidden="1"/>
    <cellStyle name="Гиперссылка 2" xfId="18294" hidden="1"/>
    <cellStyle name="Гиперссылка 2" xfId="19936" hidden="1"/>
    <cellStyle name="Гиперссылка 2" xfId="19341" hidden="1"/>
    <cellStyle name="Гиперссылка 2" xfId="19818" hidden="1"/>
    <cellStyle name="Гиперссылка 2" xfId="18574" hidden="1"/>
    <cellStyle name="Гиперссылка 2" xfId="20008" hidden="1"/>
    <cellStyle name="Гиперссылка 2" xfId="20007" hidden="1"/>
    <cellStyle name="Гиперссылка 2" xfId="20021" hidden="1"/>
    <cellStyle name="Гиперссылка 2" xfId="20022" hidden="1"/>
    <cellStyle name="Гиперссылка 2" xfId="20028" hidden="1"/>
    <cellStyle name="Гиперссылка 2" xfId="20029" hidden="1"/>
    <cellStyle name="Гиперссылка 2" xfId="20025" hidden="1"/>
    <cellStyle name="Гиперссылка 2" xfId="20024" hidden="1"/>
    <cellStyle name="Гиперссылка 2" xfId="20027" hidden="1"/>
    <cellStyle name="Гиперссылка 2" xfId="20026" hidden="1"/>
    <cellStyle name="Гиперссылка 2" xfId="20031" hidden="1"/>
    <cellStyle name="Гиперссылка 2" xfId="20030" hidden="1"/>
    <cellStyle name="Гиперссылка 2" xfId="20032" hidden="1"/>
    <cellStyle name="Гиперссылка 2" xfId="20033" hidden="1"/>
    <cellStyle name="Гиперссылка 2" xfId="20038" hidden="1"/>
    <cellStyle name="Гиперссылка 2" xfId="20039" hidden="1"/>
    <cellStyle name="Гиперссылка 2" xfId="20035" hidden="1"/>
    <cellStyle name="Гиперссылка 2" xfId="20034" hidden="1"/>
    <cellStyle name="Гиперссылка 2" xfId="20037" hidden="1"/>
    <cellStyle name="Гиперссылка 2" xfId="20036" hidden="1"/>
    <cellStyle name="Гиперссылка 2" xfId="20041" hidden="1"/>
    <cellStyle name="Гиперссылка 2" xfId="20040" hidden="1"/>
    <cellStyle name="Гиперссылка 2" xfId="20042" hidden="1"/>
    <cellStyle name="Гиперссылка 2" xfId="20043" hidden="1"/>
    <cellStyle name="Гиперссылка 2" xfId="20048" hidden="1"/>
    <cellStyle name="Гиперссылка 2" xfId="20049" hidden="1"/>
    <cellStyle name="Гиперссылка 2" xfId="20045" hidden="1"/>
    <cellStyle name="Гиперссылка 2" xfId="20044" hidden="1"/>
    <cellStyle name="Гиперссылка 2" xfId="20047" hidden="1"/>
    <cellStyle name="Гиперссылка 2" xfId="20046" hidden="1"/>
    <cellStyle name="Гиперссылка 2" xfId="20051" hidden="1"/>
    <cellStyle name="Гиперссылка 2" xfId="20050" hidden="1"/>
    <cellStyle name="Гиперссылка 2" xfId="18391" hidden="1"/>
    <cellStyle name="Гиперссылка 2" xfId="18366" hidden="1"/>
    <cellStyle name="Гиперссылка 2" xfId="19528" hidden="1"/>
    <cellStyle name="Гиперссылка 2" xfId="18302" hidden="1"/>
    <cellStyle name="Гиперссылка 2" xfId="19729" hidden="1"/>
    <cellStyle name="Гиперссылка 2" xfId="20015" hidden="1"/>
    <cellStyle name="Гиперссылка 2" xfId="18767" hidden="1"/>
    <cellStyle name="Гиперссылка 2" xfId="18454" hidden="1"/>
    <cellStyle name="Гиперссылка 2" xfId="20077" hidden="1"/>
    <cellStyle name="Гиперссылка 2" xfId="20076" hidden="1"/>
    <cellStyle name="Гиперссылка 2" xfId="20085" hidden="1"/>
    <cellStyle name="Гиперссылка 2" xfId="20086" hidden="1"/>
    <cellStyle name="Гиперссылка 2" xfId="20092" hidden="1"/>
    <cellStyle name="Гиперссылка 2" xfId="20093" hidden="1"/>
    <cellStyle name="Гиперссылка 2" xfId="20089" hidden="1"/>
    <cellStyle name="Гиперссылка 2" xfId="20088" hidden="1"/>
    <cellStyle name="Гиперссылка 2" xfId="20091" hidden="1"/>
    <cellStyle name="Гиперссылка 2" xfId="20090" hidden="1"/>
    <cellStyle name="Гиперссылка 2" xfId="20095" hidden="1"/>
    <cellStyle name="Гиперссылка 2" xfId="20094" hidden="1"/>
    <cellStyle name="Гиперссылка 2" xfId="20096" hidden="1"/>
    <cellStyle name="Гиперссылка 2" xfId="20097" hidden="1"/>
    <cellStyle name="Гиперссылка 2" xfId="20102" hidden="1"/>
    <cellStyle name="Гиперссылка 2" xfId="20103" hidden="1"/>
    <cellStyle name="Гиперссылка 2" xfId="20099" hidden="1"/>
    <cellStyle name="Гиперссылка 2" xfId="20098" hidden="1"/>
    <cellStyle name="Гиперссылка 2" xfId="20101" hidden="1"/>
    <cellStyle name="Гиперссылка 2" xfId="20100" hidden="1"/>
    <cellStyle name="Гиперссылка 2" xfId="20105" hidden="1"/>
    <cellStyle name="Гиперссылка 2" xfId="20104" hidden="1"/>
    <cellStyle name="Гиперссылка 2" xfId="20106" hidden="1"/>
    <cellStyle name="Гиперссылка 2" xfId="20107" hidden="1"/>
    <cellStyle name="Гиперссылка 2" xfId="20112" hidden="1"/>
    <cellStyle name="Гиперссылка 2" xfId="20113" hidden="1"/>
    <cellStyle name="Гиперссылка 2" xfId="20109" hidden="1"/>
    <cellStyle name="Гиперссылка 2" xfId="20108" hidden="1"/>
    <cellStyle name="Гиперссылка 2" xfId="20111" hidden="1"/>
    <cellStyle name="Гиперссылка 2" xfId="20110" hidden="1"/>
    <cellStyle name="Гиперссылка 2" xfId="20115" hidden="1"/>
    <cellStyle name="Гиперссылка 2" xfId="20114" hidden="1"/>
    <cellStyle name="Гиперссылка 2" xfId="17926" hidden="1"/>
    <cellStyle name="Гиперссылка 2" xfId="19006" hidden="1"/>
    <cellStyle name="Гиперссылка 2" xfId="18397" hidden="1"/>
    <cellStyle name="Гиперссылка 2" xfId="19817" hidden="1"/>
    <cellStyle name="Гиперссылка 2" xfId="20061" hidden="1"/>
    <cellStyle name="Гиперссылка 2" xfId="20081" hidden="1"/>
    <cellStyle name="Гиперссылка 2" xfId="18901" hidden="1"/>
    <cellStyle name="Гиперссылка 2" xfId="20054" hidden="1"/>
    <cellStyle name="Гиперссылка 2" xfId="20142" hidden="1"/>
    <cellStyle name="Гиперссылка 2" xfId="20141" hidden="1"/>
    <cellStyle name="Гиперссылка 2" xfId="20149" hidden="1"/>
    <cellStyle name="Гиперссылка 2" xfId="20150" hidden="1"/>
    <cellStyle name="Гиперссылка 2" xfId="20156" hidden="1"/>
    <cellStyle name="Гиперссылка 2" xfId="20157" hidden="1"/>
    <cellStyle name="Гиперссылка 2" xfId="20153" hidden="1"/>
    <cellStyle name="Гиперссылка 2" xfId="20152" hidden="1"/>
    <cellStyle name="Гиперссылка 2" xfId="20155" hidden="1"/>
    <cellStyle name="Гиперссылка 2" xfId="20154" hidden="1"/>
    <cellStyle name="Гиперссылка 2" xfId="20159" hidden="1"/>
    <cellStyle name="Гиперссылка 2" xfId="20158" hidden="1"/>
    <cellStyle name="Гиперссылка 2" xfId="20160" hidden="1"/>
    <cellStyle name="Гиперссылка 2" xfId="20161" hidden="1"/>
    <cellStyle name="Гиперссылка 2" xfId="20166" hidden="1"/>
    <cellStyle name="Гиперссылка 2" xfId="20167" hidden="1"/>
    <cellStyle name="Гиперссылка 2" xfId="20163" hidden="1"/>
    <cellStyle name="Гиперссылка 2" xfId="20162" hidden="1"/>
    <cellStyle name="Гиперссылка 2" xfId="20165" hidden="1"/>
    <cellStyle name="Гиперссылка 2" xfId="20164" hidden="1"/>
    <cellStyle name="Гиперссылка 2" xfId="20169" hidden="1"/>
    <cellStyle name="Гиперссылка 2" xfId="20168" hidden="1"/>
    <cellStyle name="Гиперссылка 2" xfId="20170" hidden="1"/>
    <cellStyle name="Гиперссылка 2" xfId="20171" hidden="1"/>
    <cellStyle name="Гиперссылка 2" xfId="20176" hidden="1"/>
    <cellStyle name="Гиперссылка 2" xfId="20177" hidden="1"/>
    <cellStyle name="Гиперссылка 2" xfId="20173" hidden="1"/>
    <cellStyle name="Гиперссылка 2" xfId="20172" hidden="1"/>
    <cellStyle name="Гиперссылка 2" xfId="20175" hidden="1"/>
    <cellStyle name="Гиперссылка 2" xfId="20174" hidden="1"/>
    <cellStyle name="Гиперссылка 2" xfId="20179" hidden="1"/>
    <cellStyle name="Гиперссылка 2" xfId="20178" hidden="1"/>
    <cellStyle name="Гиперссылка 2" xfId="20055" hidden="1"/>
    <cellStyle name="Гиперссылка 2" xfId="19612" hidden="1"/>
    <cellStyle name="Гиперссылка 2" xfId="17775" hidden="1"/>
    <cellStyle name="Гиперссылка 2" xfId="18929" hidden="1"/>
    <cellStyle name="Гиперссылка 2" xfId="20123" hidden="1"/>
    <cellStyle name="Гиперссылка 2" xfId="20146" hidden="1"/>
    <cellStyle name="Гиперссылка 2" xfId="19679" hidden="1"/>
    <cellStyle name="Гиперссылка 2" xfId="20118" hidden="1"/>
    <cellStyle name="Гиперссылка 2" xfId="20199" hidden="1"/>
    <cellStyle name="Гиперссылка 2" xfId="20198" hidden="1"/>
    <cellStyle name="Гиперссылка 2" xfId="20207" hidden="1"/>
    <cellStyle name="Гиперссылка 2" xfId="20208" hidden="1"/>
    <cellStyle name="Гиперссылка 2" xfId="20213" hidden="1"/>
    <cellStyle name="Гиперссылка 2" xfId="20214" hidden="1"/>
    <cellStyle name="Гиперссылка 2" xfId="20210" hidden="1"/>
    <cellStyle name="Гиперссылка 2" xfId="20209" hidden="1"/>
    <cellStyle name="Гиперссылка 2" xfId="20212" hidden="1"/>
    <cellStyle name="Гиперссылка 2" xfId="20211" hidden="1"/>
    <cellStyle name="Гиперссылка 2" xfId="20216" hidden="1"/>
    <cellStyle name="Гиперссылка 2" xfId="20215" hidden="1"/>
    <cellStyle name="Гиперссылка 2" xfId="20217" hidden="1"/>
    <cellStyle name="Гиперссылка 2" xfId="20218" hidden="1"/>
    <cellStyle name="Гиперссылка 2" xfId="20223" hidden="1"/>
    <cellStyle name="Гиперссылка 2" xfId="20224" hidden="1"/>
    <cellStyle name="Гиперссылка 2" xfId="20220" hidden="1"/>
    <cellStyle name="Гиперссылка 2" xfId="20219" hidden="1"/>
    <cellStyle name="Гиперссылка 2" xfId="20222" hidden="1"/>
    <cellStyle name="Гиперссылка 2" xfId="20221" hidden="1"/>
    <cellStyle name="Гиперссылка 2" xfId="20226" hidden="1"/>
    <cellStyle name="Гиперссылка 2" xfId="20225" hidden="1"/>
    <cellStyle name="Гиперссылка 2" xfId="20227" hidden="1"/>
    <cellStyle name="Гиперссылка 2" xfId="20228" hidden="1"/>
    <cellStyle name="Гиперссылка 2" xfId="20233" hidden="1"/>
    <cellStyle name="Гиперссылка 2" xfId="20234" hidden="1"/>
    <cellStyle name="Гиперссылка 2" xfId="20230" hidden="1"/>
    <cellStyle name="Гиперссылка 2" xfId="20229" hidden="1"/>
    <cellStyle name="Гиперссылка 2" xfId="20232" hidden="1"/>
    <cellStyle name="Гиперссылка 2" xfId="20231" hidden="1"/>
    <cellStyle name="Гиперссылка 2" xfId="20236" hidden="1"/>
    <cellStyle name="Гиперссылка 2" xfId="20235" hidden="1"/>
    <cellStyle name="Гиперссылка 2" xfId="20119" hidden="1"/>
    <cellStyle name="Гиперссылка 2" xfId="18509" hidden="1"/>
    <cellStyle name="Гиперссылка 2" xfId="18118" hidden="1"/>
    <cellStyle name="Гиперссылка 2" xfId="18546" hidden="1"/>
    <cellStyle name="Гиперссылка 2" xfId="20186" hidden="1"/>
    <cellStyle name="Гиперссылка 2" xfId="20202" hidden="1"/>
    <cellStyle name="Гиперссылка 2" xfId="19757" hidden="1"/>
    <cellStyle name="Гиперссылка 2" xfId="20181" hidden="1"/>
    <cellStyle name="Гиперссылка 2" xfId="20250" hidden="1"/>
    <cellStyle name="Гиперссылка 2" xfId="20249" hidden="1"/>
    <cellStyle name="Гиперссылка 2" xfId="20256" hidden="1"/>
    <cellStyle name="Гиперссылка 2" xfId="20257" hidden="1"/>
    <cellStyle name="Гиперссылка 2" xfId="20263" hidden="1"/>
    <cellStyle name="Гиперссылка 2" xfId="20264" hidden="1"/>
    <cellStyle name="Гиперссылка 2" xfId="20260" hidden="1"/>
    <cellStyle name="Гиперссылка 2" xfId="20259" hidden="1"/>
    <cellStyle name="Гиперссылка 2" xfId="20262" hidden="1"/>
    <cellStyle name="Гиперссылка 2" xfId="20261" hidden="1"/>
    <cellStyle name="Гиперссылка 2" xfId="20266" hidden="1"/>
    <cellStyle name="Гиперссылка 2" xfId="20265" hidden="1"/>
    <cellStyle name="Гиперссылка 2" xfId="20267" hidden="1"/>
    <cellStyle name="Гиперссылка 2" xfId="20268" hidden="1"/>
    <cellStyle name="Гиперссылка 2" xfId="20273" hidden="1"/>
    <cellStyle name="Гиперссылка 2" xfId="20274" hidden="1"/>
    <cellStyle name="Гиперссылка 2" xfId="20270" hidden="1"/>
    <cellStyle name="Гиперссылка 2" xfId="20269" hidden="1"/>
    <cellStyle name="Гиперссылка 2" xfId="20272" hidden="1"/>
    <cellStyle name="Гиперссылка 2" xfId="20271" hidden="1"/>
    <cellStyle name="Гиперссылка 2" xfId="20276" hidden="1"/>
    <cellStyle name="Гиперссылка 2" xfId="20275" hidden="1"/>
    <cellStyle name="Гиперссылка 2" xfId="20277" hidden="1"/>
    <cellStyle name="Гиперссылка 2" xfId="20278" hidden="1"/>
    <cellStyle name="Гиперссылка 2" xfId="20283" hidden="1"/>
    <cellStyle name="Гиперссылка 2" xfId="20284" hidden="1"/>
    <cellStyle name="Гиперссылка 2" xfId="20280" hidden="1"/>
    <cellStyle name="Гиперссылка 2" xfId="20279" hidden="1"/>
    <cellStyle name="Гиперссылка 2" xfId="20282" hidden="1"/>
    <cellStyle name="Гиперссылка 2" xfId="20281" hidden="1"/>
    <cellStyle name="Гиперссылка 2" xfId="20286" hidden="1"/>
    <cellStyle name="Гиперссылка 2" xfId="20285" hidden="1"/>
    <cellStyle name="Гиперссылка 2" xfId="20182" hidden="1"/>
    <cellStyle name="Гиперссылка 2" xfId="19672" hidden="1"/>
    <cellStyle name="Гиперссылка 2" xfId="18044" hidden="1"/>
    <cellStyle name="Гиперссылка 2" xfId="18486" hidden="1"/>
    <cellStyle name="Гиперссылка 2" xfId="20240" hidden="1"/>
    <cellStyle name="Гиперссылка 2" xfId="20254" hidden="1"/>
    <cellStyle name="Гиперссылка 2" xfId="20001" hidden="1"/>
    <cellStyle name="Гиперссылка 2" xfId="20237" hidden="1"/>
    <cellStyle name="Гиперссылка 2" xfId="20298" hidden="1"/>
    <cellStyle name="Гиперссылка 2" xfId="20297" hidden="1"/>
    <cellStyle name="Гиперссылка 2" xfId="20304" hidden="1"/>
    <cellStyle name="Гиперссылка 2" xfId="20305" hidden="1"/>
    <cellStyle name="Гиперссылка 2" xfId="20310" hidden="1"/>
    <cellStyle name="Гиперссылка 2" xfId="20311" hidden="1"/>
    <cellStyle name="Гиперссылка 2" xfId="20307" hidden="1"/>
    <cellStyle name="Гиперссылка 2" xfId="20306" hidden="1"/>
    <cellStyle name="Гиперссылка 2" xfId="20309" hidden="1"/>
    <cellStyle name="Гиперссылка 2" xfId="20308" hidden="1"/>
    <cellStyle name="Гиперссылка 2" xfId="20313" hidden="1"/>
    <cellStyle name="Гиперссылка 2" xfId="20312" hidden="1"/>
    <cellStyle name="Гиперссылка 2" xfId="20314" hidden="1"/>
    <cellStyle name="Гиперссылка 2" xfId="20315" hidden="1"/>
    <cellStyle name="Гиперссылка 2" xfId="20320" hidden="1"/>
    <cellStyle name="Гиперссылка 2" xfId="20321" hidden="1"/>
    <cellStyle name="Гиперссылка 2" xfId="20317" hidden="1"/>
    <cellStyle name="Гиперссылка 2" xfId="20316" hidden="1"/>
    <cellStyle name="Гиперссылка 2" xfId="20319" hidden="1"/>
    <cellStyle name="Гиперссылка 2" xfId="20318" hidden="1"/>
    <cellStyle name="Гиперссылка 2" xfId="20323" hidden="1"/>
    <cellStyle name="Гиперссылка 2" xfId="20322" hidden="1"/>
    <cellStyle name="Гиперссылка 2" xfId="20324" hidden="1"/>
    <cellStyle name="Гиперссылка 2" xfId="20325" hidden="1"/>
    <cellStyle name="Гиперссылка 2" xfId="20330" hidden="1"/>
    <cellStyle name="Гиперссылка 2" xfId="20331" hidden="1"/>
    <cellStyle name="Гиперссылка 2" xfId="20327" hidden="1"/>
    <cellStyle name="Гиперссылка 2" xfId="20326" hidden="1"/>
    <cellStyle name="Гиперссылка 2" xfId="20329" hidden="1"/>
    <cellStyle name="Гиперссылка 2" xfId="20328" hidden="1"/>
    <cellStyle name="Гиперссылка 2" xfId="20333" hidden="1"/>
    <cellStyle name="Гиперссылка 2" xfId="20332" hidden="1"/>
    <cellStyle name="Гиперссылка 2" xfId="20238" hidden="1"/>
    <cellStyle name="Гиперссылка 2" xfId="19538" hidden="1"/>
    <cellStyle name="Гиперссылка 2" xfId="20060" hidden="1"/>
    <cellStyle name="Гиперссылка 2" xfId="18177" hidden="1"/>
    <cellStyle name="Гиперссылка 2" xfId="20290" hidden="1"/>
    <cellStyle name="Гиперссылка 2" xfId="20301" hidden="1"/>
    <cellStyle name="Гиперссылка 2" xfId="20069" hidden="1"/>
    <cellStyle name="Гиперссылка 2" xfId="20288" hidden="1"/>
    <cellStyle name="Гиперссылка 2" xfId="20335" hidden="1"/>
    <cellStyle name="Гиперссылка 2" xfId="20334" hidden="1"/>
    <cellStyle name="Гиперссылка 2" xfId="20336" hidden="1"/>
    <cellStyle name="Гиперссылка 2" xfId="20337" hidden="1"/>
    <cellStyle name="Гиперссылка 2" xfId="20342" hidden="1"/>
    <cellStyle name="Гиперссылка 2" xfId="20343" hidden="1"/>
    <cellStyle name="Гиперссылка 2" xfId="20339" hidden="1"/>
    <cellStyle name="Гиперссылка 2" xfId="20338" hidden="1"/>
    <cellStyle name="Гиперссылка 2" xfId="20341" hidden="1"/>
    <cellStyle name="Гиперссылка 2" xfId="20340" hidden="1"/>
    <cellStyle name="Гиперссылка 2" xfId="20345" hidden="1"/>
    <cellStyle name="Гиперссылка 2" xfId="20344" hidden="1"/>
    <cellStyle name="Гиперссылка 2" xfId="20346" hidden="1"/>
    <cellStyle name="Гиперссылка 2" xfId="20347" hidden="1"/>
    <cellStyle name="Гиперссылка 2" xfId="20352" hidden="1"/>
    <cellStyle name="Гиперссылка 2" xfId="20353" hidden="1"/>
    <cellStyle name="Гиперссылка 2" xfId="20349" hidden="1"/>
    <cellStyle name="Гиперссылка 2" xfId="20348" hidden="1"/>
    <cellStyle name="Гиперссылка 2" xfId="20351" hidden="1"/>
    <cellStyle name="Гиперссылка 2" xfId="20350" hidden="1"/>
    <cellStyle name="Гиперссылка 2" xfId="20355" hidden="1"/>
    <cellStyle name="Гиперссылка 2" xfId="20354" hidden="1"/>
    <cellStyle name="Гиперссылка 2" xfId="20356" hidden="1"/>
    <cellStyle name="Гиперссылка 2" xfId="20357" hidden="1"/>
    <cellStyle name="Гиперссылка 2" xfId="20362" hidden="1"/>
    <cellStyle name="Гиперссылка 2" xfId="20363" hidden="1"/>
    <cellStyle name="Гиперссылка 2" xfId="20359" hidden="1"/>
    <cellStyle name="Гиперссылка 2" xfId="20358" hidden="1"/>
    <cellStyle name="Гиперссылка 2" xfId="20361" hidden="1"/>
    <cellStyle name="Гиперссылка 2" xfId="20360" hidden="1"/>
    <cellStyle name="Гиперссылка 2" xfId="20365" hidden="1"/>
    <cellStyle name="Гиперссылка 2" xfId="20364" hidden="1"/>
    <cellStyle name="Гиперссылка 2" xfId="19626" hidden="1"/>
    <cellStyle name="Гиперссылка 2" xfId="18256" hidden="1"/>
    <cellStyle name="Гиперссылка 2" xfId="18855" hidden="1"/>
    <cellStyle name="Гиперссылка 2" xfId="18813" hidden="1"/>
    <cellStyle name="Гиперссылка 2" xfId="20140" hidden="1"/>
    <cellStyle name="Гиперссылка 2" xfId="19248" hidden="1"/>
    <cellStyle name="Гиперссылка 2" xfId="17829" hidden="1"/>
    <cellStyle name="Гиперссылка 2" xfId="19325" hidden="1"/>
    <cellStyle name="Гиперссылка 2" xfId="18494" hidden="1"/>
    <cellStyle name="Гиперссылка 2" xfId="19359" hidden="1"/>
    <cellStyle name="Гиперссылка 2" xfId="20058" hidden="1"/>
    <cellStyle name="Гиперссылка 2" xfId="18404" hidden="1"/>
    <cellStyle name="Гиперссылка 2" xfId="17895" hidden="1"/>
    <cellStyle name="Гиперссылка 2" xfId="19625" hidden="1"/>
    <cellStyle name="Гиперссылка 2" xfId="17848" hidden="1"/>
    <cellStyle name="Гиперссылка 2" xfId="14681" hidden="1"/>
    <cellStyle name="Гиперссылка 2" xfId="19210" hidden="1"/>
    <cellStyle name="Гиперссылка 2" xfId="18001" hidden="1"/>
    <cellStyle name="Гиперссылка 2" xfId="19693" hidden="1"/>
    <cellStyle name="Гиперссылка 2" xfId="19933" hidden="1"/>
    <cellStyle name="Гиперссылка 2" xfId="20245" hidden="1"/>
    <cellStyle name="Гиперссылка 2" xfId="20129" hidden="1"/>
    <cellStyle name="Гиперссылка 2" xfId="18249" hidden="1"/>
    <cellStyle name="Гиперссылка 2" xfId="17893" hidden="1"/>
    <cellStyle name="Гиперссылка 2" xfId="20122" hidden="1"/>
    <cellStyle name="Гиперссылка 2" xfId="20239" hidden="1"/>
    <cellStyle name="Гиперссылка 2" xfId="18580" hidden="1"/>
    <cellStyle name="Гиперссылка 2" xfId="19856" hidden="1"/>
    <cellStyle name="Гиперссылка 2" xfId="18166" hidden="1"/>
    <cellStyle name="Гиперссылка 2" xfId="14744" hidden="1"/>
    <cellStyle name="Гиперссылка 2" xfId="19363" hidden="1"/>
    <cellStyle name="Гиперссылка 2" xfId="19196" hidden="1"/>
    <cellStyle name="Гиперссылка 2" xfId="17820" hidden="1"/>
    <cellStyle name="Гиперссылка 2" xfId="14710" hidden="1"/>
    <cellStyle name="Гиперссылка 2" xfId="18346" hidden="1"/>
    <cellStyle name="Гиперссылка 2" xfId="18766" hidden="1"/>
    <cellStyle name="Гиперссылка 2" xfId="20014" hidden="1"/>
    <cellStyle name="Гиперссылка 2" xfId="17834" hidden="1"/>
    <cellStyle name="Гиперссылка 2" xfId="18507" hidden="1"/>
    <cellStyle name="Гиперссылка 2" xfId="20066" hidden="1"/>
    <cellStyle name="Гиперссылка 2" xfId="18558" hidden="1"/>
    <cellStyle name="Гиперссылка 2" xfId="20020" hidden="1"/>
    <cellStyle name="Гиперссылка 2" xfId="20126" hidden="1"/>
    <cellStyle name="Гиперссылка 2" xfId="20016" hidden="1"/>
    <cellStyle name="Гиперссылка 2" xfId="17836" hidden="1"/>
    <cellStyle name="Гиперссылка 2" xfId="19880" hidden="1"/>
    <cellStyle name="Гиперссылка 2" xfId="19670" hidden="1"/>
    <cellStyle name="Гиперссылка 2" xfId="18909" hidden="1"/>
    <cellStyle name="Гиперссылка 2" xfId="19673" hidden="1"/>
    <cellStyle name="Гиперссылка 2" xfId="14732" hidden="1"/>
    <cellStyle name="Гиперссылка 2" xfId="18981" hidden="1"/>
    <cellStyle name="Гиперссылка 2" xfId="19669" hidden="1"/>
    <cellStyle name="Гиперссылка 2" xfId="20289" hidden="1"/>
    <cellStyle name="Гиперссылка 2" xfId="20185" hidden="1"/>
    <cellStyle name="Гиперссылка 2" xfId="18000" hidden="1"/>
    <cellStyle name="Гиперссылка 2" xfId="18163" hidden="1"/>
    <cellStyle name="Гиперссылка 2" xfId="19275" hidden="1"/>
    <cellStyle name="Гиперссылка 2" xfId="18134" hidden="1"/>
    <cellStyle name="Гиперссылка 2" xfId="20137" hidden="1"/>
    <cellStyle name="Гиперссылка 2" xfId="18812" hidden="1"/>
    <cellStyle name="Гиперссылка 2" xfId="19350" hidden="1"/>
    <cellStyle name="Гиперссылка 2" xfId="19743" hidden="1"/>
    <cellStyle name="Гиперссылка 2" xfId="18310" hidden="1"/>
    <cellStyle name="Гиперссылка 2" xfId="19337" hidden="1"/>
    <cellStyle name="Гиперссылка 2" xfId="19207" hidden="1"/>
    <cellStyle name="Гиперссылка 2" xfId="14704" hidden="1"/>
    <cellStyle name="Гиперссылка 2" xfId="19797" hidden="1"/>
    <cellStyle name="Гиперссылка 2" xfId="18357" hidden="1"/>
    <cellStyle name="Гиперссылка 2" xfId="18680" hidden="1"/>
    <cellStyle name="Гиперссылка 2" xfId="19430" hidden="1"/>
    <cellStyle name="Гиперссылка 2" xfId="19472" hidden="1"/>
    <cellStyle name="Гиперссылка 2" xfId="20194" hidden="1"/>
    <cellStyle name="Гиперссылка 2" xfId="20017" hidden="1"/>
    <cellStyle name="Гиперссылка 2" xfId="18769" hidden="1"/>
    <cellStyle name="Гиперссылка 2" xfId="20302" hidden="1"/>
    <cellStyle name="Гиперссылка 2" xfId="20004" hidden="1"/>
    <cellStyle name="Гиперссылка 2" xfId="20147" hidden="1"/>
    <cellStyle name="Гиперссылка 2" xfId="20203" hidden="1"/>
    <cellStyle name="Гиперссылка 2" xfId="17980" hidden="1"/>
    <cellStyle name="Гиперссылка 2" xfId="19675" hidden="1"/>
    <cellStyle name="Гиперссылка 2" xfId="20068" hidden="1"/>
    <cellStyle name="Гиперссылка 2" xfId="18402" hidden="1"/>
    <cellStyle name="Гиперссылка 2" xfId="17778" hidden="1"/>
    <cellStyle name="Гиперссылка 2" xfId="18686" hidden="1"/>
    <cellStyle name="Гиперссылка 2" xfId="18276" hidden="1"/>
    <cellStyle name="Гиперссылка 2" xfId="14750" hidden="1"/>
    <cellStyle name="Гиперссылка 2" xfId="17776" hidden="1"/>
    <cellStyle name="Гиперссылка 2" xfId="18297" hidden="1"/>
    <cellStyle name="Гиперссылка 2" xfId="19739" hidden="1"/>
    <cellStyle name="Гиперссылка 2" xfId="17832" hidden="1"/>
    <cellStyle name="Гиперссылка 2" xfId="20121" hidden="1"/>
    <cellStyle name="Гиперссылка 2" xfId="18351" hidden="1"/>
    <cellStyle name="Гиперссылка 2" xfId="18499" hidden="1"/>
    <cellStyle name="Гиперссылка 2" xfId="19053" hidden="1"/>
    <cellStyle name="Гиперссылка 2" xfId="18596" hidden="1"/>
    <cellStyle name="Гиперссылка 2" xfId="14747" hidden="1"/>
    <cellStyle name="Гиперссылка 2" xfId="19871" hidden="1"/>
    <cellStyle name="Гиперссылка 2" xfId="18811" hidden="1"/>
    <cellStyle name="Гиперссылка 2" xfId="19660" hidden="1"/>
    <cellStyle name="Гиперссылка 2" xfId="19334" hidden="1"/>
    <cellStyle name="Гиперссылка 2" xfId="20241" hidden="1"/>
    <cellStyle name="Гиперссылка 2" xfId="20124" hidden="1"/>
    <cellStyle name="Гиперссылка 2" xfId="19929" hidden="1"/>
    <cellStyle name="Гиперссылка 2" xfId="19124" hidden="1"/>
    <cellStyle name="Гиперссылка 2" xfId="20180" hidden="1"/>
    <cellStyle name="Гиперссылка 2" xfId="20287" hidden="1"/>
    <cellStyle name="Гиперссылка 2" xfId="18015" hidden="1"/>
    <cellStyle name="Гиперссылка 2" xfId="20053" hidden="1"/>
    <cellStyle name="Гиперссылка 2" xfId="18566" hidden="1"/>
    <cellStyle name="Гиперссылка 2" xfId="18690" hidden="1"/>
    <cellStyle name="Гиперссылка 2" xfId="19741" hidden="1"/>
    <cellStyle name="Гиперссылка 2" xfId="19074" hidden="1"/>
    <cellStyle name="Гиперссылка 2" xfId="20187" hidden="1"/>
    <cellStyle name="Гиперссылка 2" xfId="20063" hidden="1"/>
    <cellStyle name="Гиперссылка 2" xfId="19920" hidden="1"/>
    <cellStyle name="Гиперссылка 2" xfId="18560" hidden="1"/>
    <cellStyle name="Гиперссылка 2" xfId="20291" hidden="1"/>
    <cellStyle name="Гиперссылка 2" xfId="14689" hidden="1"/>
    <cellStyle name="Гиперссылка 2" xfId="20189" hidden="1"/>
    <cellStyle name="Гиперссылка 2" xfId="20243" hidden="1"/>
    <cellStyle name="Гиперссылка 2" xfId="20371" hidden="1"/>
    <cellStyle name="Гиперссылка 2" xfId="20372" hidden="1"/>
    <cellStyle name="Гиперссылка 2" xfId="20377" hidden="1"/>
    <cellStyle name="Гиперссылка 2" xfId="20378" hidden="1"/>
    <cellStyle name="Гиперссылка 2" xfId="20374" hidden="1"/>
    <cellStyle name="Гиперссылка 2" xfId="20373" hidden="1"/>
    <cellStyle name="Гиперссылка 2" xfId="20376" hidden="1"/>
    <cellStyle name="Гиперссылка 2" xfId="20375" hidden="1"/>
    <cellStyle name="Гиперссылка 2" xfId="20380" hidden="1"/>
    <cellStyle name="Гиперссылка 2" xfId="20379" hidden="1"/>
    <cellStyle name="Гиперссылка 2" xfId="20381" hidden="1"/>
    <cellStyle name="Гиперссылка 2" xfId="20382" hidden="1"/>
    <cellStyle name="Гиперссылка 2" xfId="20387" hidden="1"/>
    <cellStyle name="Гиперссылка 2" xfId="20388" hidden="1"/>
    <cellStyle name="Гиперссылка 2" xfId="20384" hidden="1"/>
    <cellStyle name="Гиперссылка 2" xfId="20383" hidden="1"/>
    <cellStyle name="Гиперссылка 2" xfId="20386" hidden="1"/>
    <cellStyle name="Гиперссылка 2" xfId="20385" hidden="1"/>
    <cellStyle name="Гиперссылка 2" xfId="20390" hidden="1"/>
    <cellStyle name="Гиперссылка 2" xfId="20389" hidden="1"/>
    <cellStyle name="Гиперссылка 2" xfId="20391" hidden="1"/>
    <cellStyle name="Гиперссылка 2" xfId="20392" hidden="1"/>
    <cellStyle name="Гиперссылка 2" xfId="20397" hidden="1"/>
    <cellStyle name="Гиперссылка 2" xfId="20398" hidden="1"/>
    <cellStyle name="Гиперссылка 2" xfId="20394" hidden="1"/>
    <cellStyle name="Гиперссылка 2" xfId="20393" hidden="1"/>
    <cellStyle name="Гиперссылка 2" xfId="20396" hidden="1"/>
    <cellStyle name="Гиперссылка 2" xfId="20395" hidden="1"/>
    <cellStyle name="Гиперссылка 2" xfId="20400" hidden="1"/>
    <cellStyle name="Гиперссылка 2" xfId="20399" hidden="1"/>
    <cellStyle name="Гиперссылка 2" xfId="20401" hidden="1"/>
    <cellStyle name="Гиперссылка 2" xfId="20402" hidden="1"/>
    <cellStyle name="Гиперссылка 2" xfId="20407" hidden="1"/>
    <cellStyle name="Гиперссылка 2" xfId="20408" hidden="1"/>
    <cellStyle name="Гиперссылка 2" xfId="20404" hidden="1"/>
    <cellStyle name="Гиперссылка 2" xfId="20403" hidden="1"/>
    <cellStyle name="Гиперссылка 2" xfId="20406" hidden="1"/>
    <cellStyle name="Гиперссылка 2" xfId="20405" hidden="1"/>
    <cellStyle name="Гиперссылка 2" xfId="20410" hidden="1"/>
    <cellStyle name="Гиперссылка 2" xfId="20409" hidden="1"/>
    <cellStyle name="Гиперссылка 2" xfId="20415" hidden="1"/>
    <cellStyle name="Гиперссылка 2" xfId="20416" hidden="1"/>
    <cellStyle name="Гиперссылка 2" xfId="20433" hidden="1"/>
    <cellStyle name="Гиперссылка 2" xfId="20434" hidden="1"/>
    <cellStyle name="Гиперссылка 2" xfId="20420" hidden="1"/>
    <cellStyle name="Гиперссылка 2" xfId="20417" hidden="1"/>
    <cellStyle name="Гиперссылка 2" xfId="20430" hidden="1"/>
    <cellStyle name="Гиперссылка 2" xfId="20429" hidden="1"/>
    <cellStyle name="Гиперссылка 2" xfId="20444" hidden="1"/>
    <cellStyle name="Гиперссылка 2" xfId="20443" hidden="1"/>
    <cellStyle name="Гиперссылка 2" xfId="20446" hidden="1"/>
    <cellStyle name="Гиперссылка 2" xfId="20447" hidden="1"/>
    <cellStyle name="Гиперссылка 2" xfId="20452" hidden="1"/>
    <cellStyle name="Гиперссылка 2" xfId="20453" hidden="1"/>
    <cellStyle name="Гиперссылка 2" xfId="20449" hidden="1"/>
    <cellStyle name="Гиперссылка 2" xfId="20448" hidden="1"/>
    <cellStyle name="Гиперссылка 2" xfId="20451" hidden="1"/>
    <cellStyle name="Гиперссылка 2" xfId="20450" hidden="1"/>
    <cellStyle name="Гиперссылка 2" xfId="20455" hidden="1"/>
    <cellStyle name="Гиперссылка 2" xfId="20454" hidden="1"/>
    <cellStyle name="Гиперссылка 2" xfId="20456" hidden="1"/>
    <cellStyle name="Гиперссылка 2" xfId="20457" hidden="1"/>
    <cellStyle name="Гиперссылка 2" xfId="20462" hidden="1"/>
    <cellStyle name="Гиперссылка 2" xfId="20463" hidden="1"/>
    <cellStyle name="Гиперссылка 2" xfId="20459" hidden="1"/>
    <cellStyle name="Гиперссылка 2" xfId="20458" hidden="1"/>
    <cellStyle name="Гиперссылка 2" xfId="20461" hidden="1"/>
    <cellStyle name="Гиперссылка 2" xfId="20460" hidden="1"/>
    <cellStyle name="Гиперссылка 2" xfId="20465" hidden="1"/>
    <cellStyle name="Гиперссылка 2" xfId="20464" hidden="1"/>
    <cellStyle name="Гиперссылка 2" xfId="20466" hidden="1"/>
    <cellStyle name="Гиперссылка 2" xfId="20467" hidden="1"/>
    <cellStyle name="Гиперссылка 2" xfId="20472" hidden="1"/>
    <cellStyle name="Гиперссылка 2" xfId="20473" hidden="1"/>
    <cellStyle name="Гиперссылка 2" xfId="20469" hidden="1"/>
    <cellStyle name="Гиперссылка 2" xfId="20468" hidden="1"/>
    <cellStyle name="Гиперссылка 2" xfId="20471" hidden="1"/>
    <cellStyle name="Гиперссылка 2" xfId="20470" hidden="1"/>
    <cellStyle name="Гиперссылка 2" xfId="20475" hidden="1"/>
    <cellStyle name="Гиперссылка 2" xfId="20474" hidden="1"/>
    <cellStyle name="Гиперссылка 2" xfId="20432" hidden="1"/>
    <cellStyle name="Гиперссылка 2" xfId="20425" hidden="1"/>
    <cellStyle name="Гиперссылка 2" xfId="20435" hidden="1"/>
    <cellStyle name="Гиперссылка 2" xfId="20419" hidden="1"/>
    <cellStyle name="Гиперссылка 2" xfId="20439" hidden="1"/>
    <cellStyle name="Гиперссылка 2" xfId="20445" hidden="1"/>
    <cellStyle name="Гиперссылка 2" xfId="20427" hidden="1"/>
    <cellStyle name="Гиперссылка 2" xfId="20436" hidden="1"/>
    <cellStyle name="Гиперссылка 2" xfId="20484" hidden="1"/>
    <cellStyle name="Гиперссылка 2" xfId="20483" hidden="1"/>
    <cellStyle name="Гиперссылка 2" xfId="20486" hidden="1"/>
    <cellStyle name="Гиперссылка 2" xfId="20487" hidden="1"/>
    <cellStyle name="Гиперссылка 2" xfId="20492" hidden="1"/>
    <cellStyle name="Гиперссылка 2" xfId="20493" hidden="1"/>
    <cellStyle name="Гиперссылка 2" xfId="20489" hidden="1"/>
    <cellStyle name="Гиперссылка 2" xfId="20488" hidden="1"/>
    <cellStyle name="Гиперссылка 2" xfId="20491" hidden="1"/>
    <cellStyle name="Гиперссылка 2" xfId="20490" hidden="1"/>
    <cellStyle name="Гиперссылка 2" xfId="20495" hidden="1"/>
    <cellStyle name="Гиперссылка 2" xfId="20494" hidden="1"/>
    <cellStyle name="Гиперссылка 2" xfId="20496" hidden="1"/>
    <cellStyle name="Гиперссылка 2" xfId="20497" hidden="1"/>
    <cellStyle name="Гиперссылка 2" xfId="20502" hidden="1"/>
    <cellStyle name="Гиперссылка 2" xfId="20503" hidden="1"/>
    <cellStyle name="Гиперссылка 2" xfId="20499" hidden="1"/>
    <cellStyle name="Гиперссылка 2" xfId="20498" hidden="1"/>
    <cellStyle name="Гиперссылка 2" xfId="20501" hidden="1"/>
    <cellStyle name="Гиперссылка 2" xfId="20500" hidden="1"/>
    <cellStyle name="Гиперссылка 2" xfId="20505" hidden="1"/>
    <cellStyle name="Гиперссылка 2" xfId="20504" hidden="1"/>
    <cellStyle name="Гиперссылка 2" xfId="20506" hidden="1"/>
    <cellStyle name="Гиперссылка 2" xfId="20507" hidden="1"/>
    <cellStyle name="Гиперссылка 2" xfId="20512" hidden="1"/>
    <cellStyle name="Гиперссылка 2" xfId="20513" hidden="1"/>
    <cellStyle name="Гиперссылка 2" xfId="20509" hidden="1"/>
    <cellStyle name="Гиперссылка 2" xfId="20508" hidden="1"/>
    <cellStyle name="Гиперссылка 2" xfId="20511" hidden="1"/>
    <cellStyle name="Гиперссылка 2" xfId="20510" hidden="1"/>
    <cellStyle name="Гиперссылка 2" xfId="20515" hidden="1"/>
    <cellStyle name="Гиперссылка 2" xfId="20514" hidden="1"/>
    <cellStyle name="Гиперссылка 2" xfId="20437" hidden="1"/>
    <cellStyle name="Гиперссылка 2" xfId="20366" hidden="1"/>
    <cellStyle name="Гиперссылка 2" xfId="20367" hidden="1"/>
    <cellStyle name="Гиперссылка 2" xfId="20421" hidden="1"/>
    <cellStyle name="Гиперссылка 2" xfId="20479" hidden="1"/>
    <cellStyle name="Гиперссылка 2" xfId="20485" hidden="1"/>
    <cellStyle name="Гиперссылка 2" xfId="20431" hidden="1"/>
    <cellStyle name="Гиперссылка 2" xfId="20476" hidden="1"/>
    <cellStyle name="Гиперссылка 2" xfId="20524" hidden="1"/>
    <cellStyle name="Гиперссылка 2" xfId="20523" hidden="1"/>
    <cellStyle name="Гиперссылка 2" xfId="20526" hidden="1"/>
    <cellStyle name="Гиперссылка 2" xfId="20527" hidden="1"/>
    <cellStyle name="Гиперссылка 2" xfId="20532" hidden="1"/>
    <cellStyle name="Гиперссылка 2" xfId="20533" hidden="1"/>
    <cellStyle name="Гиперссылка 2" xfId="20529" hidden="1"/>
    <cellStyle name="Гиперссылка 2" xfId="20528" hidden="1"/>
    <cellStyle name="Гиперссылка 2" xfId="20531" hidden="1"/>
    <cellStyle name="Гиперссылка 2" xfId="20530" hidden="1"/>
    <cellStyle name="Гиперссылка 2" xfId="20535" hidden="1"/>
    <cellStyle name="Гиперссылка 2" xfId="20534" hidden="1"/>
    <cellStyle name="Гиперссылка 2" xfId="20536" hidden="1"/>
    <cellStyle name="Гиперссылка 2" xfId="20537" hidden="1"/>
    <cellStyle name="Гиперссылка 2" xfId="20542" hidden="1"/>
    <cellStyle name="Гиперссылка 2" xfId="20543" hidden="1"/>
    <cellStyle name="Гиперссылка 2" xfId="20539" hidden="1"/>
    <cellStyle name="Гиперссылка 2" xfId="20538" hidden="1"/>
    <cellStyle name="Гиперссылка 2" xfId="20541" hidden="1"/>
    <cellStyle name="Гиперссылка 2" xfId="20540" hidden="1"/>
    <cellStyle name="Гиперссылка 2" xfId="20545" hidden="1"/>
    <cellStyle name="Гиперссылка 2" xfId="20544" hidden="1"/>
    <cellStyle name="Гиперссылка 2" xfId="20546" hidden="1"/>
    <cellStyle name="Гиперссылка 2" xfId="20547" hidden="1"/>
    <cellStyle name="Гиперссылка 2" xfId="20552" hidden="1"/>
    <cellStyle name="Гиперссылка 2" xfId="20553" hidden="1"/>
    <cellStyle name="Гиперссылка 2" xfId="20549" hidden="1"/>
    <cellStyle name="Гиперссылка 2" xfId="20548" hidden="1"/>
    <cellStyle name="Гиперссылка 2" xfId="20551" hidden="1"/>
    <cellStyle name="Гиперссылка 2" xfId="20550" hidden="1"/>
    <cellStyle name="Гиперссылка 2" xfId="20555" hidden="1"/>
    <cellStyle name="Гиперссылка 2" xfId="20554" hidden="1"/>
    <cellStyle name="Гиперссылка 2" xfId="20477" hidden="1"/>
    <cellStyle name="Гиперссылка 2" xfId="20368" hidden="1"/>
    <cellStyle name="Гиперссылка 2" xfId="20423" hidden="1"/>
    <cellStyle name="Гиперссылка 2" xfId="20369" hidden="1"/>
    <cellStyle name="Гиперссылка 2" xfId="20519" hidden="1"/>
    <cellStyle name="Гиперссылка 2" xfId="20525" hidden="1"/>
    <cellStyle name="Гиперссылка 2" xfId="20426" hidden="1"/>
    <cellStyle name="Гиперссылка 2" xfId="20516" hidden="1"/>
    <cellStyle name="Гиперссылка 2" xfId="20564" hidden="1"/>
    <cellStyle name="Гиперссылка 2" xfId="20563" hidden="1"/>
    <cellStyle name="Гиперссылка 2" xfId="20566" hidden="1"/>
    <cellStyle name="Гиперссылка 2" xfId="20567" hidden="1"/>
    <cellStyle name="Гиперссылка 2" xfId="20572" hidden="1"/>
    <cellStyle name="Гиперссылка 2" xfId="20573" hidden="1"/>
    <cellStyle name="Гиперссылка 2" xfId="20569" hidden="1"/>
    <cellStyle name="Гиперссылка 2" xfId="20568" hidden="1"/>
    <cellStyle name="Гиперссылка 2" xfId="20571" hidden="1"/>
    <cellStyle name="Гиперссылка 2" xfId="20570" hidden="1"/>
    <cellStyle name="Гиперссылка 2" xfId="20575" hidden="1"/>
    <cellStyle name="Гиперссылка 2" xfId="20574" hidden="1"/>
    <cellStyle name="Гиперссылка 2" xfId="20576" hidden="1"/>
    <cellStyle name="Гиперссылка 2" xfId="20577" hidden="1"/>
    <cellStyle name="Гиперссылка 2" xfId="20582" hidden="1"/>
    <cellStyle name="Гиперссылка 2" xfId="20583" hidden="1"/>
    <cellStyle name="Гиперссылка 2" xfId="20579" hidden="1"/>
    <cellStyle name="Гиперссылка 2" xfId="20578" hidden="1"/>
    <cellStyle name="Гиперссылка 2" xfId="20581" hidden="1"/>
    <cellStyle name="Гиперссылка 2" xfId="20580" hidden="1"/>
    <cellStyle name="Гиперссылка 2" xfId="20585" hidden="1"/>
    <cellStyle name="Гиперссылка 2" xfId="20584" hidden="1"/>
    <cellStyle name="Гиперссылка 2" xfId="20586" hidden="1"/>
    <cellStyle name="Гиперссылка 2" xfId="20587" hidden="1"/>
    <cellStyle name="Гиперссылка 2" xfId="20592" hidden="1"/>
    <cellStyle name="Гиперссылка 2" xfId="20593" hidden="1"/>
    <cellStyle name="Гиперссылка 2" xfId="20589" hidden="1"/>
    <cellStyle name="Гиперссылка 2" xfId="20588" hidden="1"/>
    <cellStyle name="Гиперссылка 2" xfId="20591" hidden="1"/>
    <cellStyle name="Гиперссылка 2" xfId="20590" hidden="1"/>
    <cellStyle name="Гиперссылка 2" xfId="20595" hidden="1"/>
    <cellStyle name="Гиперссылка 2" xfId="20594" hidden="1"/>
    <cellStyle name="Гиперссылка 2" xfId="20517" hidden="1"/>
    <cellStyle name="Гиперссылка 2" xfId="20424" hidden="1"/>
    <cellStyle name="Гиперссылка 2" xfId="20413" hidden="1"/>
    <cellStyle name="Гиперссылка 2" xfId="20422" hidden="1"/>
    <cellStyle name="Гиперссылка 2" xfId="20559" hidden="1"/>
    <cellStyle name="Гиперссылка 2" xfId="20565" hidden="1"/>
    <cellStyle name="Гиперссылка 2" xfId="20412" hidden="1"/>
    <cellStyle name="Гиперссылка 2" xfId="20556" hidden="1"/>
    <cellStyle name="Гиперссылка 2" xfId="20603" hidden="1"/>
    <cellStyle name="Гиперссылка 2" xfId="20602" hidden="1"/>
    <cellStyle name="Гиперссылка 2" xfId="20605" hidden="1"/>
    <cellStyle name="Гиперссылка 2" xfId="20606" hidden="1"/>
    <cellStyle name="Гиперссылка 2" xfId="20611" hidden="1"/>
    <cellStyle name="Гиперссылка 2" xfId="20612" hidden="1"/>
    <cellStyle name="Гиперссылка 2" xfId="20608" hidden="1"/>
    <cellStyle name="Гиперссылка 2" xfId="20607" hidden="1"/>
    <cellStyle name="Гиперссылка 2" xfId="20610" hidden="1"/>
    <cellStyle name="Гиперссылка 2" xfId="20609" hidden="1"/>
    <cellStyle name="Гиперссылка 2" xfId="20614" hidden="1"/>
    <cellStyle name="Гиперссылка 2" xfId="20613" hidden="1"/>
    <cellStyle name="Гиперссылка 2" xfId="20615" hidden="1"/>
    <cellStyle name="Гиперссылка 2" xfId="20616" hidden="1"/>
    <cellStyle name="Гиперссылка 2" xfId="20621" hidden="1"/>
    <cellStyle name="Гиперссылка 2" xfId="20622" hidden="1"/>
    <cellStyle name="Гиперссылка 2" xfId="20618" hidden="1"/>
    <cellStyle name="Гиперссылка 2" xfId="20617" hidden="1"/>
    <cellStyle name="Гиперссылка 2" xfId="20620" hidden="1"/>
    <cellStyle name="Гиперссылка 2" xfId="20619" hidden="1"/>
    <cellStyle name="Гиперссылка 2" xfId="20624" hidden="1"/>
    <cellStyle name="Гиперссылка 2" xfId="20623" hidden="1"/>
    <cellStyle name="Гиперссылка 2" xfId="20625" hidden="1"/>
    <cellStyle name="Гиперссылка 2" xfId="20626" hidden="1"/>
    <cellStyle name="Гиперссылка 2" xfId="20631" hidden="1"/>
    <cellStyle name="Гиперссылка 2" xfId="20632" hidden="1"/>
    <cellStyle name="Гиперссылка 2" xfId="20628" hidden="1"/>
    <cellStyle name="Гиперссылка 2" xfId="20627" hidden="1"/>
    <cellStyle name="Гиперссылка 2" xfId="20630" hidden="1"/>
    <cellStyle name="Гиперссылка 2" xfId="20629" hidden="1"/>
    <cellStyle name="Гиперссылка 2" xfId="20634" hidden="1"/>
    <cellStyle name="Гиперссылка 2" xfId="20633" hidden="1"/>
    <cellStyle name="Гиперссылка 2" xfId="20557" hidden="1"/>
    <cellStyle name="Гиперссылка 2" xfId="20428" hidden="1"/>
    <cellStyle name="Гиперссылка 2" xfId="20438" hidden="1"/>
    <cellStyle name="Гиперссылка 2" xfId="20414" hidden="1"/>
    <cellStyle name="Гиперссылка 2" xfId="20599" hidden="1"/>
    <cellStyle name="Гиперссылка 2" xfId="20604" hidden="1"/>
    <cellStyle name="Гиперссылка 2" xfId="20441" hidden="1"/>
    <cellStyle name="Гиперссылка 2" xfId="20596" hidden="1"/>
    <cellStyle name="Гиперссылка 2" xfId="20641" hidden="1"/>
    <cellStyle name="Гиперссылка 2" xfId="20640" hidden="1"/>
    <cellStyle name="Гиперссылка 2" xfId="20643" hidden="1"/>
    <cellStyle name="Гиперссылка 2" xfId="20644" hidden="1"/>
    <cellStyle name="Гиперссылка 2" xfId="20649" hidden="1"/>
    <cellStyle name="Гиперссылка 2" xfId="20650" hidden="1"/>
    <cellStyle name="Гиперссылка 2" xfId="20646" hidden="1"/>
    <cellStyle name="Гиперссылка 2" xfId="20645" hidden="1"/>
    <cellStyle name="Гиперссылка 2" xfId="20648" hidden="1"/>
    <cellStyle name="Гиперссылка 2" xfId="20647" hidden="1"/>
    <cellStyle name="Гиперссылка 2" xfId="20652" hidden="1"/>
    <cellStyle name="Гиперссылка 2" xfId="20651" hidden="1"/>
    <cellStyle name="Гиперссылка 2" xfId="20653" hidden="1"/>
    <cellStyle name="Гиперссылка 2" xfId="20654" hidden="1"/>
    <cellStyle name="Гиперссылка 2" xfId="20659" hidden="1"/>
    <cellStyle name="Гиперссылка 2" xfId="20660" hidden="1"/>
    <cellStyle name="Гиперссылка 2" xfId="20656" hidden="1"/>
    <cellStyle name="Гиперссылка 2" xfId="20655" hidden="1"/>
    <cellStyle name="Гиперссылка 2" xfId="20658" hidden="1"/>
    <cellStyle name="Гиперссылка 2" xfId="20657" hidden="1"/>
    <cellStyle name="Гиперссылка 2" xfId="20662" hidden="1"/>
    <cellStyle name="Гиперссылка 2" xfId="20661" hidden="1"/>
    <cellStyle name="Гиперссылка 2" xfId="20663" hidden="1"/>
    <cellStyle name="Гиперссылка 2" xfId="20664" hidden="1"/>
    <cellStyle name="Гиперссылка 2" xfId="20669" hidden="1"/>
    <cellStyle name="Гиперссылка 2" xfId="20670" hidden="1"/>
    <cellStyle name="Гиперссылка 2" xfId="20666" hidden="1"/>
    <cellStyle name="Гиперссылка 2" xfId="20665" hidden="1"/>
    <cellStyle name="Гиперссылка 2" xfId="20668" hidden="1"/>
    <cellStyle name="Гиперссылка 2" xfId="20667" hidden="1"/>
    <cellStyle name="Гиперссылка 2" xfId="20672" hidden="1"/>
    <cellStyle name="Гиперссылка 2" xfId="20671" hidden="1"/>
    <cellStyle name="Гиперссылка 2" xfId="20597" hidden="1"/>
    <cellStyle name="Гиперссылка 2" xfId="20370" hidden="1"/>
    <cellStyle name="Гиперссылка 2" xfId="20478" hidden="1"/>
    <cellStyle name="Гиперссылка 2" xfId="20418" hidden="1"/>
    <cellStyle name="Гиперссылка 2" xfId="20638" hidden="1"/>
    <cellStyle name="Гиперссылка 2" xfId="20642" hidden="1"/>
    <cellStyle name="Гиперссылка 2" xfId="20481" hidden="1"/>
    <cellStyle name="Гиперссылка 2" xfId="20635" hidden="1"/>
    <cellStyle name="Гиперссылка 2" xfId="20679" hidden="1"/>
    <cellStyle name="Гиперссылка 2" xfId="20678" hidden="1"/>
    <cellStyle name="Гиперссылка 2" xfId="20681" hidden="1"/>
    <cellStyle name="Гиперссылка 2" xfId="20682" hidden="1"/>
    <cellStyle name="Гиперссылка 2" xfId="20687" hidden="1"/>
    <cellStyle name="Гиперссылка 2" xfId="20688" hidden="1"/>
    <cellStyle name="Гиперссылка 2" xfId="20684" hidden="1"/>
    <cellStyle name="Гиперссылка 2" xfId="20683" hidden="1"/>
    <cellStyle name="Гиперссылка 2" xfId="20686" hidden="1"/>
    <cellStyle name="Гиперссылка 2" xfId="20685" hidden="1"/>
    <cellStyle name="Гиперссылка 2" xfId="20690" hidden="1"/>
    <cellStyle name="Гиперссылка 2" xfId="20689" hidden="1"/>
    <cellStyle name="Гиперссылка 2" xfId="20691" hidden="1"/>
    <cellStyle name="Гиперссылка 2" xfId="20692" hidden="1"/>
    <cellStyle name="Гиперссылка 2" xfId="20697" hidden="1"/>
    <cellStyle name="Гиперссылка 2" xfId="20698" hidden="1"/>
    <cellStyle name="Гиперссылка 2" xfId="20694" hidden="1"/>
    <cellStyle name="Гиперссылка 2" xfId="20693" hidden="1"/>
    <cellStyle name="Гиперссылка 2" xfId="20696" hidden="1"/>
    <cellStyle name="Гиперссылка 2" xfId="20695" hidden="1"/>
    <cellStyle name="Гиперссылка 2" xfId="20700" hidden="1"/>
    <cellStyle name="Гиперссылка 2" xfId="20699" hidden="1"/>
    <cellStyle name="Гиперссылка 2" xfId="20701" hidden="1"/>
    <cellStyle name="Гиперссылка 2" xfId="20702" hidden="1"/>
    <cellStyle name="Гиперссылка 2" xfId="20707" hidden="1"/>
    <cellStyle name="Гиперссылка 2" xfId="20708" hidden="1"/>
    <cellStyle name="Гиперссылка 2" xfId="20704" hidden="1"/>
    <cellStyle name="Гиперссылка 2" xfId="20703" hidden="1"/>
    <cellStyle name="Гиперссылка 2" xfId="20706" hidden="1"/>
    <cellStyle name="Гиперссылка 2" xfId="20705" hidden="1"/>
    <cellStyle name="Гиперссылка 2" xfId="20710" hidden="1"/>
    <cellStyle name="Гиперссылка 2" xfId="20709" hidden="1"/>
    <cellStyle name="Гиперссылка 2" xfId="20636" hidden="1"/>
    <cellStyle name="Гиперссылка 2" xfId="20411" hidden="1"/>
    <cellStyle name="Гиперссылка 2" xfId="20518" hidden="1"/>
    <cellStyle name="Гиперссылка 2" xfId="20442" hidden="1"/>
    <cellStyle name="Гиперссылка 2" xfId="20676" hidden="1"/>
    <cellStyle name="Гиперссылка 2" xfId="20680" hidden="1"/>
    <cellStyle name="Гиперссылка 2" xfId="20521" hidden="1"/>
    <cellStyle name="Гиперссылка 2" xfId="20673" hidden="1"/>
    <cellStyle name="Гиперссылка 2" xfId="20715" hidden="1"/>
    <cellStyle name="Гиперссылка 2" xfId="20714" hidden="1"/>
    <cellStyle name="Гиперссылка 2" xfId="20717" hidden="1"/>
    <cellStyle name="Гиперссылка 2" xfId="20718" hidden="1"/>
    <cellStyle name="Гиперссылка 2" xfId="20723" hidden="1"/>
    <cellStyle name="Гиперссылка 2" xfId="20724" hidden="1"/>
    <cellStyle name="Гиперссылка 2" xfId="20720" hidden="1"/>
    <cellStyle name="Гиперссылка 2" xfId="20719" hidden="1"/>
    <cellStyle name="Гиперссылка 2" xfId="20722" hidden="1"/>
    <cellStyle name="Гиперссылка 2" xfId="20721" hidden="1"/>
    <cellStyle name="Гиперссылка 2" xfId="20726" hidden="1"/>
    <cellStyle name="Гиперссылка 2" xfId="20725" hidden="1"/>
    <cellStyle name="Гиперссылка 2" xfId="20727" hidden="1"/>
    <cellStyle name="Гиперссылка 2" xfId="20728" hidden="1"/>
    <cellStyle name="Гиперссылка 2" xfId="20733" hidden="1"/>
    <cellStyle name="Гиперссылка 2" xfId="20734" hidden="1"/>
    <cellStyle name="Гиперссылка 2" xfId="20730" hidden="1"/>
    <cellStyle name="Гиперссылка 2" xfId="20729" hidden="1"/>
    <cellStyle name="Гиперссылка 2" xfId="20732" hidden="1"/>
    <cellStyle name="Гиперссылка 2" xfId="20731" hidden="1"/>
    <cellStyle name="Гиперссылка 2" xfId="20736" hidden="1"/>
    <cellStyle name="Гиперссылка 2" xfId="20735" hidden="1"/>
    <cellStyle name="Гиперссылка 2" xfId="20737" hidden="1"/>
    <cellStyle name="Гиперссылка 2" xfId="20738" hidden="1"/>
    <cellStyle name="Гиперссылка 2" xfId="20743" hidden="1"/>
    <cellStyle name="Гиперссылка 2" xfId="20744" hidden="1"/>
    <cellStyle name="Гиперссылка 2" xfId="20740" hidden="1"/>
    <cellStyle name="Гиперссылка 2" xfId="20739" hidden="1"/>
    <cellStyle name="Гиперссылка 2" xfId="20742" hidden="1"/>
    <cellStyle name="Гиперссылка 2" xfId="20741" hidden="1"/>
    <cellStyle name="Гиперссылка 2" xfId="20746" hidden="1"/>
    <cellStyle name="Гиперссылка 2" xfId="20745" hidden="1"/>
    <cellStyle name="Гиперссылка 2" xfId="20674" hidden="1"/>
    <cellStyle name="Гиперссылка 2" xfId="20440" hidden="1"/>
    <cellStyle name="Гиперссылка 2" xfId="20558" hidden="1"/>
    <cellStyle name="Гиперссылка 2" xfId="20482" hidden="1"/>
    <cellStyle name="Гиперссылка 2" xfId="20713" hidden="1"/>
    <cellStyle name="Гиперссылка 2" xfId="20716" hidden="1"/>
    <cellStyle name="Гиперссылка 2" xfId="20561" hidden="1"/>
    <cellStyle name="Гиперссылка 2" xfId="20711" hidden="1"/>
    <cellStyle name="Гиперссылка 2" xfId="20751" hidden="1"/>
    <cellStyle name="Гиперссылка 2" xfId="20750" hidden="1"/>
    <cellStyle name="Гиперссылка 2" xfId="20753" hidden="1"/>
    <cellStyle name="Гиперссылка 2" xfId="20754" hidden="1"/>
    <cellStyle name="Гиперссылка 2" xfId="20759" hidden="1"/>
    <cellStyle name="Гиперссылка 2" xfId="20760" hidden="1"/>
    <cellStyle name="Гиперссылка 2" xfId="20756" hidden="1"/>
    <cellStyle name="Гиперссылка 2" xfId="20755" hidden="1"/>
    <cellStyle name="Гиперссылка 2" xfId="20758" hidden="1"/>
    <cellStyle name="Гиперссылка 2" xfId="20757" hidden="1"/>
    <cellStyle name="Гиперссылка 2" xfId="20762" hidden="1"/>
    <cellStyle name="Гиперссылка 2" xfId="20761" hidden="1"/>
    <cellStyle name="Гиперссылка 2" xfId="20763" hidden="1"/>
    <cellStyle name="Гиперссылка 2" xfId="20764" hidden="1"/>
    <cellStyle name="Гиперссылка 2" xfId="20769" hidden="1"/>
    <cellStyle name="Гиперссылка 2" xfId="20770" hidden="1"/>
    <cellStyle name="Гиперссылка 2" xfId="20766" hidden="1"/>
    <cellStyle name="Гиперссылка 2" xfId="20765" hidden="1"/>
    <cellStyle name="Гиперссылка 2" xfId="20768" hidden="1"/>
    <cellStyle name="Гиперссылка 2" xfId="20767" hidden="1"/>
    <cellStyle name="Гиперссылка 2" xfId="20772" hidden="1"/>
    <cellStyle name="Гиперссылка 2" xfId="20771" hidden="1"/>
    <cellStyle name="Гиперссылка 2" xfId="20773" hidden="1"/>
    <cellStyle name="Гиперссылка 2" xfId="20774" hidden="1"/>
    <cellStyle name="Гиперссылка 2" xfId="20779" hidden="1"/>
    <cellStyle name="Гиперссылка 2" xfId="20780" hidden="1"/>
    <cellStyle name="Гиперссылка 2" xfId="20776" hidden="1"/>
    <cellStyle name="Гиперссылка 2" xfId="20775" hidden="1"/>
    <cellStyle name="Гиперссылка 2" xfId="20778" hidden="1"/>
    <cellStyle name="Гиперссылка 2" xfId="20777" hidden="1"/>
    <cellStyle name="Гиперссылка 2" xfId="20782" hidden="1"/>
    <cellStyle name="Гиперссылка 2" xfId="20781" hidden="1"/>
    <cellStyle name="Гиперссылка 2" xfId="20712" hidden="1"/>
    <cellStyle name="Гиперссылка 2" xfId="20480" hidden="1"/>
    <cellStyle name="Гиперссылка 2" xfId="20598" hidden="1"/>
    <cellStyle name="Гиперссылка 2" xfId="20522" hidden="1"/>
    <cellStyle name="Гиперссылка 2" xfId="20749" hidden="1"/>
    <cellStyle name="Гиперссылка 2" xfId="20752" hidden="1"/>
    <cellStyle name="Гиперссылка 2" xfId="20600" hidden="1"/>
    <cellStyle name="Гиперссылка 2" xfId="20747" hidden="1"/>
    <cellStyle name="Гиперссылка 2" xfId="20787" hidden="1"/>
    <cellStyle name="Гиперссылка 2" xfId="20786" hidden="1"/>
    <cellStyle name="Гиперссылка 2" xfId="20789" hidden="1"/>
    <cellStyle name="Гиперссылка 2" xfId="20790" hidden="1"/>
    <cellStyle name="Гиперссылка 2" xfId="20795" hidden="1"/>
    <cellStyle name="Гиперссылка 2" xfId="20796" hidden="1"/>
    <cellStyle name="Гиперссылка 2" xfId="20792" hidden="1"/>
    <cellStyle name="Гиперссылка 2" xfId="20791" hidden="1"/>
    <cellStyle name="Гиперссылка 2" xfId="20794" hidden="1"/>
    <cellStyle name="Гиперссылка 2" xfId="20793" hidden="1"/>
    <cellStyle name="Гиперссылка 2" xfId="20798" hidden="1"/>
    <cellStyle name="Гиперссылка 2" xfId="20797" hidden="1"/>
    <cellStyle name="Гиперссылка 2" xfId="20799" hidden="1"/>
    <cellStyle name="Гиперссылка 2" xfId="20800" hidden="1"/>
    <cellStyle name="Гиперссылка 2" xfId="20805" hidden="1"/>
    <cellStyle name="Гиперссылка 2" xfId="20806" hidden="1"/>
    <cellStyle name="Гиперссылка 2" xfId="20802" hidden="1"/>
    <cellStyle name="Гиперссылка 2" xfId="20801" hidden="1"/>
    <cellStyle name="Гиперссылка 2" xfId="20804" hidden="1"/>
    <cellStyle name="Гиперссылка 2" xfId="20803" hidden="1"/>
    <cellStyle name="Гиперссылка 2" xfId="20808" hidden="1"/>
    <cellStyle name="Гиперссылка 2" xfId="20807" hidden="1"/>
    <cellStyle name="Гиперссылка 2" xfId="20809" hidden="1"/>
    <cellStyle name="Гиперссылка 2" xfId="20810" hidden="1"/>
    <cellStyle name="Гиперссылка 2" xfId="20815" hidden="1"/>
    <cellStyle name="Гиперссылка 2" xfId="20816" hidden="1"/>
    <cellStyle name="Гиперссылка 2" xfId="20812" hidden="1"/>
    <cellStyle name="Гиперссылка 2" xfId="20811" hidden="1"/>
    <cellStyle name="Гиперссылка 2" xfId="20814" hidden="1"/>
    <cellStyle name="Гиперссылка 2" xfId="20813" hidden="1"/>
    <cellStyle name="Гиперссылка 2" xfId="20818" hidden="1"/>
    <cellStyle name="Гиперссылка 2" xfId="20817" hidden="1"/>
    <cellStyle name="Гиперссылка 2" xfId="20748" hidden="1"/>
    <cellStyle name="Гиперссылка 2" xfId="20520" hidden="1"/>
    <cellStyle name="Гиперссылка 2" xfId="20637" hidden="1"/>
    <cellStyle name="Гиперссылка 2" xfId="20562" hidden="1"/>
    <cellStyle name="Гиперссылка 2" xfId="20785" hidden="1"/>
    <cellStyle name="Гиперссылка 2" xfId="20788" hidden="1"/>
    <cellStyle name="Гиперссылка 2" xfId="20639" hidden="1"/>
    <cellStyle name="Гиперссылка 2" xfId="20783" hidden="1"/>
    <cellStyle name="Гиперссылка 2" xfId="20822" hidden="1"/>
    <cellStyle name="Гиперссылка 2" xfId="20821" hidden="1"/>
    <cellStyle name="Гиперссылка 2" xfId="20824" hidden="1"/>
    <cellStyle name="Гиперссылка 2" xfId="20825" hidden="1"/>
    <cellStyle name="Гиперссылка 2" xfId="20830" hidden="1"/>
    <cellStyle name="Гиперссылка 2" xfId="20831" hidden="1"/>
    <cellStyle name="Гиперссылка 2" xfId="20827" hidden="1"/>
    <cellStyle name="Гиперссылка 2" xfId="20826" hidden="1"/>
    <cellStyle name="Гиперссылка 2" xfId="20829" hidden="1"/>
    <cellStyle name="Гиперссылка 2" xfId="20828" hidden="1"/>
    <cellStyle name="Гиперссылка 2" xfId="20833" hidden="1"/>
    <cellStyle name="Гиперссылка 2" xfId="20832" hidden="1"/>
    <cellStyle name="Гиперссылка 2" xfId="20834" hidden="1"/>
    <cellStyle name="Гиперссылка 2" xfId="20835" hidden="1"/>
    <cellStyle name="Гиперссылка 2" xfId="20840" hidden="1"/>
    <cellStyle name="Гиперссылка 2" xfId="20841" hidden="1"/>
    <cellStyle name="Гиперссылка 2" xfId="20837" hidden="1"/>
    <cellStyle name="Гиперссылка 2" xfId="20836" hidden="1"/>
    <cellStyle name="Гиперссылка 2" xfId="20839" hidden="1"/>
    <cellStyle name="Гиперссылка 2" xfId="20838" hidden="1"/>
    <cellStyle name="Гиперссылка 2" xfId="20843" hidden="1"/>
    <cellStyle name="Гиперссылка 2" xfId="20842" hidden="1"/>
    <cellStyle name="Гиперссылка 2" xfId="20844" hidden="1"/>
    <cellStyle name="Гиперссылка 2" xfId="20845" hidden="1"/>
    <cellStyle name="Гиперссылка 2" xfId="20850" hidden="1"/>
    <cellStyle name="Гиперссылка 2" xfId="20851" hidden="1"/>
    <cellStyle name="Гиперссылка 2" xfId="20847" hidden="1"/>
    <cellStyle name="Гиперссылка 2" xfId="20846" hidden="1"/>
    <cellStyle name="Гиперссылка 2" xfId="20849" hidden="1"/>
    <cellStyle name="Гиперссылка 2" xfId="20848" hidden="1"/>
    <cellStyle name="Гиперссылка 2" xfId="20853" hidden="1"/>
    <cellStyle name="Гиперссылка 2" xfId="20852" hidden="1"/>
    <cellStyle name="Гиперссылка 2" xfId="20784" hidden="1"/>
    <cellStyle name="Гиперссылка 2" xfId="20560" hidden="1"/>
    <cellStyle name="Гиперссылка 2" xfId="20675" hidden="1"/>
    <cellStyle name="Гиперссылка 2" xfId="20601" hidden="1"/>
    <cellStyle name="Гиперссылка 2" xfId="20820" hidden="1"/>
    <cellStyle name="Гиперссылка 2" xfId="20823" hidden="1"/>
    <cellStyle name="Гиперссылка 2" xfId="20677" hidden="1"/>
    <cellStyle name="Гиперссылка 2" xfId="20819" hidden="1"/>
    <cellStyle name="Гиперссылка 2" xfId="20855" hidden="1"/>
    <cellStyle name="Гиперссылка 2" xfId="20854" hidden="1"/>
    <cellStyle name="Гиперссылка 2" xfId="20856" hidden="1"/>
    <cellStyle name="Гиперссылка 2" xfId="20857" hidden="1"/>
    <cellStyle name="Гиперссылка 2" xfId="20862" hidden="1"/>
    <cellStyle name="Гиперссылка 2" xfId="20863" hidden="1"/>
    <cellStyle name="Гиперссылка 2" xfId="20859" hidden="1"/>
    <cellStyle name="Гиперссылка 2" xfId="20858" hidden="1"/>
    <cellStyle name="Гиперссылка 2" xfId="20861" hidden="1"/>
    <cellStyle name="Гиперссылка 2" xfId="20860" hidden="1"/>
    <cellStyle name="Гиперссылка 2" xfId="20865" hidden="1"/>
    <cellStyle name="Гиперссылка 2" xfId="20864" hidden="1"/>
    <cellStyle name="Гиперссылка 2" xfId="20866" hidden="1"/>
    <cellStyle name="Гиперссылка 2" xfId="20867" hidden="1"/>
    <cellStyle name="Гиперссылка 2" xfId="20872" hidden="1"/>
    <cellStyle name="Гиперссылка 2" xfId="20873" hidden="1"/>
    <cellStyle name="Гиперссылка 2" xfId="20869" hidden="1"/>
    <cellStyle name="Гиперссылка 2" xfId="20868" hidden="1"/>
    <cellStyle name="Гиперссылка 2" xfId="20871" hidden="1"/>
    <cellStyle name="Гиперссылка 2" xfId="20870" hidden="1"/>
    <cellStyle name="Гиперссылка 2" xfId="20875" hidden="1"/>
    <cellStyle name="Гиперссылка 2" xfId="20874" hidden="1"/>
    <cellStyle name="Гиперссылка 2" xfId="20876" hidden="1"/>
    <cellStyle name="Гиперссылка 2" xfId="20877" hidden="1"/>
    <cellStyle name="Гиперссылка 2" xfId="20882" hidden="1"/>
    <cellStyle name="Гиперссылка 2" xfId="20883" hidden="1"/>
    <cellStyle name="Гиперссылка 2" xfId="20879" hidden="1"/>
    <cellStyle name="Гиперссылка 2" xfId="20878" hidden="1"/>
    <cellStyle name="Гиперссылка 2" xfId="20881" hidden="1"/>
    <cellStyle name="Гиперссылка 2" xfId="20880" hidden="1"/>
    <cellStyle name="Гиперссылка 2" xfId="20885" hidden="1"/>
    <cellStyle name="Гиперссылка 2" xfId="20884" hidden="1"/>
    <cellStyle name="Гиперссылка 2" xfId="20943" hidden="1"/>
    <cellStyle name="Гиперссылка 2" xfId="20944" hidden="1"/>
    <cellStyle name="Гиперссылка 2" xfId="21048" hidden="1"/>
    <cellStyle name="Гиперссылка 2" xfId="21049" hidden="1"/>
    <cellStyle name="Гиперссылка 2" xfId="20987" hidden="1"/>
    <cellStyle name="Гиперссылка 2" xfId="20947" hidden="1"/>
    <cellStyle name="Гиперссылка 2" xfId="21033" hidden="1"/>
    <cellStyle name="Гиперссылка 2" xfId="21032" hidden="1"/>
    <cellStyle name="Гиперссылка 2" xfId="21094" hidden="1"/>
    <cellStyle name="Гиперссылка 2" xfId="21093" hidden="1"/>
    <cellStyle name="Гиперссылка 2" xfId="21107" hidden="1"/>
    <cellStyle name="Гиперссылка 2" xfId="21108" hidden="1"/>
    <cellStyle name="Гиперссылка 2" xfId="21114" hidden="1"/>
    <cellStyle name="Гиперссылка 2" xfId="21115" hidden="1"/>
    <cellStyle name="Гиперссылка 2" xfId="21111" hidden="1"/>
    <cellStyle name="Гиперссылка 2" xfId="21110" hidden="1"/>
    <cellStyle name="Гиперссылка 2" xfId="21113" hidden="1"/>
    <cellStyle name="Гиперссылка 2" xfId="21112" hidden="1"/>
    <cellStyle name="Гиперссылка 2" xfId="21117" hidden="1"/>
    <cellStyle name="Гиперссылка 2" xfId="21116" hidden="1"/>
    <cellStyle name="Гиперссылка 2" xfId="21118" hidden="1"/>
    <cellStyle name="Гиперссылка 2" xfId="21119" hidden="1"/>
    <cellStyle name="Гиперссылка 2" xfId="21124" hidden="1"/>
    <cellStyle name="Гиперссылка 2" xfId="21125" hidden="1"/>
    <cellStyle name="Гиперссылка 2" xfId="21121" hidden="1"/>
    <cellStyle name="Гиперссылка 2" xfId="21120" hidden="1"/>
    <cellStyle name="Гиперссылка 2" xfId="21123" hidden="1"/>
    <cellStyle name="Гиперссылка 2" xfId="21122" hidden="1"/>
    <cellStyle name="Гиперссылка 2" xfId="21127" hidden="1"/>
    <cellStyle name="Гиперссылка 2" xfId="21126" hidden="1"/>
    <cellStyle name="Гиперссылка 2" xfId="21128" hidden="1"/>
    <cellStyle name="Гиперссылка 2" xfId="21129" hidden="1"/>
    <cellStyle name="Гиперссылка 2" xfId="21134" hidden="1"/>
    <cellStyle name="Гиперссылка 2" xfId="21135" hidden="1"/>
    <cellStyle name="Гиперссылка 2" xfId="21131" hidden="1"/>
    <cellStyle name="Гиперссылка 2" xfId="21130" hidden="1"/>
    <cellStyle name="Гиперссылка 2" xfId="21133" hidden="1"/>
    <cellStyle name="Гиперссылка 2" xfId="21132" hidden="1"/>
    <cellStyle name="Гиперссылка 2" xfId="21137" hidden="1"/>
    <cellStyle name="Гиперссылка 2" xfId="21136" hidden="1"/>
    <cellStyle name="Гиперссылка 2" xfId="21172" hidden="1"/>
    <cellStyle name="Гиперссылка 2" xfId="21173" hidden="1"/>
    <cellStyle name="Гиперссылка 2" xfId="21261" hidden="1"/>
    <cellStyle name="Гиперссылка 2" xfId="21262" hidden="1"/>
    <cellStyle name="Гиперссылка 2" xfId="21218" hidden="1"/>
    <cellStyle name="Гиперссылка 2" xfId="21175" hidden="1"/>
    <cellStyle name="Гиперссылка 2" xfId="21250" hidden="1"/>
    <cellStyle name="Гиперссылка 2" xfId="21249" hidden="1"/>
    <cellStyle name="Гиперссылка 2" xfId="21315" hidden="1"/>
    <cellStyle name="Гиперссылка 2" xfId="21314" hidden="1"/>
    <cellStyle name="Гиперссылка 2" xfId="21328" hidden="1"/>
    <cellStyle name="Гиперссылка 2" xfId="21329" hidden="1"/>
    <cellStyle name="Гиперссылка 2" xfId="21334" hidden="1"/>
    <cellStyle name="Гиперссылка 2" xfId="21335" hidden="1"/>
    <cellStyle name="Гиперссылка 2" xfId="21331" hidden="1"/>
    <cellStyle name="Гиперссылка 2" xfId="21330" hidden="1"/>
    <cellStyle name="Гиперссылка 2" xfId="21333" hidden="1"/>
    <cellStyle name="Гиперссылка 2" xfId="21332" hidden="1"/>
    <cellStyle name="Гиперссылка 2" xfId="21337" hidden="1"/>
    <cellStyle name="Гиперссылка 2" xfId="21336" hidden="1"/>
    <cellStyle name="Гиперссылка 2" xfId="21339" hidden="1"/>
    <cellStyle name="Гиперссылка 2" xfId="21340" hidden="1"/>
    <cellStyle name="Гиперссылка 2" xfId="21345" hidden="1"/>
    <cellStyle name="Гиперссылка 2" xfId="21346" hidden="1"/>
    <cellStyle name="Гиперссылка 2" xfId="21342" hidden="1"/>
    <cellStyle name="Гиперссылка 2" xfId="21341" hidden="1"/>
    <cellStyle name="Гиперссылка 2" xfId="21344" hidden="1"/>
    <cellStyle name="Гиперссылка 2" xfId="21343" hidden="1"/>
    <cellStyle name="Гиперссылка 2" xfId="21348" hidden="1"/>
    <cellStyle name="Гиперссылка 2" xfId="21347" hidden="1"/>
    <cellStyle name="Гиперссылка 2" xfId="21349" hidden="1"/>
    <cellStyle name="Гиперссылка 2" xfId="21350" hidden="1"/>
    <cellStyle name="Гиперссылка 2" xfId="21355" hidden="1"/>
    <cellStyle name="Гиперссылка 2" xfId="21356" hidden="1"/>
    <cellStyle name="Гиперссылка 2" xfId="21352" hidden="1"/>
    <cellStyle name="Гиперссылка 2" xfId="21351" hidden="1"/>
    <cellStyle name="Гиперссылка 2" xfId="21354" hidden="1"/>
    <cellStyle name="Гиперссылка 2" xfId="21353" hidden="1"/>
    <cellStyle name="Гиперссылка 2" xfId="21358" hidden="1"/>
    <cellStyle name="Гиперссылка 2" xfId="21357" hidden="1"/>
    <cellStyle name="Гиперссылка 2" xfId="21259" hidden="1"/>
    <cellStyle name="Гиперссылка 2" xfId="21232" hidden="1"/>
    <cellStyle name="Гиперссылка 2" xfId="21269" hidden="1"/>
    <cellStyle name="Гиперссылка 2" xfId="21177" hidden="1"/>
    <cellStyle name="Гиперссылка 2" xfId="21287" hidden="1"/>
    <cellStyle name="Гиперссылка 2" xfId="21322" hidden="1"/>
    <cellStyle name="Гиперссылка 2" xfId="21243" hidden="1"/>
    <cellStyle name="Гиперссылка 2" xfId="21276" hidden="1"/>
    <cellStyle name="Гиперссылка 2" xfId="21396" hidden="1"/>
    <cellStyle name="Гиперссылка 2" xfId="21395" hidden="1"/>
    <cellStyle name="Гиперссылка 2" xfId="21406" hidden="1"/>
    <cellStyle name="Гиперссылка 2" xfId="21407" hidden="1"/>
    <cellStyle name="Гиперссылка 2" xfId="21412" hidden="1"/>
    <cellStyle name="Гиперссылка 2" xfId="21413" hidden="1"/>
    <cellStyle name="Гиперссылка 2" xfId="21409" hidden="1"/>
    <cellStyle name="Гиперссылка 2" xfId="21408" hidden="1"/>
    <cellStyle name="Гиперссылка 2" xfId="21411" hidden="1"/>
    <cellStyle name="Гиперссылка 2" xfId="21410" hidden="1"/>
    <cellStyle name="Гиперссылка 2" xfId="21415" hidden="1"/>
    <cellStyle name="Гиперссылка 2" xfId="21414" hidden="1"/>
    <cellStyle name="Гиперссылка 2" xfId="21417" hidden="1"/>
    <cellStyle name="Гиперссылка 2" xfId="21418" hidden="1"/>
    <cellStyle name="Гиперссылка 2" xfId="21423" hidden="1"/>
    <cellStyle name="Гиперссылка 2" xfId="21424" hidden="1"/>
    <cellStyle name="Гиперссылка 2" xfId="21420" hidden="1"/>
    <cellStyle name="Гиперссылка 2" xfId="21419" hidden="1"/>
    <cellStyle name="Гиперссылка 2" xfId="21422" hidden="1"/>
    <cellStyle name="Гиперссылка 2" xfId="21421" hidden="1"/>
    <cellStyle name="Гиперссылка 2" xfId="21426" hidden="1"/>
    <cellStyle name="Гиперссылка 2" xfId="21425" hidden="1"/>
    <cellStyle name="Гиперссылка 2" xfId="21427" hidden="1"/>
    <cellStyle name="Гиперссылка 2" xfId="21428" hidden="1"/>
    <cellStyle name="Гиперссылка 2" xfId="21433" hidden="1"/>
    <cellStyle name="Гиперссылка 2" xfId="21434" hidden="1"/>
    <cellStyle name="Гиперссылка 2" xfId="21430" hidden="1"/>
    <cellStyle name="Гиперссылка 2" xfId="21429" hidden="1"/>
    <cellStyle name="Гиперссылка 2" xfId="21432" hidden="1"/>
    <cellStyle name="Гиперссылка 2" xfId="21431" hidden="1"/>
    <cellStyle name="Гиперссылка 2" xfId="21436" hidden="1"/>
    <cellStyle name="Гиперссылка 2" xfId="21435" hidden="1"/>
    <cellStyle name="Гиперссылка 2" xfId="21277" hidden="1"/>
    <cellStyle name="Гиперссылка 2" xfId="20907" hidden="1"/>
    <cellStyle name="Гиперссылка 2" xfId="20914" hidden="1"/>
    <cellStyle name="Гиперссылка 2" xfId="21219" hidden="1"/>
    <cellStyle name="Гиперссылка 2" xfId="21372" hidden="1"/>
    <cellStyle name="Гиперссылка 2" xfId="21404" hidden="1"/>
    <cellStyle name="Гиперссылка 2" xfId="21256" hidden="1"/>
    <cellStyle name="Гиперссылка 2" xfId="21364" hidden="1"/>
    <cellStyle name="Гиперссылка 2" xfId="21475" hidden="1"/>
    <cellStyle name="Гиперссылка 2" xfId="21474" hidden="1"/>
    <cellStyle name="Гиперссылка 2" xfId="21488" hidden="1"/>
    <cellStyle name="Гиперссылка 2" xfId="21489" hidden="1"/>
    <cellStyle name="Гиперссылка 2" xfId="21495" hidden="1"/>
    <cellStyle name="Гиперссылка 2" xfId="21496" hidden="1"/>
    <cellStyle name="Гиперссылка 2" xfId="21492" hidden="1"/>
    <cellStyle name="Гиперссылка 2" xfId="21491" hidden="1"/>
    <cellStyle name="Гиперссылка 2" xfId="21494" hidden="1"/>
    <cellStyle name="Гиперссылка 2" xfId="21493" hidden="1"/>
    <cellStyle name="Гиперссылка 2" xfId="21498" hidden="1"/>
    <cellStyle name="Гиперссылка 2" xfId="21497" hidden="1"/>
    <cellStyle name="Гиперссылка 2" xfId="21500" hidden="1"/>
    <cellStyle name="Гиперссылка 2" xfId="21501" hidden="1"/>
    <cellStyle name="Гиперссылка 2" xfId="21506" hidden="1"/>
    <cellStyle name="Гиперссылка 2" xfId="21507" hidden="1"/>
    <cellStyle name="Гиперссылка 2" xfId="21503" hidden="1"/>
    <cellStyle name="Гиперссылка 2" xfId="21502" hidden="1"/>
    <cellStyle name="Гиперссылка 2" xfId="21505" hidden="1"/>
    <cellStyle name="Гиперссылка 2" xfId="21504" hidden="1"/>
    <cellStyle name="Гиперссылка 2" xfId="21509" hidden="1"/>
    <cellStyle name="Гиперссылка 2" xfId="21508" hidden="1"/>
    <cellStyle name="Гиперссылка 2" xfId="21510" hidden="1"/>
    <cellStyle name="Гиперссылка 2" xfId="21511" hidden="1"/>
    <cellStyle name="Гиперссылка 2" xfId="21516" hidden="1"/>
    <cellStyle name="Гиперссылка 2" xfId="21517" hidden="1"/>
    <cellStyle name="Гиперссылка 2" xfId="21513" hidden="1"/>
    <cellStyle name="Гиперссылка 2" xfId="21512" hidden="1"/>
    <cellStyle name="Гиперссылка 2" xfId="21515" hidden="1"/>
    <cellStyle name="Гиперссылка 2" xfId="21514" hidden="1"/>
    <cellStyle name="Гиперссылка 2" xfId="21519" hidden="1"/>
    <cellStyle name="Гиперссылка 2" xfId="21518" hidden="1"/>
    <cellStyle name="Гиперссылка 2" xfId="21365" hidden="1"/>
    <cellStyle name="Гиперссылка 2" xfId="20918" hidden="1"/>
    <cellStyle name="Гиперссылка 2" xfId="21225" hidden="1"/>
    <cellStyle name="Гиперссылка 2" xfId="20922" hidden="1"/>
    <cellStyle name="Гиперссылка 2" xfId="21450" hidden="1"/>
    <cellStyle name="Гиперссылка 2" xfId="21482" hidden="1"/>
    <cellStyle name="Гиперссылка 2" xfId="21239" hidden="1"/>
    <cellStyle name="Гиперссылка 2" xfId="21440" hidden="1"/>
    <cellStyle name="Гиперссылка 2" xfId="21556" hidden="1"/>
    <cellStyle name="Гиперссылка 2" xfId="21555" hidden="1"/>
    <cellStyle name="Гиперссылка 2" xfId="21571" hidden="1"/>
    <cellStyle name="Гиперссылка 2" xfId="21572" hidden="1"/>
    <cellStyle name="Гиперссылка 2" xfId="21577" hidden="1"/>
    <cellStyle name="Гиперссылка 2" xfId="21578" hidden="1"/>
    <cellStyle name="Гиперссылка 2" xfId="21574" hidden="1"/>
    <cellStyle name="Гиперссылка 2" xfId="21573" hidden="1"/>
    <cellStyle name="Гиперссылка 2" xfId="21576" hidden="1"/>
    <cellStyle name="Гиперссылка 2" xfId="21575" hidden="1"/>
    <cellStyle name="Гиперссылка 2" xfId="21580" hidden="1"/>
    <cellStyle name="Гиперссылка 2" xfId="21579" hidden="1"/>
    <cellStyle name="Гиперссылка 2" xfId="21582" hidden="1"/>
    <cellStyle name="Гиперссылка 2" xfId="21583" hidden="1"/>
    <cellStyle name="Гиперссылка 2" xfId="21588" hidden="1"/>
    <cellStyle name="Гиперссылка 2" xfId="21589" hidden="1"/>
    <cellStyle name="Гиперссылка 2" xfId="21585" hidden="1"/>
    <cellStyle name="Гиперссылка 2" xfId="21584" hidden="1"/>
    <cellStyle name="Гиперссылка 2" xfId="21587" hidden="1"/>
    <cellStyle name="Гиперссылка 2" xfId="21586" hidden="1"/>
    <cellStyle name="Гиперссылка 2" xfId="21591" hidden="1"/>
    <cellStyle name="Гиперссылка 2" xfId="21590" hidden="1"/>
    <cellStyle name="Гиперссылка 2" xfId="21592" hidden="1"/>
    <cellStyle name="Гиперссылка 2" xfId="21593" hidden="1"/>
    <cellStyle name="Гиперссылка 2" xfId="21598" hidden="1"/>
    <cellStyle name="Гиперссылка 2" xfId="21599" hidden="1"/>
    <cellStyle name="Гиперссылка 2" xfId="21595" hidden="1"/>
    <cellStyle name="Гиперссылка 2" xfId="21594" hidden="1"/>
    <cellStyle name="Гиперссылка 2" xfId="21597" hidden="1"/>
    <cellStyle name="Гиперссылка 2" xfId="21596" hidden="1"/>
    <cellStyle name="Гиперссылка 2" xfId="21601" hidden="1"/>
    <cellStyle name="Гиперссылка 2" xfId="21600" hidden="1"/>
    <cellStyle name="Гиперссылка 2" xfId="21441" hidden="1"/>
    <cellStyle name="Гиперссылка 2" xfId="21230" hidden="1"/>
    <cellStyle name="Гиперссылка 2" xfId="21162" hidden="1"/>
    <cellStyle name="Гиперссылка 2" xfId="21224" hidden="1"/>
    <cellStyle name="Гиперссылка 2" xfId="21529" hidden="1"/>
    <cellStyle name="Гиперссылка 2" xfId="21564" hidden="1"/>
    <cellStyle name="Гиперссылка 2" xfId="21160" hidden="1"/>
    <cellStyle name="Гиперссылка 2" xfId="21522" hidden="1"/>
    <cellStyle name="Гиперссылка 2" xfId="21629" hidden="1"/>
    <cellStyle name="Гиперссылка 2" xfId="21628" hidden="1"/>
    <cellStyle name="Гиперссылка 2" xfId="21641" hidden="1"/>
    <cellStyle name="Гиперссылка 2" xfId="21642" hidden="1"/>
    <cellStyle name="Гиперссылка 2" xfId="21647" hidden="1"/>
    <cellStyle name="Гиперссылка 2" xfId="21648" hidden="1"/>
    <cellStyle name="Гиперссылка 2" xfId="21644" hidden="1"/>
    <cellStyle name="Гиперссылка 2" xfId="21643" hidden="1"/>
    <cellStyle name="Гиперссылка 2" xfId="21646" hidden="1"/>
    <cellStyle name="Гиперссылка 2" xfId="21645" hidden="1"/>
    <cellStyle name="Гиперссылка 2" xfId="21650" hidden="1"/>
    <cellStyle name="Гиперссылка 2" xfId="21649" hidden="1"/>
    <cellStyle name="Гиперссылка 2" xfId="21652" hidden="1"/>
    <cellStyle name="Гиперссылка 2" xfId="21653" hidden="1"/>
    <cellStyle name="Гиперссылка 2" xfId="21658" hidden="1"/>
    <cellStyle name="Гиперссылка 2" xfId="21659" hidden="1"/>
    <cellStyle name="Гиперссылка 2" xfId="21655" hidden="1"/>
    <cellStyle name="Гиперссылка 2" xfId="21654" hidden="1"/>
    <cellStyle name="Гиперссылка 2" xfId="21657" hidden="1"/>
    <cellStyle name="Гиперссылка 2" xfId="21656" hidden="1"/>
    <cellStyle name="Гиперссылка 2" xfId="21661" hidden="1"/>
    <cellStyle name="Гиперссылка 2" xfId="21660" hidden="1"/>
    <cellStyle name="Гиперссылка 2" xfId="21662" hidden="1"/>
    <cellStyle name="Гиперссылка 2" xfId="21663" hidden="1"/>
    <cellStyle name="Гиперссылка 2" xfId="21668" hidden="1"/>
    <cellStyle name="Гиперссылка 2" xfId="21669" hidden="1"/>
    <cellStyle name="Гиперссылка 2" xfId="21665" hidden="1"/>
    <cellStyle name="Гиперссылка 2" xfId="21664" hidden="1"/>
    <cellStyle name="Гиперссылка 2" xfId="21667" hidden="1"/>
    <cellStyle name="Гиперссылка 2" xfId="21666" hidden="1"/>
    <cellStyle name="Гиперссылка 2" xfId="21671" hidden="1"/>
    <cellStyle name="Гиперссылка 2" xfId="21670" hidden="1"/>
    <cellStyle name="Гиперссылка 2" xfId="21523" hidden="1"/>
    <cellStyle name="Гиперссылка 2" xfId="21244" hidden="1"/>
    <cellStyle name="Гиперссылка 2" xfId="21285" hidden="1"/>
    <cellStyle name="Гиперссылка 2" xfId="21166" hidden="1"/>
    <cellStyle name="Гиперссылка 2" xfId="21609" hidden="1"/>
    <cellStyle name="Гиперссылка 2" xfId="21635" hidden="1"/>
    <cellStyle name="Гиперссылка 2" xfId="21298" hidden="1"/>
    <cellStyle name="Гиперссылка 2" xfId="21604" hidden="1"/>
    <cellStyle name="Гиперссылка 2" xfId="21707" hidden="1"/>
    <cellStyle name="Гиперссылка 2" xfId="21706" hidden="1"/>
    <cellStyle name="Гиперссылка 2" xfId="21718" hidden="1"/>
    <cellStyle name="Гиперссылка 2" xfId="21719" hidden="1"/>
    <cellStyle name="Гиперссылка 2" xfId="21724" hidden="1"/>
    <cellStyle name="Гиперссылка 2" xfId="21725" hidden="1"/>
    <cellStyle name="Гиперссылка 2" xfId="21721" hidden="1"/>
    <cellStyle name="Гиперссылка 2" xfId="21720" hidden="1"/>
    <cellStyle name="Гиперссылка 2" xfId="21723" hidden="1"/>
    <cellStyle name="Гиперссылка 2" xfId="21722" hidden="1"/>
    <cellStyle name="Гиперссылка 2" xfId="21727" hidden="1"/>
    <cellStyle name="Гиперссылка 2" xfId="21726" hidden="1"/>
    <cellStyle name="Гиперссылка 2" xfId="21729" hidden="1"/>
    <cellStyle name="Гиперссылка 2" xfId="21730" hidden="1"/>
    <cellStyle name="Гиперссылка 2" xfId="21735" hidden="1"/>
    <cellStyle name="Гиперссылка 2" xfId="21736" hidden="1"/>
    <cellStyle name="Гиперссылка 2" xfId="21732" hidden="1"/>
    <cellStyle name="Гиперссылка 2" xfId="21731" hidden="1"/>
    <cellStyle name="Гиперссылка 2" xfId="21734" hidden="1"/>
    <cellStyle name="Гиперссылка 2" xfId="21733" hidden="1"/>
    <cellStyle name="Гиперссылка 2" xfId="21738" hidden="1"/>
    <cellStyle name="Гиперссылка 2" xfId="21737" hidden="1"/>
    <cellStyle name="Гиперссылка 2" xfId="21739" hidden="1"/>
    <cellStyle name="Гиперссылка 2" xfId="21740" hidden="1"/>
    <cellStyle name="Гиперссылка 2" xfId="21745" hidden="1"/>
    <cellStyle name="Гиперссылка 2" xfId="21746" hidden="1"/>
    <cellStyle name="Гиперссылка 2" xfId="21742" hidden="1"/>
    <cellStyle name="Гиперссылка 2" xfId="21741" hidden="1"/>
    <cellStyle name="Гиперссылка 2" xfId="21744" hidden="1"/>
    <cellStyle name="Гиперссылка 2" xfId="21743" hidden="1"/>
    <cellStyle name="Гиперссылка 2" xfId="21748" hidden="1"/>
    <cellStyle name="Гиперссылка 2" xfId="21747" hidden="1"/>
    <cellStyle name="Гиперссылка 2" xfId="21605" hidden="1"/>
    <cellStyle name="Гиперссылка 2" xfId="20926" hidden="1"/>
    <cellStyle name="Гиперссылка 2" xfId="21369" hidden="1"/>
    <cellStyle name="Гиперссылка 2" xfId="21176" hidden="1"/>
    <cellStyle name="Гиперссылка 2" xfId="21685" hidden="1"/>
    <cellStyle name="Гиперссылка 2" xfId="21715" hidden="1"/>
    <cellStyle name="Гиперссылка 2" xfId="21385" hidden="1"/>
    <cellStyle name="Гиперссылка 2" xfId="21674" hidden="1"/>
    <cellStyle name="Гиперссылка 2" xfId="21778" hidden="1"/>
    <cellStyle name="Гиперссылка 2" xfId="21777" hidden="1"/>
    <cellStyle name="Гиперссылка 2" xfId="21788" hidden="1"/>
    <cellStyle name="Гиперссылка 2" xfId="21789" hidden="1"/>
    <cellStyle name="Гиперссылка 2" xfId="21794" hidden="1"/>
    <cellStyle name="Гиперссылка 2" xfId="21795" hidden="1"/>
    <cellStyle name="Гиперссылка 2" xfId="21791" hidden="1"/>
    <cellStyle name="Гиперссылка 2" xfId="21790" hidden="1"/>
    <cellStyle name="Гиперссылка 2" xfId="21793" hidden="1"/>
    <cellStyle name="Гиперссылка 2" xfId="21792" hidden="1"/>
    <cellStyle name="Гиперссылка 2" xfId="21797" hidden="1"/>
    <cellStyle name="Гиперссылка 2" xfId="21796" hidden="1"/>
    <cellStyle name="Гиперссылка 2" xfId="21798" hidden="1"/>
    <cellStyle name="Гиперссылка 2" xfId="21799" hidden="1"/>
    <cellStyle name="Гиперссылка 2" xfId="21804" hidden="1"/>
    <cellStyle name="Гиперссылка 2" xfId="21805" hidden="1"/>
    <cellStyle name="Гиперссылка 2" xfId="21801" hidden="1"/>
    <cellStyle name="Гиперссылка 2" xfId="21800" hidden="1"/>
    <cellStyle name="Гиперссылка 2" xfId="21803" hidden="1"/>
    <cellStyle name="Гиперссылка 2" xfId="21802" hidden="1"/>
    <cellStyle name="Гиперссылка 2" xfId="21807" hidden="1"/>
    <cellStyle name="Гиперссылка 2" xfId="21806" hidden="1"/>
    <cellStyle name="Гиперссылка 2" xfId="21808" hidden="1"/>
    <cellStyle name="Гиперссылка 2" xfId="21809" hidden="1"/>
    <cellStyle name="Гиперссылка 2" xfId="21814" hidden="1"/>
    <cellStyle name="Гиперссылка 2" xfId="21815" hidden="1"/>
    <cellStyle name="Гиперссылка 2" xfId="21811" hidden="1"/>
    <cellStyle name="Гиперссылка 2" xfId="21810" hidden="1"/>
    <cellStyle name="Гиперссылка 2" xfId="21813" hidden="1"/>
    <cellStyle name="Гиперссылка 2" xfId="21812" hidden="1"/>
    <cellStyle name="Гиперссылка 2" xfId="21817" hidden="1"/>
    <cellStyle name="Гиперссылка 2" xfId="21816" hidden="1"/>
    <cellStyle name="Гиперссылка 2" xfId="21675" hidden="1"/>
    <cellStyle name="Гиперссылка 2" xfId="21154" hidden="1"/>
    <cellStyle name="Гиперссылка 2" xfId="21447" hidden="1"/>
    <cellStyle name="Гиперссылка 2" xfId="21305" hidden="1"/>
    <cellStyle name="Гиперссылка 2" xfId="21760" hidden="1"/>
    <cellStyle name="Гиперссылка 2" xfId="21784" hidden="1"/>
    <cellStyle name="Гиперссылка 2" xfId="21458" hidden="1"/>
    <cellStyle name="Гиперссылка 2" xfId="21753" hidden="1"/>
    <cellStyle name="Гиперссылка 2" xfId="21841" hidden="1"/>
    <cellStyle name="Гиперссылка 2" xfId="21840" hidden="1"/>
    <cellStyle name="Гиперссылка 2" xfId="21852" hidden="1"/>
    <cellStyle name="Гиперссылка 2" xfId="21853" hidden="1"/>
    <cellStyle name="Гиперссылка 2" xfId="21858" hidden="1"/>
    <cellStyle name="Гиперссылка 2" xfId="21859" hidden="1"/>
    <cellStyle name="Гиперссылка 2" xfId="21855" hidden="1"/>
    <cellStyle name="Гиперссылка 2" xfId="21854" hidden="1"/>
    <cellStyle name="Гиперссылка 2" xfId="21857" hidden="1"/>
    <cellStyle name="Гиперссылка 2" xfId="21856" hidden="1"/>
    <cellStyle name="Гиперссылка 2" xfId="21861" hidden="1"/>
    <cellStyle name="Гиперссылка 2" xfId="21860" hidden="1"/>
    <cellStyle name="Гиперссылка 2" xfId="21864" hidden="1"/>
    <cellStyle name="Гиперссылка 2" xfId="21865" hidden="1"/>
    <cellStyle name="Гиперссылка 2" xfId="21870" hidden="1"/>
    <cellStyle name="Гиперссылка 2" xfId="21871" hidden="1"/>
    <cellStyle name="Гиперссылка 2" xfId="21867" hidden="1"/>
    <cellStyle name="Гиперссылка 2" xfId="21866" hidden="1"/>
    <cellStyle name="Гиперссылка 2" xfId="21869" hidden="1"/>
    <cellStyle name="Гиперссылка 2" xfId="21868" hidden="1"/>
    <cellStyle name="Гиперссылка 2" xfId="21873" hidden="1"/>
    <cellStyle name="Гиперссылка 2" xfId="21872" hidden="1"/>
    <cellStyle name="Гиперссылка 2" xfId="21874" hidden="1"/>
    <cellStyle name="Гиперссылка 2" xfId="21875" hidden="1"/>
    <cellStyle name="Гиперссылка 2" xfId="21880" hidden="1"/>
    <cellStyle name="Гиперссылка 2" xfId="21881" hidden="1"/>
    <cellStyle name="Гиперссылка 2" xfId="21877" hidden="1"/>
    <cellStyle name="Гиперссылка 2" xfId="21876" hidden="1"/>
    <cellStyle name="Гиперссылка 2" xfId="21879" hidden="1"/>
    <cellStyle name="Гиперссылка 2" xfId="21878" hidden="1"/>
    <cellStyle name="Гиперссылка 2" xfId="21883" hidden="1"/>
    <cellStyle name="Гиперссылка 2" xfId="21882" hidden="1"/>
    <cellStyle name="Гиперссылка 2" xfId="21754" hidden="1"/>
    <cellStyle name="Гиперссылка 2" xfId="21293" hidden="1"/>
    <cellStyle name="Гиперссылка 2" xfId="21527" hidden="1"/>
    <cellStyle name="Гиперссылка 2" xfId="21387" hidden="1"/>
    <cellStyle name="Гиперссылка 2" xfId="21823" hidden="1"/>
    <cellStyle name="Гиперссылка 2" xfId="21847" hidden="1"/>
    <cellStyle name="Гиперссылка 2" xfId="21541" hidden="1"/>
    <cellStyle name="Гиперссылка 2" xfId="21819" hidden="1"/>
    <cellStyle name="Гиперссылка 2" xfId="21906" hidden="1"/>
    <cellStyle name="Гиперссылка 2" xfId="21905" hidden="1"/>
    <cellStyle name="Гиперссылка 2" xfId="21917" hidden="1"/>
    <cellStyle name="Гиперссылка 2" xfId="21918" hidden="1"/>
    <cellStyle name="Гиперссылка 2" xfId="21923" hidden="1"/>
    <cellStyle name="Гиперссылка 2" xfId="21924" hidden="1"/>
    <cellStyle name="Гиперссылка 2" xfId="21920" hidden="1"/>
    <cellStyle name="Гиперссылка 2" xfId="21919" hidden="1"/>
    <cellStyle name="Гиперссылка 2" xfId="21922" hidden="1"/>
    <cellStyle name="Гиперссылка 2" xfId="21921" hidden="1"/>
    <cellStyle name="Гиперссылка 2" xfId="21926" hidden="1"/>
    <cellStyle name="Гиперссылка 2" xfId="21925" hidden="1"/>
    <cellStyle name="Гиперссылка 2" xfId="21927" hidden="1"/>
    <cellStyle name="Гиперссылка 2" xfId="21928" hidden="1"/>
    <cellStyle name="Гиперссылка 2" xfId="21933" hidden="1"/>
    <cellStyle name="Гиперссылка 2" xfId="21934" hidden="1"/>
    <cellStyle name="Гиперссылка 2" xfId="21930" hidden="1"/>
    <cellStyle name="Гиперссылка 2" xfId="21929" hidden="1"/>
    <cellStyle name="Гиперссылка 2" xfId="21932" hidden="1"/>
    <cellStyle name="Гиперссылка 2" xfId="21931" hidden="1"/>
    <cellStyle name="Гиперссылка 2" xfId="21936" hidden="1"/>
    <cellStyle name="Гиперссылка 2" xfId="21935" hidden="1"/>
    <cellStyle name="Гиперссылка 2" xfId="21937" hidden="1"/>
    <cellStyle name="Гиперссылка 2" xfId="21938" hidden="1"/>
    <cellStyle name="Гиперссылка 2" xfId="21943" hidden="1"/>
    <cellStyle name="Гиперссылка 2" xfId="21944" hidden="1"/>
    <cellStyle name="Гиперссылка 2" xfId="21940" hidden="1"/>
    <cellStyle name="Гиперссылка 2" xfId="21939" hidden="1"/>
    <cellStyle name="Гиперссылка 2" xfId="21942" hidden="1"/>
    <cellStyle name="Гиперссылка 2" xfId="21941" hidden="1"/>
    <cellStyle name="Гиперссылка 2" xfId="21946" hidden="1"/>
    <cellStyle name="Гиперссылка 2" xfId="21945" hidden="1"/>
    <cellStyle name="Гиперссылка 2" xfId="21820" hidden="1"/>
    <cellStyle name="Гиперссылка 2" xfId="21377" hidden="1"/>
    <cellStyle name="Гиперссылка 2" xfId="21607" hidden="1"/>
    <cellStyle name="Гиперссылка 2" xfId="21464" hidden="1"/>
    <cellStyle name="Гиперссылка 2" xfId="21891" hidden="1"/>
    <cellStyle name="Гиперссылка 2" xfId="21913" hidden="1"/>
    <cellStyle name="Гиперссылка 2" xfId="21616" hidden="1"/>
    <cellStyle name="Гиперссылка 2" xfId="21887" hidden="1"/>
    <cellStyle name="Гиперссылка 2" xfId="21967" hidden="1"/>
    <cellStyle name="Гиперссылка 2" xfId="21966" hidden="1"/>
    <cellStyle name="Гиперссылка 2" xfId="21974" hidden="1"/>
    <cellStyle name="Гиперссылка 2" xfId="21975" hidden="1"/>
    <cellStyle name="Гиперссылка 2" xfId="21980" hidden="1"/>
    <cellStyle name="Гиперссылка 2" xfId="21981" hidden="1"/>
    <cellStyle name="Гиперссылка 2" xfId="21977" hidden="1"/>
    <cellStyle name="Гиперссылка 2" xfId="21976" hidden="1"/>
    <cellStyle name="Гиперссылка 2" xfId="21979" hidden="1"/>
    <cellStyle name="Гиперссылка 2" xfId="21978" hidden="1"/>
    <cellStyle name="Гиперссылка 2" xfId="21983" hidden="1"/>
    <cellStyle name="Гиперссылка 2" xfId="21982" hidden="1"/>
    <cellStyle name="Гиперссылка 2" xfId="21985" hidden="1"/>
    <cellStyle name="Гиперссылка 2" xfId="21986" hidden="1"/>
    <cellStyle name="Гиперссылка 2" xfId="21991" hidden="1"/>
    <cellStyle name="Гиперссылка 2" xfId="21992" hidden="1"/>
    <cellStyle name="Гиперссылка 2" xfId="21988" hidden="1"/>
    <cellStyle name="Гиперссылка 2" xfId="21987" hidden="1"/>
    <cellStyle name="Гиперссылка 2" xfId="21990" hidden="1"/>
    <cellStyle name="Гиперссылка 2" xfId="21989" hidden="1"/>
    <cellStyle name="Гиперссылка 2" xfId="21994" hidden="1"/>
    <cellStyle name="Гиперссылка 2" xfId="21993" hidden="1"/>
    <cellStyle name="Гиперссылка 2" xfId="21995" hidden="1"/>
    <cellStyle name="Гиперссылка 2" xfId="21996" hidden="1"/>
    <cellStyle name="Гиперссылка 2" xfId="22001" hidden="1"/>
    <cellStyle name="Гиперссылка 2" xfId="22002" hidden="1"/>
    <cellStyle name="Гиперссылка 2" xfId="21998" hidden="1"/>
    <cellStyle name="Гиперссылка 2" xfId="21997" hidden="1"/>
    <cellStyle name="Гиперссылка 2" xfId="22000" hidden="1"/>
    <cellStyle name="Гиперссылка 2" xfId="21999" hidden="1"/>
    <cellStyle name="Гиперссылка 2" xfId="22004" hidden="1"/>
    <cellStyle name="Гиперссылка 2" xfId="22003" hidden="1"/>
    <cellStyle name="Гиперссылка 2" xfId="21888" hidden="1"/>
    <cellStyle name="Гиперссылка 2" xfId="21453" hidden="1"/>
    <cellStyle name="Гиперссылка 2" xfId="21682" hidden="1"/>
    <cellStyle name="Гиперссылка 2" xfId="21547" hidden="1"/>
    <cellStyle name="Гиперссылка 2" xfId="21950" hidden="1"/>
    <cellStyle name="Гиперссылка 2" xfId="21972" hidden="1"/>
    <cellStyle name="Гиперссылка 2" xfId="21694" hidden="1"/>
    <cellStyle name="Гиперссылка 2" xfId="21948" hidden="1"/>
    <cellStyle name="Гиперссылка 2" xfId="22017" hidden="1"/>
    <cellStyle name="Гиперссылка 2" xfId="22016" hidden="1"/>
    <cellStyle name="Гиперссылка 2" xfId="22021" hidden="1"/>
    <cellStyle name="Гиперссылка 2" xfId="22022" hidden="1"/>
    <cellStyle name="Гиперссылка 2" xfId="22027" hidden="1"/>
    <cellStyle name="Гиперссылка 2" xfId="22028" hidden="1"/>
    <cellStyle name="Гиперссылка 2" xfId="22024" hidden="1"/>
    <cellStyle name="Гиперссылка 2" xfId="22023" hidden="1"/>
    <cellStyle name="Гиперссылка 2" xfId="22026" hidden="1"/>
    <cellStyle name="Гиперссылка 2" xfId="22025" hidden="1"/>
    <cellStyle name="Гиперссылка 2" xfId="22030" hidden="1"/>
    <cellStyle name="Гиперссылка 2" xfId="22029" hidden="1"/>
    <cellStyle name="Гиперссылка 2" xfId="22031" hidden="1"/>
    <cellStyle name="Гиперссылка 2" xfId="22032" hidden="1"/>
    <cellStyle name="Гиперссылка 2" xfId="22037" hidden="1"/>
    <cellStyle name="Гиперссылка 2" xfId="22038" hidden="1"/>
    <cellStyle name="Гиперссылка 2" xfId="22034" hidden="1"/>
    <cellStyle name="Гиперссылка 2" xfId="22033" hidden="1"/>
    <cellStyle name="Гиперссылка 2" xfId="22036" hidden="1"/>
    <cellStyle name="Гиперссылка 2" xfId="22035" hidden="1"/>
    <cellStyle name="Гиперссылка 2" xfId="22040" hidden="1"/>
    <cellStyle name="Гиперссылка 2" xfId="22039" hidden="1"/>
    <cellStyle name="Гиперссылка 2" xfId="22041" hidden="1"/>
    <cellStyle name="Гиперссылка 2" xfId="22042" hidden="1"/>
    <cellStyle name="Гиперссылка 2" xfId="22047" hidden="1"/>
    <cellStyle name="Гиперссылка 2" xfId="22048" hidden="1"/>
    <cellStyle name="Гиперссылка 2" xfId="22044" hidden="1"/>
    <cellStyle name="Гиперссылка 2" xfId="22043" hidden="1"/>
    <cellStyle name="Гиперссылка 2" xfId="22046" hidden="1"/>
    <cellStyle name="Гиперссылка 2" xfId="22045" hidden="1"/>
    <cellStyle name="Гиперссылка 2" xfId="22050" hidden="1"/>
    <cellStyle name="Гиперссылка 2" xfId="22049" hidden="1"/>
    <cellStyle name="Гиперссылка 2" xfId="21949" hidden="1"/>
    <cellStyle name="Гиперссылка 2" xfId="21535" hidden="1"/>
    <cellStyle name="Гиперссылка 2" xfId="21759" hidden="1"/>
    <cellStyle name="Гиперссылка 2" xfId="21622" hidden="1"/>
    <cellStyle name="Гиперссылка 2" xfId="22009" hidden="1"/>
    <cellStyle name="Гиперссылка 2" xfId="22020" hidden="1"/>
    <cellStyle name="Гиперссылка 2" xfId="21767" hidden="1"/>
    <cellStyle name="Гиперссылка 2" xfId="22006" hidden="1"/>
    <cellStyle name="Гиперссылка 2" xfId="22052" hidden="1"/>
    <cellStyle name="Гиперссылка 2" xfId="22051" hidden="1"/>
    <cellStyle name="Гиперссылка 2" xfId="22053" hidden="1"/>
    <cellStyle name="Гиперссылка 2" xfId="22054" hidden="1"/>
    <cellStyle name="Гиперссылка 2" xfId="22059" hidden="1"/>
    <cellStyle name="Гиперссылка 2" xfId="22060" hidden="1"/>
    <cellStyle name="Гиперссылка 2" xfId="22056" hidden="1"/>
    <cellStyle name="Гиперссылка 2" xfId="22055" hidden="1"/>
    <cellStyle name="Гиперссылка 2" xfId="22058" hidden="1"/>
    <cellStyle name="Гиперссылка 2" xfId="22057" hidden="1"/>
    <cellStyle name="Гиперссылка 2" xfId="22062" hidden="1"/>
    <cellStyle name="Гиперссылка 2" xfId="22061" hidden="1"/>
    <cellStyle name="Гиперссылка 2" xfId="22063" hidden="1"/>
    <cellStyle name="Гиперссылка 2" xfId="22064" hidden="1"/>
    <cellStyle name="Гиперссылка 2" xfId="22069" hidden="1"/>
    <cellStyle name="Гиперссылка 2" xfId="22070" hidden="1"/>
    <cellStyle name="Гиперссылка 2" xfId="22066" hidden="1"/>
    <cellStyle name="Гиперссылка 2" xfId="22065" hidden="1"/>
    <cellStyle name="Гиперссылка 2" xfId="22068" hidden="1"/>
    <cellStyle name="Гиперссылка 2" xfId="22067" hidden="1"/>
    <cellStyle name="Гиперссылка 2" xfId="22072" hidden="1"/>
    <cellStyle name="Гиперссылка 2" xfId="22071" hidden="1"/>
    <cellStyle name="Гиперссылка 2" xfId="22073" hidden="1"/>
    <cellStyle name="Гиперссылка 2" xfId="22074" hidden="1"/>
    <cellStyle name="Гиперссылка 2" xfId="22079" hidden="1"/>
    <cellStyle name="Гиперссылка 2" xfId="22080" hidden="1"/>
    <cellStyle name="Гиперссылка 2" xfId="22076" hidden="1"/>
    <cellStyle name="Гиперссылка 2" xfId="22075" hidden="1"/>
    <cellStyle name="Гиперссылка 2" xfId="22078" hidden="1"/>
    <cellStyle name="Гиперссылка 2" xfId="22077" hidden="1"/>
    <cellStyle name="Гиперссылка 2" xfId="22082" hidden="1"/>
    <cellStyle name="Гиперссылка 2" xfId="22081" hidden="1"/>
    <cellStyle name="Гиперссылка 2" xfId="21487" hidden="1"/>
    <cellStyle name="Гиперссылка 2" xfId="15063" hidden="1"/>
    <cellStyle name="Гиперссылка 2" xfId="21843" hidden="1"/>
    <cellStyle name="Гиперссылка 2" xfId="20913" hidden="1"/>
    <cellStyle name="Гиперссылка 2" xfId="21690" hidden="1"/>
    <cellStyle name="Гиперссылка 2" xfId="21159" hidden="1"/>
    <cellStyle name="Гиперссылка 2" xfId="21071" hidden="1"/>
    <cellStyle name="Гиперссылка 2" xfId="21062" hidden="1"/>
    <cellStyle name="Гиперссылка 2" xfId="21081" hidden="1"/>
    <cellStyle name="Гиперссылка 2" xfId="20905" hidden="1"/>
    <cellStyle name="Гиперссылка 2" xfId="21961" hidden="1"/>
    <cellStyle name="Гиперссылка 2" xfId="21833" hidden="1"/>
    <cellStyle name="Гиперссылка 2" xfId="21390" hidden="1"/>
    <cellStyle name="Гиперссылка 2" xfId="14564" hidden="1"/>
    <cellStyle name="Гиперссылка 2" xfId="21773" hidden="1"/>
    <cellStyle name="Гиперссылка 2" xfId="21902" hidden="1"/>
    <cellStyle name="Гиперссылка 2" xfId="21551" hidden="1"/>
    <cellStyle name="Гиперссылка 2" xfId="21626" hidden="1"/>
    <cellStyle name="Гиперссылка 2" xfId="21615" hidden="1"/>
    <cellStyle name="Гиперссылка 2" xfId="14639" hidden="1"/>
    <cellStyle name="Гиперссылка 2" xfId="14980" hidden="1"/>
    <cellStyle name="Гиперссылка 2" xfId="21148" hidden="1"/>
    <cellStyle name="Гиперссылка 2" xfId="20948" hidden="1"/>
    <cellStyle name="Гиперссылка 2" xfId="20945" hidden="1"/>
    <cellStyle name="Гиперссылка 2" xfId="21237" hidden="1"/>
    <cellStyle name="Гиперссылка 2" xfId="21252" hidden="1"/>
    <cellStyle name="Гиперссылка 2" xfId="21050" hidden="1"/>
    <cellStyle name="Гиперссылка 2" xfId="21053" hidden="1"/>
    <cellStyle name="Гиперссылка 2" xfId="21105" hidden="1"/>
    <cellStyle name="Гиперссылка 2" xfId="20934" hidden="1"/>
    <cellStyle name="Гиперссылка 2" xfId="21047" hidden="1"/>
    <cellStyle name="Гиперссылка 2" xfId="20997" hidden="1"/>
    <cellStyle name="Гиперссылка 2" xfId="21038" hidden="1"/>
    <cellStyle name="Гиперссылка 2" xfId="21007" hidden="1"/>
    <cellStyle name="Гиперссылка 2" xfId="21027" hidden="1"/>
    <cellStyle name="Гиперссылка 2" xfId="21089" hidden="1"/>
    <cellStyle name="Гиперссылка 2" xfId="21099" hidden="1"/>
    <cellStyle name="Гиперссылка 2" xfId="20888" hidden="1"/>
    <cellStyle name="Гиперссылка 2" xfId="21042" hidden="1"/>
    <cellStyle name="Гиперссылка 2" xfId="21083" hidden="1"/>
    <cellStyle name="Гиперссылка 2" xfId="14592" hidden="1"/>
    <cellStyle name="Гиперссылка 2" xfId="21170" hidden="1"/>
    <cellStyle name="Гиперссылка 2" xfId="21077" hidden="1"/>
    <cellStyle name="Гиперссылка 2" xfId="21016" hidden="1"/>
    <cellStyle name="Гиперссылка 2" xfId="21098" hidden="1"/>
    <cellStyle name="Гиперссылка 2" xfId="21368" hidden="1"/>
    <cellStyle name="Гиперссылка 2" xfId="21895" hidden="1"/>
    <cellStyle name="Гиперссылка 2" xfId="21955" hidden="1"/>
    <cellStyle name="Гиперссылка 2" xfId="20981" hidden="1"/>
    <cellStyle name="Гиперссылка 2" xfId="21209" hidden="1"/>
    <cellStyle name="Гиперссылка 2" xfId="21677" hidden="1"/>
    <cellStyle name="Гиперссылка 2" xfId="21526" hidden="1"/>
    <cellStyle name="Гиперссылка 2" xfId="21012" hidden="1"/>
    <cellStyle name="Гиперссылка 2" xfId="21566" hidden="1"/>
    <cellStyle name="Гиперссылка 2" xfId="21301" hidden="1"/>
    <cellStyle name="Гиперссылка 2" xfId="14627" hidden="1"/>
    <cellStyle name="Гиперссылка 2" xfId="21074" hidden="1"/>
    <cellStyle name="Гиперссылка 2" xfId="21058" hidden="1"/>
    <cellStyle name="Гиперссылка 2" xfId="21241" hidden="1"/>
    <cellStyle name="Гиперссылка 2" xfId="21324" hidden="1"/>
    <cellStyle name="Гиперссылка 2" xfId="21914" hidden="1"/>
    <cellStyle name="Гиперссылка 2" xfId="21785" hidden="1"/>
    <cellStyle name="Гиперссылка 2" xfId="21544" hidden="1"/>
    <cellStyle name="Гиперссылка 2" xfId="14624" hidden="1"/>
    <cellStyle name="Гиперссылка 2" xfId="21899" hidden="1"/>
    <cellStyle name="Гиперссылка 2" xfId="22012" hidden="1"/>
    <cellStyle name="Гиперссылка 2" xfId="21697" hidden="1"/>
    <cellStyle name="Гиперссылка 2" xfId="21769" hidden="1"/>
    <cellStyle name="Гиперссылка 2" xfId="21060" hidden="1"/>
    <cellStyle name="Гиперссылка 2" xfId="21140" hidden="1"/>
    <cellStyle name="Гиперссылка 2" xfId="20978" hidden="1"/>
    <cellStyle name="Гиперссылка 2" xfId="21561" hidden="1"/>
    <cellStyle name="Гиперссылка 2" xfId="21781" hidden="1"/>
    <cellStyle name="Гиперссылка 2" xfId="21632" hidden="1"/>
    <cellStyle name="Гиперссылка 2" xfId="21260" hidden="1"/>
    <cellStyle name="Гиперссылка 2" xfId="21319" hidden="1"/>
    <cellStyle name="Гиперссылка 2" xfId="21910" hidden="1"/>
    <cellStyle name="Гиперссылка 2" xfId="20976" hidden="1"/>
    <cellStyle name="Гиперссылка 2" xfId="21911" hidden="1"/>
    <cellStyle name="Гиперссылка 2" xfId="21970" hidden="1"/>
    <cellStyle name="Гиперссылка 2" xfId="21393" hidden="1"/>
    <cellStyle name="Гиперссылка 2" xfId="21380" hidden="1"/>
    <cellStyle name="Гиперссылка 2" xfId="21834" hidden="1"/>
    <cellStyle name="Гиперссылка 2" xfId="20956" hidden="1"/>
    <cellStyle name="Гиперссылка 2" xfId="21273" hidden="1"/>
    <cellStyle name="Гиперссылка 2" xfId="21144" hidden="1"/>
    <cellStyle name="Гиперссылка 2" xfId="21611" hidden="1"/>
    <cellStyle name="Гиперссылка 2" xfId="21606" hidden="1"/>
    <cellStyle name="Гиперссылка 2" xfId="21067" hidden="1"/>
    <cellStyle name="Гиперссылка 2" xfId="21072" hidden="1"/>
    <cellStyle name="Гиперссылка 2" xfId="21200" hidden="1"/>
    <cellStyle name="Гиперссылка 2" xfId="21141" hidden="1"/>
    <cellStyle name="Гиперссылка 2" xfId="21499" hidden="1"/>
    <cellStyle name="Гиперссылка 2" xfId="21338" hidden="1"/>
    <cellStyle name="Гиперссылка 2" xfId="21862" hidden="1"/>
    <cellStyle name="Гиперссылка 2" xfId="21167" hidden="1"/>
    <cellStyle name="Гиперссылка 2" xfId="21651" hidden="1"/>
    <cellStyle name="Гиперссылка 2" xfId="21728" hidden="1"/>
    <cellStyle name="Гиперссылка 2" xfId="14601" hidden="1"/>
    <cellStyle name="Гиперссылка 2" xfId="14616" hidden="1"/>
    <cellStyle name="Гиперссылка 2" xfId="21617" hidden="1"/>
    <cellStyle name="Гиперссылка 2" xfId="21542" hidden="1"/>
    <cellStyle name="Гиперссылка 2" xfId="14982" hidden="1"/>
    <cellStyle name="Гиперссылка 2" xfId="21025" hidden="1"/>
    <cellStyle name="Гиперссылка 2" xfId="21235" hidden="1"/>
    <cellStyle name="Гиперссылка 2" xfId="21299" hidden="1"/>
    <cellStyle name="Гиперссылка 2" xfId="20894" hidden="1"/>
    <cellStyle name="Гиперссылка 2" xfId="20921" hidden="1"/>
    <cellStyle name="Гиперссылка 2" xfId="20937" hidden="1"/>
    <cellStyle name="Гиперссылка 2" xfId="20940" hidden="1"/>
    <cellStyle name="Гиперссылка 2" xfId="21104" hidden="1"/>
    <cellStyle name="Гиперссылка 2" xfId="21046" hidden="1"/>
    <cellStyle name="Гиперссылка 2" xfId="21100" hidden="1"/>
    <cellStyle name="Гиперссылка 2" xfId="21040" hidden="1"/>
    <cellStyle name="Гиперссылка 2" xfId="21091" hidden="1"/>
    <cellStyle name="Гиперссылка 2" xfId="20930" hidden="1"/>
    <cellStyle name="Гиперссылка 2" xfId="20998" hidden="1"/>
    <cellStyle name="Гиперссылка 2" xfId="21030" hidden="1"/>
    <cellStyle name="Гиперссылка 2" xfId="21102" hidden="1"/>
    <cellStyle name="Гиперссылка 2" xfId="21002" hidden="1"/>
    <cellStyle name="Гиперссылка 2" xfId="21524" hidden="1"/>
    <cellStyle name="Гиперссылка 2" xfId="21188" hidden="1"/>
    <cellStyle name="Гиперссылка 2" xfId="21097" hidden="1"/>
    <cellStyle name="Гиперссылка 2" xfId="21019" hidden="1"/>
    <cellStyle name="Гиперссылка 2" xfId="20889" hidden="1"/>
    <cellStyle name="Гиперссылка 2" xfId="14618" hidden="1"/>
    <cellStyle name="Гиперссылка 2" xfId="21839" hidden="1"/>
    <cellStyle name="Гиперссылка 2" xfId="21236" hidden="1"/>
    <cellStyle name="Гиперссылка 2" xfId="14562" hidden="1"/>
    <cellStyle name="Гиперссылка 2" xfId="20929" hidden="1"/>
    <cellStyle name="Гиперссылка 2" xfId="21618" hidden="1"/>
    <cellStyle name="Гиперссылка 2" xfId="21459" hidden="1"/>
    <cellStyle name="Гиперссылка 2" xfId="21156" hidden="1"/>
    <cellStyle name="Гиперссылка 2" xfId="21223" hidden="1"/>
    <cellStyle name="Гиперссылка 2" xfId="21957" hidden="1"/>
    <cellStyle name="Гиперссылка 2" xfId="20968" hidden="1"/>
    <cellStyle name="Гиперссылка 2" xfId="21768" hidden="1"/>
    <cellStyle name="Гиперссылка 2" xfId="21831" hidden="1"/>
    <cellStyle name="Гиперссылка 2" xfId="20917" hidden="1"/>
    <cellStyle name="Гиперссылка 2" xfId="21267" hidden="1"/>
    <cellStyle name="Гиперссылка 2" xfId="21179" hidden="1"/>
    <cellStyle name="Гиперссылка 2" xfId="20912" hidden="1"/>
    <cellStyle name="Гиперссылка 2" xfId="21234" hidden="1"/>
    <cellStyle name="Гиперссылка 2" xfId="20966" hidden="1"/>
    <cellStyle name="Гиперссылка 2" xfId="21359" hidden="1"/>
    <cellStyle name="Гиперссылка 2" xfId="21028" hidden="1"/>
    <cellStyle name="Гиперссылка 2" xfId="21251" hidden="1"/>
    <cellStyle name="Гиперссылка 2" xfId="21186" hidden="1"/>
    <cellStyle name="Гиперссылка 2" xfId="21520" hidden="1"/>
    <cellStyle name="Гиперссылка 2" xfId="21602" hidden="1"/>
    <cellStyle name="Гиперссылка 2" xfId="20908" hidden="1"/>
    <cellStyle name="Гиперссылка 2" xfId="21443" hidden="1"/>
    <cellStyle name="Гиперссылка 2" xfId="21311" hidden="1"/>
    <cellStyle name="Гиперссылка 2" xfId="21066" hidden="1"/>
    <cellStyle name="Гиперссылка 2" xfId="21233" hidden="1"/>
    <cellStyle name="Гиперссылка 2" xfId="21212" hidden="1"/>
    <cellStyle name="Гиперссылка 2" xfId="14999" hidden="1"/>
    <cellStyle name="Гиперссылка 2" xfId="21151" hidden="1"/>
    <cellStyle name="Гиперссылка 2" xfId="21479" hidden="1"/>
    <cellStyle name="Гиперссылка 2" xfId="20972" hidden="1"/>
    <cellStyle name="Гиперссылка 2" xfId="21271" hidden="1"/>
    <cellStyle name="Гиперссылка 2" xfId="21752" hidden="1"/>
    <cellStyle name="Гиперссылка 2" xfId="21568" hidden="1"/>
    <cellStyle name="Гиперссылка 2" xfId="21157" hidden="1"/>
    <cellStyle name="Гиперссылка 2" xfId="20935" hidden="1"/>
    <cellStyle name="Гиперссылка 2" xfId="21763" hidden="1"/>
    <cellStyle name="Гиперссылка 2" xfId="21018" hidden="1"/>
    <cellStyle name="Гиперссылка 2" xfId="15416" hidden="1"/>
    <cellStyle name="Гиперссылка 2" xfId="20963" hidden="1"/>
    <cellStyle name="Гиперссылка 2" xfId="21192" hidden="1"/>
    <cellStyle name="Гиперссылка 2" xfId="21900" hidden="1"/>
    <cellStyle name="Гиперссылка 2" xfId="21770" hidden="1"/>
    <cellStyle name="Гиперссылка 2" xfId="14600" hidden="1"/>
    <cellStyle name="Гиперссылка 2" xfId="14636" hidden="1"/>
    <cellStyle name="Гиперссылка 2" xfId="14591" hidden="1"/>
    <cellStyle name="Гиперссылка 2" xfId="21462" hidden="1"/>
    <cellStyle name="Гиперссылка 2" xfId="14610" hidden="1"/>
    <cellStyle name="Гиперссылка 2" xfId="14570" hidden="1"/>
    <cellStyle name="Гиперссылка 2" xfId="14651" hidden="1"/>
    <cellStyle name="Гиперссылка 2" xfId="14590" hidden="1"/>
    <cellStyle name="Гиперссылка 2" xfId="21092" hidden="1"/>
    <cellStyle name="Гиперссылка 2" xfId="21031" hidden="1"/>
    <cellStyle name="Гиперссылка 2" xfId="22014" hidden="1"/>
    <cellStyle name="Гиперссылка 2" xfId="21901" hidden="1"/>
    <cellStyle name="Гиперссылка 2" xfId="21465" hidden="1"/>
    <cellStyle name="Гиперссылка 2" xfId="21623" hidden="1"/>
    <cellStyle name="Гиперссылка 2" xfId="21196" hidden="1"/>
    <cellStyle name="Гиперссылка 2" xfId="21306" hidden="1"/>
    <cellStyle name="Гиперссылка 2" xfId="21693" hidden="1"/>
    <cellStyle name="Гиперссылка 2" xfId="20909" hidden="1"/>
    <cellStyle name="Гиперссылка 2" xfId="21538" hidden="1"/>
    <cellStyle name="Гиперссылка 2" xfId="21384" hidden="1"/>
    <cellStyle name="Гиперссылка 2" xfId="21061" hidden="1"/>
    <cellStyle name="Гиперссылка 2" xfId="20999" hidden="1"/>
    <cellStyle name="Гиперссылка 2" xfId="14960" hidden="1"/>
    <cellStyle name="Гиперссылка 2" xfId="21247" hidden="1"/>
    <cellStyle name="Гиперссылка 2" xfId="20915" hidden="1"/>
    <cellStyle name="Гиперссылка 2" xfId="21248" hidden="1"/>
    <cellStyle name="Гиперссылка 2" xfId="21180" hidden="1"/>
    <cellStyle name="Гиперссылка 2" xfId="21139" hidden="1"/>
    <cellStyle name="Гиперссылка 2" xfId="15413" hidden="1"/>
    <cellStyle name="Гиперссылка 2" xfId="21153" hidden="1"/>
    <cellStyle name="Гиперссылка 2" xfId="21051" hidden="1"/>
    <cellStyle name="Гиперссылка 2" xfId="21639" hidden="1"/>
    <cellStyle name="Гиперссылка 2" xfId="21960" hidden="1"/>
    <cellStyle name="Гиперссылка 2" xfId="21536" hidden="1"/>
    <cellStyle name="Гиперссылка 2" xfId="21484" hidden="1"/>
    <cellStyle name="Гиперссылка 2" xfId="21965" hidden="1"/>
    <cellStyle name="Гиперссылка 2" xfId="21174" hidden="1"/>
    <cellStyle name="Гиперссылка 2" xfId="21321" hidden="1"/>
    <cellStyle name="Гиперссылка 2" xfId="21984" hidden="1"/>
    <cellStyle name="Гиперссылка 2" xfId="21863" hidden="1"/>
    <cellStyle name="Гиперссылка 2" xfId="21197" hidden="1"/>
    <cellStyle name="Гиперссылка 2" xfId="14964" hidden="1"/>
    <cellStyle name="Гиперссылка 2" xfId="21534" hidden="1"/>
    <cellStyle name="Гиперссылка 2" xfId="21687" hidden="1"/>
    <cellStyle name="Гиперссылка 2" xfId="21292" hidden="1"/>
    <cellStyle name="Гиперссылка 2" xfId="21376" hidden="1"/>
    <cellStyle name="Гиперссылка 2" xfId="21090" hidden="1"/>
    <cellStyle name="Гиперссылка 2" xfId="20892" hidden="1"/>
    <cellStyle name="Гиперссылка 2" xfId="21370" hidden="1"/>
    <cellStyle name="Гиперссылка 2" xfId="21255" hidden="1"/>
    <cellStyle name="Гиперссылка 2" xfId="21448" hidden="1"/>
    <cellStyle name="Гиперссылка 2" xfId="22015" hidden="1"/>
    <cellStyle name="Гиперссылка 2" xfId="20960" hidden="1"/>
    <cellStyle name="Гиперссылка 2" xfId="21178" hidden="1"/>
    <cellStyle name="Гиперссылка 2" xfId="21608" hidden="1"/>
    <cellStyle name="Гиперссылка 2" xfId="21683" hidden="1"/>
    <cellStyle name="Гиперссылка 2" xfId="21772" hidden="1"/>
    <cellStyle name="Гиперссылка 2" xfId="21835" hidden="1"/>
    <cellStyle name="Гиперссылка 2" xfId="21624" hidden="1"/>
    <cellStyle name="Гиперссылка 2" xfId="21467" hidden="1"/>
    <cellStyle name="Гиперссылка 2" xfId="21398" hidden="1"/>
    <cellStyle name="Гиперссылка 2" xfId="21215" hidden="1"/>
    <cellStyle name="Гиперссылка 2" xfId="21063" hidden="1"/>
    <cellStyle name="Гиперссылка 2" xfId="21257" hidden="1"/>
    <cellStyle name="Гиперссылка 2" xfId="20975" hidden="1"/>
    <cellStyle name="Гиперссылка 2" xfId="20965" hidden="1"/>
    <cellStyle name="Гиперссылка 2" xfId="20958" hidden="1"/>
    <cellStyle name="Гиперссылка 2" xfId="21185" hidden="1"/>
    <cellStyle name="Гиперссылка 2" xfId="21904" hidden="1"/>
    <cellStyle name="Гиперссылка 2" xfId="21954" hidden="1"/>
    <cellStyle name="Гиперссылка 2" xfId="21014" hidden="1"/>
    <cellStyle name="Гиперссылка 2" xfId="21382" hidden="1"/>
    <cellStyle name="Гиперссылка 2" xfId="22019" hidden="1"/>
    <cellStyle name="Гиперссылка 2" xfId="20911" hidden="1"/>
    <cellStyle name="Гиперссылка 2" xfId="21909" hidden="1"/>
    <cellStyle name="Гиперссылка 2" xfId="21553" hidden="1"/>
    <cellStyle name="Гиперссылка 2" xfId="22090" hidden="1"/>
    <cellStyle name="Гиперссылка 2" xfId="22089" hidden="1"/>
    <cellStyle name="Гиперссылка 2" xfId="22097" hidden="1"/>
    <cellStyle name="Гиперссылка 2" xfId="22098" hidden="1"/>
    <cellStyle name="Гиперссылка 2" xfId="22103" hidden="1"/>
    <cellStyle name="Гиперссылка 2" xfId="22104" hidden="1"/>
    <cellStyle name="Гиперссылка 2" xfId="22100" hidden="1"/>
    <cellStyle name="Гиперссылка 2" xfId="22099" hidden="1"/>
    <cellStyle name="Гиперссылка 2" xfId="22102" hidden="1"/>
    <cellStyle name="Гиперссылка 2" xfId="22101" hidden="1"/>
    <cellStyle name="Гиперссылка 2" xfId="22106" hidden="1"/>
    <cellStyle name="Гиперссылка 2" xfId="22105" hidden="1"/>
    <cellStyle name="Гиперссылка 2" xfId="22108" hidden="1"/>
    <cellStyle name="Гиперссылка 2" xfId="22109" hidden="1"/>
    <cellStyle name="Гиперссылка 2" xfId="22114" hidden="1"/>
    <cellStyle name="Гиперссылка 2" xfId="22115" hidden="1"/>
    <cellStyle name="Гиперссылка 2" xfId="22111" hidden="1"/>
    <cellStyle name="Гиперссылка 2" xfId="22110" hidden="1"/>
    <cellStyle name="Гиперссылка 2" xfId="22113" hidden="1"/>
    <cellStyle name="Гиперссылка 2" xfId="22112" hidden="1"/>
    <cellStyle name="Гиперссылка 2" xfId="22117" hidden="1"/>
    <cellStyle name="Гиперссылка 2" xfId="22116" hidden="1"/>
    <cellStyle name="Гиперссылка 2" xfId="22118" hidden="1"/>
    <cellStyle name="Гиперссылка 2" xfId="22119" hidden="1"/>
    <cellStyle name="Гиперссылка 2" xfId="22124" hidden="1"/>
    <cellStyle name="Гиперссылка 2" xfId="22125" hidden="1"/>
    <cellStyle name="Гиперссылка 2" xfId="22121" hidden="1"/>
    <cellStyle name="Гиперссылка 2" xfId="22120" hidden="1"/>
    <cellStyle name="Гиперссылка 2" xfId="22123" hidden="1"/>
    <cellStyle name="Гиперссылка 2" xfId="22122" hidden="1"/>
    <cellStyle name="Гиперссылка 2" xfId="22127" hidden="1"/>
    <cellStyle name="Гиперссылка 2" xfId="22126" hidden="1"/>
    <cellStyle name="Гиперссылка 2" xfId="21471" hidden="1"/>
    <cellStyle name="Гиперссылка 2" xfId="21152" hidden="1"/>
    <cellStyle name="Гиперссылка 2" xfId="21288" hidden="1"/>
    <cellStyle name="Гиперссылка 2" xfId="21284" hidden="1"/>
    <cellStyle name="Гиперссылка 2" xfId="21818" hidden="1"/>
    <cellStyle name="Гиперссылка 2" xfId="22094" hidden="1"/>
    <cellStyle name="Гиперссылка 2" xfId="21202" hidden="1"/>
    <cellStyle name="Гиперссылка 2" xfId="21381" hidden="1"/>
    <cellStyle name="Гиперссылка 2" xfId="22153" hidden="1"/>
    <cellStyle name="Гиперссылка 2" xfId="22152" hidden="1"/>
    <cellStyle name="Гиперссылка 2" xfId="22160" hidden="1"/>
    <cellStyle name="Гиперссылка 2" xfId="22161" hidden="1"/>
    <cellStyle name="Гиперссылка 2" xfId="22166" hidden="1"/>
    <cellStyle name="Гиперссылка 2" xfId="22167" hidden="1"/>
    <cellStyle name="Гиперссылка 2" xfId="22163" hidden="1"/>
    <cellStyle name="Гиперссылка 2" xfId="22162" hidden="1"/>
    <cellStyle name="Гиперссылка 2" xfId="22165" hidden="1"/>
    <cellStyle name="Гиперссылка 2" xfId="22164" hidden="1"/>
    <cellStyle name="Гиперссылка 2" xfId="22169" hidden="1"/>
    <cellStyle name="Гиперссылка 2" xfId="22168" hidden="1"/>
    <cellStyle name="Гиперссылка 2" xfId="22170" hidden="1"/>
    <cellStyle name="Гиперссылка 2" xfId="22171" hidden="1"/>
    <cellStyle name="Гиперссылка 2" xfId="22176" hidden="1"/>
    <cellStyle name="Гиперссылка 2" xfId="22177" hidden="1"/>
    <cellStyle name="Гиперссылка 2" xfId="22173" hidden="1"/>
    <cellStyle name="Гиперссылка 2" xfId="22172" hidden="1"/>
    <cellStyle name="Гиперссылка 2" xfId="22175" hidden="1"/>
    <cellStyle name="Гиперссылка 2" xfId="22174" hidden="1"/>
    <cellStyle name="Гиперссылка 2" xfId="22179" hidden="1"/>
    <cellStyle name="Гиперссылка 2" xfId="22178" hidden="1"/>
    <cellStyle name="Гиперссылка 2" xfId="22180" hidden="1"/>
    <cellStyle name="Гиперссылка 2" xfId="22181" hidden="1"/>
    <cellStyle name="Гиперссылка 2" xfId="22186" hidden="1"/>
    <cellStyle name="Гиперссылка 2" xfId="22187" hidden="1"/>
    <cellStyle name="Гиперссылка 2" xfId="22183" hidden="1"/>
    <cellStyle name="Гиперссылка 2" xfId="22182" hidden="1"/>
    <cellStyle name="Гиперссылка 2" xfId="22185" hidden="1"/>
    <cellStyle name="Гиперссылка 2" xfId="22184" hidden="1"/>
    <cellStyle name="Гиперссылка 2" xfId="22189" hidden="1"/>
    <cellStyle name="Гиперссылка 2" xfId="22188" hidden="1"/>
    <cellStyle name="Гиперссылка 2" xfId="14612" hidden="1"/>
    <cellStyle name="Гиперссылка 2" xfId="21302" hidden="1"/>
    <cellStyle name="Гиперссылка 2" xfId="20932" hidden="1"/>
    <cellStyle name="Гиперссылка 2" xfId="21908" hidden="1"/>
    <cellStyle name="Гиперссылка 2" xfId="22136" hidden="1"/>
    <cellStyle name="Гиперссылка 2" xfId="22157" hidden="1"/>
    <cellStyle name="Гиперссылка 2" xfId="21222" hidden="1"/>
    <cellStyle name="Гиперссылка 2" xfId="22130" hidden="1"/>
    <cellStyle name="Гиперссылка 2" xfId="22211" hidden="1"/>
    <cellStyle name="Гиперссылка 2" xfId="22210" hidden="1"/>
    <cellStyle name="Гиперссылка 2" xfId="22222" hidden="1"/>
    <cellStyle name="Гиперссылка 2" xfId="22223" hidden="1"/>
    <cellStyle name="Гиперссылка 2" xfId="22228" hidden="1"/>
    <cellStyle name="Гиперссылка 2" xfId="22229" hidden="1"/>
    <cellStyle name="Гиперссылка 2" xfId="22225" hidden="1"/>
    <cellStyle name="Гиперссылка 2" xfId="22224" hidden="1"/>
    <cellStyle name="Гиперссылка 2" xfId="22227" hidden="1"/>
    <cellStyle name="Гиперссылка 2" xfId="22226" hidden="1"/>
    <cellStyle name="Гиперссылка 2" xfId="22231" hidden="1"/>
    <cellStyle name="Гиперссылка 2" xfId="22230" hidden="1"/>
    <cellStyle name="Гиперссылка 2" xfId="22234" hidden="1"/>
    <cellStyle name="Гиперссылка 2" xfId="22235" hidden="1"/>
    <cellStyle name="Гиперссылка 2" xfId="22240" hidden="1"/>
    <cellStyle name="Гиперссылка 2" xfId="22241" hidden="1"/>
    <cellStyle name="Гиперссылка 2" xfId="22237" hidden="1"/>
    <cellStyle name="Гиперссылка 2" xfId="22236" hidden="1"/>
    <cellStyle name="Гиперссылка 2" xfId="22239" hidden="1"/>
    <cellStyle name="Гиперссылка 2" xfId="22238" hidden="1"/>
    <cellStyle name="Гиперссылка 2" xfId="22243" hidden="1"/>
    <cellStyle name="Гиперссылка 2" xfId="22242" hidden="1"/>
    <cellStyle name="Гиперссылка 2" xfId="22244" hidden="1"/>
    <cellStyle name="Гиперссылка 2" xfId="22245" hidden="1"/>
    <cellStyle name="Гиперссылка 2" xfId="22250" hidden="1"/>
    <cellStyle name="Гиперссылка 2" xfId="22251" hidden="1"/>
    <cellStyle name="Гиперссылка 2" xfId="22247" hidden="1"/>
    <cellStyle name="Гиперссылка 2" xfId="22246" hidden="1"/>
    <cellStyle name="Гиперссылка 2" xfId="22249" hidden="1"/>
    <cellStyle name="Гиперссылка 2" xfId="22248" hidden="1"/>
    <cellStyle name="Гиперссылка 2" xfId="22253" hidden="1"/>
    <cellStyle name="Гиперссылка 2" xfId="22252" hidden="1"/>
    <cellStyle name="Гиперссылка 2" xfId="22131" hidden="1"/>
    <cellStyle name="Гиперссылка 2" xfId="21695" hidden="1"/>
    <cellStyle name="Гиперссылка 2" xfId="21461" hidden="1"/>
    <cellStyle name="Гиперссылка 2" xfId="20953" hidden="1"/>
    <cellStyle name="Гиперссылка 2" xfId="22196" hidden="1"/>
    <cellStyle name="Гиперссылка 2" xfId="22217" hidden="1"/>
    <cellStyle name="Гиперссылка 2" xfId="21766" hidden="1"/>
    <cellStyle name="Гиперссылка 2" xfId="22192" hidden="1"/>
    <cellStyle name="Гиперссылка 2" xfId="22270" hidden="1"/>
    <cellStyle name="Гиперссылка 2" xfId="22269" hidden="1"/>
    <cellStyle name="Гиперссылка 2" xfId="22280" hidden="1"/>
    <cellStyle name="Гиперссылка 2" xfId="22281" hidden="1"/>
    <cellStyle name="Гиперссылка 2" xfId="22286" hidden="1"/>
    <cellStyle name="Гиперссылка 2" xfId="22287" hidden="1"/>
    <cellStyle name="Гиперссылка 2" xfId="22283" hidden="1"/>
    <cellStyle name="Гиперссылка 2" xfId="22282" hidden="1"/>
    <cellStyle name="Гиперссылка 2" xfId="22285" hidden="1"/>
    <cellStyle name="Гиперссылка 2" xfId="22284" hidden="1"/>
    <cellStyle name="Гиперссылка 2" xfId="22289" hidden="1"/>
    <cellStyle name="Гиперссылка 2" xfId="22288" hidden="1"/>
    <cellStyle name="Гиперссылка 2" xfId="22290" hidden="1"/>
    <cellStyle name="Гиперссылка 2" xfId="22291" hidden="1"/>
    <cellStyle name="Гиперссылка 2" xfId="22296" hidden="1"/>
    <cellStyle name="Гиперссылка 2" xfId="22297" hidden="1"/>
    <cellStyle name="Гиперссылка 2" xfId="22293" hidden="1"/>
    <cellStyle name="Гиперссылка 2" xfId="22292" hidden="1"/>
    <cellStyle name="Гиперссылка 2" xfId="22295" hidden="1"/>
    <cellStyle name="Гиперссылка 2" xfId="22294" hidden="1"/>
    <cellStyle name="Гиперссылка 2" xfId="22299" hidden="1"/>
    <cellStyle name="Гиперссылка 2" xfId="22298" hidden="1"/>
    <cellStyle name="Гиперссылка 2" xfId="22300" hidden="1"/>
    <cellStyle name="Гиперссылка 2" xfId="22301" hidden="1"/>
    <cellStyle name="Гиперссылка 2" xfId="22306" hidden="1"/>
    <cellStyle name="Гиперссылка 2" xfId="22307" hidden="1"/>
    <cellStyle name="Гиперссылка 2" xfId="22303" hidden="1"/>
    <cellStyle name="Гиперссылка 2" xfId="22302" hidden="1"/>
    <cellStyle name="Гиперссылка 2" xfId="22305" hidden="1"/>
    <cellStyle name="Гиперссылка 2" xfId="22304" hidden="1"/>
    <cellStyle name="Гиперссылка 2" xfId="22309" hidden="1"/>
    <cellStyle name="Гиперссылка 2" xfId="22308" hidden="1"/>
    <cellStyle name="Гиперссылка 2" xfId="22193" hidden="1"/>
    <cellStyle name="Гиперссылка 2" xfId="21676" hidden="1"/>
    <cellStyle name="Гиперссылка 2" xfId="21562" hidden="1"/>
    <cellStyle name="Гиперссылка 2" xfId="21270" hidden="1"/>
    <cellStyle name="Гиперссылка 2" xfId="22259" hidden="1"/>
    <cellStyle name="Гиперссылка 2" xfId="22276" hidden="1"/>
    <cellStyle name="Гиперссылка 2" xfId="21848" hidden="1"/>
    <cellStyle name="Гиперссылка 2" xfId="22256" hidden="1"/>
    <cellStyle name="Гиперссылка 2" xfId="22324" hidden="1"/>
    <cellStyle name="Гиперссылка 2" xfId="22323" hidden="1"/>
    <cellStyle name="Гиперссылка 2" xfId="22329" hidden="1"/>
    <cellStyle name="Гиперссылка 2" xfId="22330" hidden="1"/>
    <cellStyle name="Гиперссылка 2" xfId="22335" hidden="1"/>
    <cellStyle name="Гиперссылка 2" xfId="22336" hidden="1"/>
    <cellStyle name="Гиперссылка 2" xfId="22332" hidden="1"/>
    <cellStyle name="Гиперссылка 2" xfId="22331" hidden="1"/>
    <cellStyle name="Гиперссылка 2" xfId="22334" hidden="1"/>
    <cellStyle name="Гиперссылка 2" xfId="22333" hidden="1"/>
    <cellStyle name="Гиперссылка 2" xfId="22338" hidden="1"/>
    <cellStyle name="Гиперссылка 2" xfId="22337" hidden="1"/>
    <cellStyle name="Гиперссылка 2" xfId="22340" hidden="1"/>
    <cellStyle name="Гиперссылка 2" xfId="22341" hidden="1"/>
    <cellStyle name="Гиперссылка 2" xfId="22346" hidden="1"/>
    <cellStyle name="Гиперссылка 2" xfId="22347" hidden="1"/>
    <cellStyle name="Гиперссылка 2" xfId="22343" hidden="1"/>
    <cellStyle name="Гиперссылка 2" xfId="22342" hidden="1"/>
    <cellStyle name="Гиперссылка 2" xfId="22345" hidden="1"/>
    <cellStyle name="Гиперссылка 2" xfId="22344" hidden="1"/>
    <cellStyle name="Гиперссылка 2" xfId="22349" hidden="1"/>
    <cellStyle name="Гиперссылка 2" xfId="22348" hidden="1"/>
    <cellStyle name="Гиперссылка 2" xfId="22350" hidden="1"/>
    <cellStyle name="Гиперссылка 2" xfId="22351" hidden="1"/>
    <cellStyle name="Гиперссылка 2" xfId="22356" hidden="1"/>
    <cellStyle name="Гиперссылка 2" xfId="22357" hidden="1"/>
    <cellStyle name="Гиперссылка 2" xfId="22353" hidden="1"/>
    <cellStyle name="Гиперссылка 2" xfId="22352" hidden="1"/>
    <cellStyle name="Гиперссылка 2" xfId="22355" hidden="1"/>
    <cellStyle name="Гиперссылка 2" xfId="22354" hidden="1"/>
    <cellStyle name="Гиперссылка 2" xfId="22359" hidden="1"/>
    <cellStyle name="Гиперссылка 2" xfId="22358" hidden="1"/>
    <cellStyle name="Гиперссылка 2" xfId="22257" hidden="1"/>
    <cellStyle name="Гиперссылка 2" xfId="21761" hidden="1"/>
    <cellStyle name="Гиперссылка 2" xfId="21184" hidden="1"/>
    <cellStyle name="Гиперссылка 2" xfId="21554" hidden="1"/>
    <cellStyle name="Гиперссылка 2" xfId="22312" hidden="1"/>
    <cellStyle name="Гиперссылка 2" xfId="22328" hidden="1"/>
    <cellStyle name="Гиперссылка 2" xfId="22083" hidden="1"/>
    <cellStyle name="Гиперссылка 2" xfId="22310" hidden="1"/>
    <cellStyle name="Гиперссылка 2" xfId="22371" hidden="1"/>
    <cellStyle name="Гиперссылка 2" xfId="22370" hidden="1"/>
    <cellStyle name="Гиперссылка 2" xfId="22374" hidden="1"/>
    <cellStyle name="Гиперссылка 2" xfId="22375" hidden="1"/>
    <cellStyle name="Гиперссылка 2" xfId="22380" hidden="1"/>
    <cellStyle name="Гиперссылка 2" xfId="22381" hidden="1"/>
    <cellStyle name="Гиперссылка 2" xfId="22377" hidden="1"/>
    <cellStyle name="Гиперссылка 2" xfId="22376" hidden="1"/>
    <cellStyle name="Гиперссылка 2" xfId="22379" hidden="1"/>
    <cellStyle name="Гиперссылка 2" xfId="22378" hidden="1"/>
    <cellStyle name="Гиперссылка 2" xfId="22383" hidden="1"/>
    <cellStyle name="Гиперссылка 2" xfId="22382" hidden="1"/>
    <cellStyle name="Гиперссылка 2" xfId="22384" hidden="1"/>
    <cellStyle name="Гиперссылка 2" xfId="22385" hidden="1"/>
    <cellStyle name="Гиперссылка 2" xfId="22390" hidden="1"/>
    <cellStyle name="Гиперссылка 2" xfId="22391" hidden="1"/>
    <cellStyle name="Гиперссылка 2" xfId="22387" hidden="1"/>
    <cellStyle name="Гиперссылка 2" xfId="22386" hidden="1"/>
    <cellStyle name="Гиперссылка 2" xfId="22389" hidden="1"/>
    <cellStyle name="Гиперссылка 2" xfId="22388" hidden="1"/>
    <cellStyle name="Гиперссылка 2" xfId="22393" hidden="1"/>
    <cellStyle name="Гиперссылка 2" xfId="22392" hidden="1"/>
    <cellStyle name="Гиперссылка 2" xfId="22394" hidden="1"/>
    <cellStyle name="Гиперссылка 2" xfId="22395" hidden="1"/>
    <cellStyle name="Гиперссылка 2" xfId="22400" hidden="1"/>
    <cellStyle name="Гиперссылка 2" xfId="22401" hidden="1"/>
    <cellStyle name="Гиперссылка 2" xfId="22397" hidden="1"/>
    <cellStyle name="Гиперссылка 2" xfId="22396" hidden="1"/>
    <cellStyle name="Гиперссылка 2" xfId="22399" hidden="1"/>
    <cellStyle name="Гиперссылка 2" xfId="22398" hidden="1"/>
    <cellStyle name="Гиперссылка 2" xfId="22403" hidden="1"/>
    <cellStyle name="Гиперссылка 2" xfId="22402" hidden="1"/>
    <cellStyle name="Гиперссылка 2" xfId="22311" hidden="1"/>
    <cellStyle name="Гиперссылка 2" xfId="21470" hidden="1"/>
    <cellStyle name="Гиперссылка 2" xfId="22135" hidden="1"/>
    <cellStyle name="Гиперссылка 2" xfId="21266" hidden="1"/>
    <cellStyle name="Гиперссылка 2" xfId="22363" hidden="1"/>
    <cellStyle name="Гиперссылка 2" xfId="22373" hidden="1"/>
    <cellStyle name="Гиперссылка 2" xfId="22143" hidden="1"/>
    <cellStyle name="Гиперссылка 2" xfId="22361" hidden="1"/>
    <cellStyle name="Гиперссылка 2" xfId="22405" hidden="1"/>
    <cellStyle name="Гиперссылка 2" xfId="22404" hidden="1"/>
    <cellStyle name="Гиперссылка 2" xfId="22406" hidden="1"/>
    <cellStyle name="Гиперссылка 2" xfId="22407" hidden="1"/>
    <cellStyle name="Гиперссылка 2" xfId="22412" hidden="1"/>
    <cellStyle name="Гиперссылка 2" xfId="22413" hidden="1"/>
    <cellStyle name="Гиперссылка 2" xfId="22409" hidden="1"/>
    <cellStyle name="Гиперссылка 2" xfId="22408" hidden="1"/>
    <cellStyle name="Гиперссылка 2" xfId="22411" hidden="1"/>
    <cellStyle name="Гиперссылка 2" xfId="22410" hidden="1"/>
    <cellStyle name="Гиперссылка 2" xfId="22415" hidden="1"/>
    <cellStyle name="Гиперссылка 2" xfId="22414" hidden="1"/>
    <cellStyle name="Гиперссылка 2" xfId="22416" hidden="1"/>
    <cellStyle name="Гиперссылка 2" xfId="22417" hidden="1"/>
    <cellStyle name="Гиперссылка 2" xfId="22422" hidden="1"/>
    <cellStyle name="Гиперссылка 2" xfId="22423" hidden="1"/>
    <cellStyle name="Гиперссылка 2" xfId="22419" hidden="1"/>
    <cellStyle name="Гиперссылка 2" xfId="22418" hidden="1"/>
    <cellStyle name="Гиперссылка 2" xfId="22421" hidden="1"/>
    <cellStyle name="Гиперссылка 2" xfId="22420" hidden="1"/>
    <cellStyle name="Гиперссылка 2" xfId="22425" hidden="1"/>
    <cellStyle name="Гиперссылка 2" xfId="22424" hidden="1"/>
    <cellStyle name="Гиперссылка 2" xfId="22426" hidden="1"/>
    <cellStyle name="Гиперссылка 2" xfId="22427" hidden="1"/>
    <cellStyle name="Гиперссылка 2" xfId="22432" hidden="1"/>
    <cellStyle name="Гиперссылка 2" xfId="22433" hidden="1"/>
    <cellStyle name="Гиперссылка 2" xfId="22429" hidden="1"/>
    <cellStyle name="Гиперссылка 2" xfId="22428" hidden="1"/>
    <cellStyle name="Гиперссылка 2" xfId="22431" hidden="1"/>
    <cellStyle name="Гиперссылка 2" xfId="22430" hidden="1"/>
    <cellStyle name="Гиперссылка 2" xfId="22435" hidden="1"/>
    <cellStyle name="Гиперссылка 2" xfId="22434" hidden="1"/>
    <cellStyle name="Гиперссылка 2" xfId="20967" hidden="1"/>
    <cellStyle name="Гиперссылка 2" xfId="20906" hidden="1"/>
    <cellStyle name="Гиперссылка 2" xfId="22213" hidden="1"/>
    <cellStyle name="Гиперссылка 2" xfId="21198" hidden="1"/>
    <cellStyle name="Гиперссылка 2" xfId="14648" hidden="1"/>
    <cellStyle name="Гиперссылка 2" xfId="21567" hidden="1"/>
    <cellStyle name="Гиперссылка 2" xfId="21969" hidden="1"/>
    <cellStyle name="Гиперссылка 2" xfId="21402" hidden="1"/>
    <cellStyle name="Гиперссылка 2" xfId="21771" hidden="1"/>
    <cellStyle name="Гиперссылка 2" xfId="21037" hidden="1"/>
    <cellStyle name="Гиперссылка 2" xfId="22320" hidden="1"/>
    <cellStyle name="Гиперссылка 2" xfId="22203" hidden="1"/>
    <cellStyle name="Гиперссылка 2" xfId="21958" hidden="1"/>
    <cellStyle name="Гиперссылка 2" xfId="21221" hidden="1"/>
    <cellStyle name="Гиперссылка 2" xfId="22150" hidden="1"/>
    <cellStyle name="Гиперссылка 2" xfId="22267" hidden="1"/>
    <cellStyle name="Гиперссылка 2" xfId="21312" hidden="1"/>
    <cellStyle name="Гиперссылка 2" xfId="21691" hidden="1"/>
    <cellStyle name="Гиперссылка 2" xfId="21165" hidden="1"/>
    <cellStyle name="Гиперссылка 2" xfId="21103" hidden="1"/>
    <cellStyle name="Гиперссылка 2" xfId="20992" hidden="1"/>
    <cellStyle name="Гиперссылка 2" xfId="21836" hidden="1"/>
    <cellStyle name="Гиперссылка 2" xfId="21194" hidden="1"/>
    <cellStyle name="Гиперссылка 2" xfId="21079" hidden="1"/>
    <cellStyle name="Гиперссылка 2" xfId="21757" hidden="1"/>
    <cellStyle name="Гиперссылка 2" xfId="21457" hidden="1"/>
    <cellStyle name="Гиперссылка 2" xfId="21756" hidden="1"/>
    <cellStyle name="Гиперссылка 2" xfId="21286" hidden="1"/>
    <cellStyle name="Гиперссылка 2" xfId="21307" hidden="1"/>
    <cellStyle name="Гиперссылка 2" xfId="14608" hidden="1"/>
    <cellStyle name="Гиперссылка 2" xfId="21318" hidden="1"/>
    <cellStyle name="Гиперссылка 2" xfId="21540" hidden="1"/>
    <cellStyle name="Гиперссылка 2" xfId="21621" hidden="1"/>
    <cellStyle name="Гиперссылка 2" xfId="20974" hidden="1"/>
    <cellStyle name="Гиперссылка 2" xfId="21525" hidden="1"/>
    <cellStyle name="Гиперссылка 2" xfId="21762" hidden="1"/>
    <cellStyle name="Гиперссылка 2" xfId="21569" hidden="1"/>
    <cellStyle name="Гиперссылка 2" xfId="21201" hidden="1"/>
    <cellStyle name="Гиперссылка 2" xfId="21254" hidden="1"/>
    <cellStyle name="Гиперссылка 2" xfId="21065" hidden="1"/>
    <cellStyle name="Гиперссылка 2" xfId="21044" hidden="1"/>
    <cellStyle name="Гиперссылка 2" xfId="21473" hidden="1"/>
    <cellStyle name="Гиперссылка 2" xfId="21208" hidden="1"/>
    <cellStyle name="Гиперссылка 2" xfId="21297" hidden="1"/>
    <cellStyle name="Гиперссылка 2" xfId="21787" hidden="1"/>
    <cellStyle name="Гиперссылка 2" xfId="21373" hidden="1"/>
    <cellStyle name="Гиперссылка 2" xfId="22262" hidden="1"/>
    <cellStyle name="Гиперссылка 2" xfId="22315" hidden="1"/>
    <cellStyle name="Гиперссылка 2" xfId="14680" hidden="1"/>
    <cellStyle name="Гиперссылка 2" xfId="21371" hidden="1"/>
    <cellStyle name="Гиперссылка 2" xfId="21068" hidden="1"/>
    <cellStyle name="Гиперссылка 2" xfId="21552" hidden="1"/>
    <cellStyle name="Гиперссылка 2" xfId="21846" hidden="1"/>
    <cellStyle name="Гиперссылка 2" xfId="21190" hidden="1"/>
    <cellStyle name="Гиперссылка 2" xfId="21055" hidden="1"/>
    <cellStyle name="Гиперссылка 2" xfId="21916" hidden="1"/>
    <cellStyle name="Гиперссылка 2" xfId="21884" hidden="1"/>
    <cellStyle name="Гиперссылка 2" xfId="21528" hidden="1"/>
    <cellStyle name="Гиперссылка 2" xfId="14966" hidden="1"/>
    <cellStyle name="Гиперссылка 2" xfId="21206" hidden="1"/>
    <cellStyle name="Гиперссылка 2" xfId="22277" hidden="1"/>
    <cellStyle name="Гиперссылка 2" xfId="22158" hidden="1"/>
    <cellStyle name="Гиперссылка 2" xfId="21017" hidden="1"/>
    <cellStyle name="Гиперссылка 2" xfId="21638" hidden="1"/>
    <cellStyle name="Гиперссылка 2" xfId="22264" hidden="1"/>
    <cellStyle name="Гиперссылка 2" xfId="22366" hidden="1"/>
    <cellStyle name="Гиперссылка 2" xfId="22086" hidden="1"/>
    <cellStyle name="Гиперссылка 2" xfId="22145" hidden="1"/>
    <cellStyle name="Гиперссылка 2" xfId="20890" hidden="1"/>
    <cellStyle name="Гиперссылка 2" xfId="14970" hidden="1"/>
    <cellStyle name="Гиперссылка 2" xfId="21842" hidden="1"/>
    <cellStyle name="Гиперссылка 2" xfId="21563" hidden="1"/>
    <cellStyle name="Гиперссылка 2" xfId="22155" hidden="1"/>
    <cellStyle name="Гиперссылка 2" xfId="21889" hidden="1"/>
    <cellStyle name="Гиперссылка 2" xfId="21147" hidden="1"/>
    <cellStyle name="Гиперссылка 2" xfId="21469" hidden="1"/>
    <cellStyle name="Гиперссылка 2" xfId="22273" hidden="1"/>
    <cellStyle name="Гиперссылка 2" xfId="20924" hidden="1"/>
    <cellStyle name="Гиперссылка 2" xfId="22274" hidden="1"/>
    <cellStyle name="Гиперссылка 2" xfId="22326" hidden="1"/>
    <cellStyle name="Гиперссылка 2" xfId="21231" hidden="1"/>
    <cellStyle name="Гиперссылка 2" xfId="21971" hidden="1"/>
    <cellStyle name="Гиперссылка 2" xfId="22204" hidden="1"/>
    <cellStyle name="Гиперссылка 2" xfId="21149" hidden="1"/>
    <cellStyle name="Гиперссылка 2" xfId="21150" hidden="1"/>
    <cellStyle name="Гиперссылка 2" xfId="14606" hidden="1"/>
    <cellStyle name="Гиперссылка 2" xfId="21401" hidden="1"/>
    <cellStyle name="Гиперссылка 2" xfId="21392" hidden="1"/>
    <cellStyle name="Гиперссылка 2" xfId="20898" hidden="1"/>
    <cellStyle name="Гиперссылка 2" xfId="21780" hidden="1"/>
    <cellStyle name="Гиперссылка 2" xfId="21437" hidden="1"/>
    <cellStyle name="Гиперссылка 2" xfId="15147" hidden="1"/>
    <cellStyle name="Гиперссылка 2" xfId="21138" hidden="1"/>
    <cellStyle name="Гиперссылка 2" xfId="20977" hidden="1"/>
    <cellStyle name="Гиперссылка 2" xfId="22232" hidden="1"/>
    <cellStyle name="Гиперссылка 2" xfId="21158" hidden="1"/>
    <cellStyle name="Гиперссылка 2" xfId="21029" hidden="1"/>
    <cellStyle name="Гиперссылка 2" xfId="22107" hidden="1"/>
    <cellStyle name="Гиперссылка 2" xfId="21085" hidden="1"/>
    <cellStyle name="Гиперссылка 2" xfId="20991" hidden="1"/>
    <cellStyle name="Гиперссылка 2" xfId="21637" hidden="1"/>
    <cellStyle name="Гиперссылка 2" xfId="21539" hidden="1"/>
    <cellStyle name="Гиперссылка 2" xfId="21045" hidden="1"/>
    <cellStyle name="Гиперссылка 2" xfId="21821" hidden="1"/>
    <cellStyle name="Гиперссылка 2" xfId="22007" hidden="1"/>
    <cellStyle name="Гиперссылка 2" xfId="21713" hidden="1"/>
    <cellStyle name="Гиперссылка 2" xfId="21145" hidden="1"/>
    <cellStyle name="Гиперссылка 2" xfId="21187" hidden="1"/>
    <cellStyle name="Гиперссылка 2" xfId="20985" hidden="1"/>
    <cellStyle name="Гиперссылка 2" xfId="21717" hidden="1"/>
    <cellStyle name="Гиперссылка 2" xfId="21466" hidden="1"/>
    <cellStyle name="Гиперссылка 2" xfId="21480" hidden="1"/>
    <cellStyle name="Гиперссылка 2" xfId="21405" hidden="1"/>
    <cellStyle name="Гиперссылка 2" xfId="21463" hidden="1"/>
    <cellStyle name="Гиперссылка 2" xfId="21451" hidden="1"/>
    <cellStyle name="Гиперссылка 2" xfId="21627" hidden="1"/>
    <cellStyle name="Гиперссылка 2" xfId="20920" hidden="1"/>
    <cellStyle name="Гиперссылка 2" xfId="21258" hidden="1"/>
    <cellStyle name="Гиперссылка 2" xfId="20910" hidden="1"/>
    <cellStyle name="Гиперссылка 2" xfId="21619" hidden="1"/>
    <cellStyle name="Гиперссылка 2" xfId="21837" hidden="1"/>
    <cellStyle name="Гиперссылка 2" xfId="21892" hidden="1"/>
    <cellStyle name="Гиперссылка 2" xfId="21851" hidden="1"/>
    <cellStyle name="Гиперссылка 2" xfId="21280" hidden="1"/>
    <cellStyle name="Гиперссылка 2" xfId="21227" hidden="1"/>
    <cellStyle name="Гиперссылка 2" xfId="14604" hidden="1"/>
    <cellStyle name="Гиперссылка 2" xfId="22208" hidden="1"/>
    <cellStyle name="Гиперссылка 2" xfId="21822" hidden="1"/>
    <cellStyle name="Гиперссылка 2" xfId="20891" hidden="1"/>
    <cellStyle name="Гиперссылка 2" xfId="21705" hidden="1"/>
    <cellStyle name="Гиперссылка 2" xfId="21565" hidden="1"/>
    <cellStyle name="Гиперссылка 2" xfId="21086" hidden="1"/>
    <cellStyle name="Гиперссылка 2" xfId="21915" hidden="1"/>
    <cellStyle name="Гиперссылка 2" xfId="21716" hidden="1"/>
    <cellStyle name="Гиперссылка 2" xfId="22316" hidden="1"/>
    <cellStyle name="Гиперссылка 2" xfId="22010" hidden="1"/>
    <cellStyle name="Гиперссылка 2" xfId="22144" hidden="1"/>
    <cellStyle name="Гиперссылка 2" xfId="22201" hidden="1"/>
    <cellStyle name="Гиперссылка 2" xfId="21886" hidden="1"/>
    <cellStyle name="Гиперссылка 2" xfId="20982" hidden="1"/>
    <cellStyle name="Гиперссылка 2" xfId="21681" hidden="1"/>
    <cellStyle name="Гиперссылка 2" xfId="21478" hidden="1"/>
    <cellStyle name="Гиперссылка 2" xfId="20925" hidden="1"/>
    <cellStyle name="Гиперссылка 2" xfId="21454" hidden="1"/>
    <cellStyle name="Гиперссылка 2" xfId="21782" hidden="1"/>
    <cellStyle name="Гиперссылка 2" xfId="21442" hidden="1"/>
    <cellStyle name="Гиперссылка 2" xfId="21263" hidden="1"/>
    <cellStyle name="Гиперссылка 2" xfId="21005" hidden="1"/>
    <cellStyle name="Гиперссылка 2" xfId="21317" hidden="1"/>
    <cellStyle name="Гиперссылка 2" xfId="21238" hidden="1"/>
    <cellStyle name="Гиперссылка 2" xfId="21101" hidden="1"/>
    <cellStyle name="Гиперссылка 2" xfId="15289" hidden="1"/>
    <cellStyle name="Гиперссылка 2" xfId="21310" hidden="1"/>
    <cellStyle name="Гиперссылка 2" xfId="21264" hidden="1"/>
    <cellStyle name="Гиперссылка 2" xfId="22011" hidden="1"/>
    <cellStyle name="Гиперссылка 2" xfId="21375" hidden="1"/>
    <cellStyle name="Гиперссылка 2" xfId="21024" hidden="1"/>
    <cellStyle name="Гиперссылка 2" xfId="21325" hidden="1"/>
    <cellStyle name="Гиперссылка 2" xfId="20964" hidden="1"/>
    <cellStyle name="Гиперссылка 2" xfId="21096" hidden="1"/>
    <cellStyle name="Гиперссылка 2" xfId="21095" hidden="1"/>
    <cellStyle name="Гиперссылка 2" xfId="22129" hidden="1"/>
    <cellStyle name="Гиперссылка 2" xfId="21893" hidden="1"/>
    <cellStyle name="Гиперссылка 2" xfId="21849" hidden="1"/>
    <cellStyle name="Гиперссылка 2" xfId="21245" hidden="1"/>
    <cellStyle name="Гиперссылка 2" xfId="22139" hidden="1"/>
    <cellStyle name="Гиперссылка 2" xfId="21678" hidden="1"/>
    <cellStyle name="Гиперссылка 2" xfId="21182" hidden="1"/>
    <cellStyle name="Гиперссылка 2" xfId="21290" hidden="1"/>
    <cellStyle name="Гиперссылка 2" xfId="21963" hidden="1"/>
    <cellStyle name="Гиперссылка 2" xfId="22265" hidden="1"/>
    <cellStyle name="Гиперссылка 2" xfId="22147" hidden="1"/>
    <cellStyle name="Гиперссылка 2" xfId="14597" hidden="1"/>
    <cellStyle name="Гиперссылка 2" xfId="21000" hidden="1"/>
    <cellStyle name="Гиперссылка 2" xfId="14595" hidden="1"/>
    <cellStyle name="Гиперссылка 2" xfId="14620" hidden="1"/>
    <cellStyle name="Гиперссылка 2" xfId="14577" hidden="1"/>
    <cellStyle name="Гиперссылка 2" xfId="21052" hidden="1"/>
    <cellStyle name="Гиперссылка 2" xfId="14566" hidden="1"/>
    <cellStyle name="Гиперссылка 2" xfId="20933" hidden="1"/>
    <cellStyle name="Гиперссылка 2" xfId="21169" hidden="1"/>
    <cellStyle name="Гиперссылка 2" xfId="21304" hidden="1"/>
    <cellStyle name="Гиперссылка 2" xfId="22368" hidden="1"/>
    <cellStyle name="Гиперссылка 2" xfId="22266" hidden="1"/>
    <cellStyle name="Гиперссылка 2" xfId="20902" hidden="1"/>
    <cellStyle name="Гиперссылка 2" xfId="21193" hidden="1"/>
    <cellStyle name="Гиперссылка 2" xfId="21082" hidden="1"/>
    <cellStyle name="Гиперссылка 2" xfId="21844" hidden="1"/>
    <cellStyle name="Гиперссылка 2" xfId="20942" hidden="1"/>
    <cellStyle name="Гиперссылка 2" xfId="21041" hidden="1"/>
    <cellStyle name="Гиперссылка 2" xfId="21229" hidden="1"/>
    <cellStyle name="Гиперссылка 2" xfId="20946" hidden="1"/>
    <cellStyle name="Гиперссылка 2" xfId="20973" hidden="1"/>
    <cellStyle name="Гиперссылка 2" xfId="21959" hidden="1"/>
    <cellStyle name="Гиперссылка 2" xfId="21303" hidden="1"/>
    <cellStyle name="Гиперссылка 2" xfId="21295" hidden="1"/>
    <cellStyle name="Гиперссылка 2" xfId="21275" hidden="1"/>
    <cellStyle name="Гиперссылка 2" xfId="21612" hidden="1"/>
    <cellStyle name="Гиперссылка 2" xfId="21088" hidden="1"/>
    <cellStyle name="Гиперссылка 2" xfId="20988" hidden="1"/>
    <cellStyle name="Гиперссылка 2" xfId="21211" hidden="1"/>
    <cellStyle name="Гиперссылка 2" xfId="20950" hidden="1"/>
    <cellStyle name="Гиперссылка 2" xfId="21679" hidden="1"/>
    <cellStyle name="Гиперссылка 2" xfId="21416" hidden="1"/>
    <cellStyle name="Гиперссылка 2" xfId="22319" hidden="1"/>
    <cellStyle name="Гиперссылка 2" xfId="21013" hidden="1"/>
    <cellStyle name="Гиперссылка 2" xfId="14588" hidden="1"/>
    <cellStyle name="Гиперссылка 2" xfId="22322" hidden="1"/>
    <cellStyle name="Гиперссылка 2" xfId="21073" hidden="1"/>
    <cellStyle name="Гиперссылка 2" xfId="20970" hidden="1"/>
    <cellStyle name="Гиперссылка 2" xfId="22339" hidden="1"/>
    <cellStyle name="Гиперссылка 2" xfId="22233" hidden="1"/>
    <cellStyle name="Гиперссылка 2" xfId="21039" hidden="1"/>
    <cellStyle name="Гиперссылка 2" xfId="21020" hidden="1"/>
    <cellStyle name="Гиперссылка 2" xfId="21702" hidden="1"/>
    <cellStyle name="Гиперссылка 2" xfId="21486" hidden="1"/>
    <cellStyle name="Гиперссылка 2" xfId="21897" hidden="1"/>
    <cellStyle name="Гиперссылка 2" xfId="21203" hidden="1"/>
    <cellStyle name="Гиперссылка 2" xfId="21532" hidden="1"/>
    <cellStyle name="Гиперссылка 2" xfId="21268" hidden="1"/>
    <cellStyle name="Гиперссылка 2" xfId="21217" hidden="1"/>
    <cellStyle name="Гиперссылка 2" xfId="21828" hidden="1"/>
    <cellStyle name="Гиперссылка 2" xfId="20931" hidden="1"/>
    <cellStyle name="Гиперссылка 2" xfId="22369" hidden="1"/>
    <cellStyle name="Гиперссылка 2" xfId="21214" hidden="1"/>
    <cellStyle name="Гиперссылка 2" xfId="21758" hidden="1"/>
    <cellStyle name="Гиперссылка 2" xfId="21481" hidden="1"/>
    <cellStyle name="Гиперссылка 2" xfId="20957" hidden="1"/>
    <cellStyle name="Гиперссылка 2" xfId="22149" hidden="1"/>
    <cellStyle name="Гиперссылка 2" xfId="22205" hidden="1"/>
    <cellStyle name="Гиперссылка 2" xfId="21680" hidden="1"/>
    <cellStyle name="Гиперссылка 2" xfId="21620" hidden="1"/>
    <cellStyle name="Гиперссылка 2" xfId="21460" hidden="1"/>
    <cellStyle name="Гиперссылка 2" xfId="21826" hidden="1"/>
    <cellStyle name="Гиперссылка 2" xfId="21765" hidden="1"/>
    <cellStyle name="Гиперссылка 2" xfId="21775" hidden="1"/>
    <cellStyle name="Гиперссылка 2" xfId="21764" hidden="1"/>
    <cellStyle name="Гиперссылка 2" xfId="21383" hidden="1"/>
    <cellStyle name="Гиперссылка 2" xfId="21265" hidden="1"/>
    <cellStyle name="Гиперссылка 2" xfId="21291" hidden="1"/>
    <cellStyle name="Гиперссылка 2" xfId="22268" hidden="1"/>
    <cellStyle name="Гиперссылка 2" xfId="22314" hidden="1"/>
    <cellStyle name="Гиперссылка 2" xfId="21692" hidden="1"/>
    <cellStyle name="Гиперссылка 2" xfId="21171" hidden="1"/>
    <cellStyle name="Гиперссылка 2" xfId="22372" hidden="1"/>
    <cellStyle name="Гиперссылка 2" xfId="21832" hidden="1"/>
    <cellStyle name="Гиперссылка 2" xfId="22272" hidden="1"/>
    <cellStyle name="Гиперссылка 2" xfId="20952" hidden="1"/>
    <cellStyle name="Гиперссылка 2" xfId="22440" hidden="1"/>
    <cellStyle name="Гиперссылка 2" xfId="22439" hidden="1"/>
    <cellStyle name="Гиперссылка 2" xfId="22444" hidden="1"/>
    <cellStyle name="Гиперссылка 2" xfId="22445" hidden="1"/>
    <cellStyle name="Гиперссылка 2" xfId="22450" hidden="1"/>
    <cellStyle name="Гиперссылка 2" xfId="22451" hidden="1"/>
    <cellStyle name="Гиперссылка 2" xfId="22447" hidden="1"/>
    <cellStyle name="Гиперссылка 2" xfId="22446" hidden="1"/>
    <cellStyle name="Гиперссылка 2" xfId="22449" hidden="1"/>
    <cellStyle name="Гиперссылка 2" xfId="22448" hidden="1"/>
    <cellStyle name="Гиперссылка 2" xfId="22453" hidden="1"/>
    <cellStyle name="Гиперссылка 2" xfId="22452" hidden="1"/>
    <cellStyle name="Гиперссылка 2" xfId="22455" hidden="1"/>
    <cellStyle name="Гиперссылка 2" xfId="22456" hidden="1"/>
    <cellStyle name="Гиперссылка 2" xfId="22461" hidden="1"/>
    <cellStyle name="Гиперссылка 2" xfId="22462" hidden="1"/>
    <cellStyle name="Гиперссылка 2" xfId="22458" hidden="1"/>
    <cellStyle name="Гиперссылка 2" xfId="22457" hidden="1"/>
    <cellStyle name="Гиперссылка 2" xfId="22460" hidden="1"/>
    <cellStyle name="Гиперссылка 2" xfId="22459" hidden="1"/>
    <cellStyle name="Гиперссылка 2" xfId="22464" hidden="1"/>
    <cellStyle name="Гиперссылка 2" xfId="22463" hidden="1"/>
    <cellStyle name="Гиперссылка 2" xfId="22465" hidden="1"/>
    <cellStyle name="Гиперссылка 2" xfId="22466" hidden="1"/>
    <cellStyle name="Гиперссылка 2" xfId="22471" hidden="1"/>
    <cellStyle name="Гиперссылка 2" xfId="22472" hidden="1"/>
    <cellStyle name="Гиперссылка 2" xfId="22468" hidden="1"/>
    <cellStyle name="Гиперссылка 2" xfId="22467" hidden="1"/>
    <cellStyle name="Гиперссылка 2" xfId="22470" hidden="1"/>
    <cellStyle name="Гиперссылка 2" xfId="22469" hidden="1"/>
    <cellStyle name="Гиперссылка 2" xfId="22474" hidden="1"/>
    <cellStyle name="Гиперссылка 2" xfId="22473" hidden="1"/>
    <cellStyle name="Гиперссылка 2" xfId="21228" hidden="1"/>
    <cellStyle name="Гиперссылка 2" xfId="20962" hidden="1"/>
    <cellStyle name="Гиперссылка 2" xfId="22005" hidden="1"/>
    <cellStyle name="Гиперссылка 2" xfId="21004" hidden="1"/>
    <cellStyle name="Гиперссылка 2" xfId="22190" hidden="1"/>
    <cellStyle name="Гиперссылка 2" xfId="22441" hidden="1"/>
    <cellStyle name="Гиперссылка 2" xfId="21672" hidden="1"/>
    <cellStyle name="Гиперссылка 2" xfId="21634" hidden="1"/>
    <cellStyle name="Гиперссылка 2" xfId="22495" hidden="1"/>
    <cellStyle name="Гиперссылка 2" xfId="22494" hidden="1"/>
    <cellStyle name="Гиперссылка 2" xfId="22500" hidden="1"/>
    <cellStyle name="Гиперссылка 2" xfId="22501" hidden="1"/>
    <cellStyle name="Гиперссылка 2" xfId="22506" hidden="1"/>
    <cellStyle name="Гиперссылка 2" xfId="22507" hidden="1"/>
    <cellStyle name="Гиперссылка 2" xfId="22503" hidden="1"/>
    <cellStyle name="Гиперссылка 2" xfId="22502" hidden="1"/>
    <cellStyle name="Гиперссылка 2" xfId="22505" hidden="1"/>
    <cellStyle name="Гиперссылка 2" xfId="22504" hidden="1"/>
    <cellStyle name="Гиперссылка 2" xfId="22509" hidden="1"/>
    <cellStyle name="Гиперссылка 2" xfId="22508" hidden="1"/>
    <cellStyle name="Гиперссылка 2" xfId="22510" hidden="1"/>
    <cellStyle name="Гиперссылка 2" xfId="22511" hidden="1"/>
    <cellStyle name="Гиперссылка 2" xfId="22516" hidden="1"/>
    <cellStyle name="Гиперссылка 2" xfId="22517" hidden="1"/>
    <cellStyle name="Гиперссылка 2" xfId="22513" hidden="1"/>
    <cellStyle name="Гиперссылка 2" xfId="22512" hidden="1"/>
    <cellStyle name="Гиперссылка 2" xfId="22515" hidden="1"/>
    <cellStyle name="Гиперссылка 2" xfId="22514" hidden="1"/>
    <cellStyle name="Гиперссылка 2" xfId="22519" hidden="1"/>
    <cellStyle name="Гиперссылка 2" xfId="22518" hidden="1"/>
    <cellStyle name="Гиперссылка 2" xfId="22520" hidden="1"/>
    <cellStyle name="Гиперссылка 2" xfId="22521" hidden="1"/>
    <cellStyle name="Гиперссылка 2" xfId="22526" hidden="1"/>
    <cellStyle name="Гиперссылка 2" xfId="22527" hidden="1"/>
    <cellStyle name="Гиперссылка 2" xfId="22523" hidden="1"/>
    <cellStyle name="Гиперссылка 2" xfId="22522" hidden="1"/>
    <cellStyle name="Гиперссылка 2" xfId="22525" hidden="1"/>
    <cellStyle name="Гиперссылка 2" xfId="22524" hidden="1"/>
    <cellStyle name="Гиперссылка 2" xfId="22529" hidden="1"/>
    <cellStyle name="Гиперссылка 2" xfId="22528" hidden="1"/>
    <cellStyle name="Гиперссылка 2" xfId="21043" hidden="1"/>
    <cellStyle name="Гиперссылка 2" xfId="21559" hidden="1"/>
    <cellStyle name="Гиперссылка 2" xfId="21548" hidden="1"/>
    <cellStyle name="Гиперссылка 2" xfId="22271" hidden="1"/>
    <cellStyle name="Гиперссылка 2" xfId="22482" hidden="1"/>
    <cellStyle name="Гиперссылка 2" xfId="22498" hidden="1"/>
    <cellStyle name="Гиперссылка 2" xfId="21189" hidden="1"/>
    <cellStyle name="Гиперссылка 2" xfId="22477" hidden="1"/>
    <cellStyle name="Гиперссылка 2" xfId="22543" hidden="1"/>
    <cellStyle name="Гиперссылка 2" xfId="22542" hidden="1"/>
    <cellStyle name="Гиперссылка 2" xfId="22547" hidden="1"/>
    <cellStyle name="Гиперссылка 2" xfId="22548" hidden="1"/>
    <cellStyle name="Гиперссылка 2" xfId="22553" hidden="1"/>
    <cellStyle name="Гиперссылка 2" xfId="22554" hidden="1"/>
    <cellStyle name="Гиперссылка 2" xfId="22550" hidden="1"/>
    <cellStyle name="Гиперссылка 2" xfId="22549" hidden="1"/>
    <cellStyle name="Гиперссылка 2" xfId="22552" hidden="1"/>
    <cellStyle name="Гиперссылка 2" xfId="22551" hidden="1"/>
    <cellStyle name="Гиперссылка 2" xfId="22556" hidden="1"/>
    <cellStyle name="Гиперссылка 2" xfId="22555" hidden="1"/>
    <cellStyle name="Гиперссылка 2" xfId="22559" hidden="1"/>
    <cellStyle name="Гиперссылка 2" xfId="22560" hidden="1"/>
    <cellStyle name="Гиперссылка 2" xfId="22565" hidden="1"/>
    <cellStyle name="Гиперссылка 2" xfId="22566" hidden="1"/>
    <cellStyle name="Гиперссылка 2" xfId="22562" hidden="1"/>
    <cellStyle name="Гиперссылка 2" xfId="22561" hidden="1"/>
    <cellStyle name="Гиперссылка 2" xfId="22564" hidden="1"/>
    <cellStyle name="Гиперссылка 2" xfId="22563" hidden="1"/>
    <cellStyle name="Гиперссылка 2" xfId="22568" hidden="1"/>
    <cellStyle name="Гиперссылка 2" xfId="22567" hidden="1"/>
    <cellStyle name="Гиперссылка 2" xfId="22569" hidden="1"/>
    <cellStyle name="Гиперссылка 2" xfId="22570" hidden="1"/>
    <cellStyle name="Гиперссылка 2" xfId="22575" hidden="1"/>
    <cellStyle name="Гиперссылка 2" xfId="22576" hidden="1"/>
    <cellStyle name="Гиперссылка 2" xfId="22572" hidden="1"/>
    <cellStyle name="Гиперссылка 2" xfId="22571" hidden="1"/>
    <cellStyle name="Гиперссылка 2" xfId="22574" hidden="1"/>
    <cellStyle name="Гиперссылка 2" xfId="22573" hidden="1"/>
    <cellStyle name="Гиперссылка 2" xfId="22578" hidden="1"/>
    <cellStyle name="Гиперссылка 2" xfId="22577" hidden="1"/>
    <cellStyle name="Гиперссылка 2" xfId="22478" hidden="1"/>
    <cellStyle name="Гиперссылка 2" xfId="22084" hidden="1"/>
    <cellStyle name="Гиперссылка 2" xfId="14633" hidden="1"/>
    <cellStyle name="Гиперссылка 2" xfId="21386" hidden="1"/>
    <cellStyle name="Гиперссылка 2" xfId="22533" hidden="1"/>
    <cellStyle name="Гиперссылка 2" xfId="22545" hidden="1"/>
    <cellStyle name="Гиперссылка 2" xfId="22142" hidden="1"/>
    <cellStyle name="Гиперссылка 2" xfId="22531" hidden="1"/>
    <cellStyle name="Гиперссылка 2" xfId="22590" hidden="1"/>
    <cellStyle name="Гиперссылка 2" xfId="22589" hidden="1"/>
    <cellStyle name="Гиперссылка 2" xfId="22597" hidden="1"/>
    <cellStyle name="Гиперссылка 2" xfId="22598" hidden="1"/>
    <cellStyle name="Гиперссылка 2" xfId="22603" hidden="1"/>
    <cellStyle name="Гиперссылка 2" xfId="22604" hidden="1"/>
    <cellStyle name="Гиперссылка 2" xfId="22600" hidden="1"/>
    <cellStyle name="Гиперссылка 2" xfId="22599" hidden="1"/>
    <cellStyle name="Гиперссылка 2" xfId="22602" hidden="1"/>
    <cellStyle name="Гиперссылка 2" xfId="22601" hidden="1"/>
    <cellStyle name="Гиперссылка 2" xfId="22606" hidden="1"/>
    <cellStyle name="Гиперссылка 2" xfId="22605" hidden="1"/>
    <cellStyle name="Гиперссылка 2" xfId="22607" hidden="1"/>
    <cellStyle name="Гиперссылка 2" xfId="22608" hidden="1"/>
    <cellStyle name="Гиперссылка 2" xfId="22613" hidden="1"/>
    <cellStyle name="Гиперссылка 2" xfId="22614" hidden="1"/>
    <cellStyle name="Гиперссылка 2" xfId="22610" hidden="1"/>
    <cellStyle name="Гиперссылка 2" xfId="22609" hidden="1"/>
    <cellStyle name="Гиперссылка 2" xfId="22612" hidden="1"/>
    <cellStyle name="Гиперссылка 2" xfId="22611" hidden="1"/>
    <cellStyle name="Гиперссылка 2" xfId="22616" hidden="1"/>
    <cellStyle name="Гиперссылка 2" xfId="22615" hidden="1"/>
    <cellStyle name="Гиперссылка 2" xfId="22617" hidden="1"/>
    <cellStyle name="Гиперссылка 2" xfId="22618" hidden="1"/>
    <cellStyle name="Гиперссылка 2" xfId="22623" hidden="1"/>
    <cellStyle name="Гиперссылка 2" xfId="22624" hidden="1"/>
    <cellStyle name="Гиперссылка 2" xfId="22620" hidden="1"/>
    <cellStyle name="Гиперссылка 2" xfId="22619" hidden="1"/>
    <cellStyle name="Гиперссылка 2" xfId="22622" hidden="1"/>
    <cellStyle name="Гиперссылка 2" xfId="22621" hidden="1"/>
    <cellStyle name="Гиперссылка 2" xfId="22626" hidden="1"/>
    <cellStyle name="Гиперссылка 2" xfId="22625" hidden="1"/>
    <cellStyle name="Гиперссылка 2" xfId="22532" hidden="1"/>
    <cellStyle name="Гиперссылка 2" xfId="21226" hidden="1"/>
    <cellStyle name="Гиперссылка 2" xfId="20959" hidden="1"/>
    <cellStyle name="Гиперссылка 2" xfId="15459" hidden="1"/>
    <cellStyle name="Гиперссылка 2" xfId="22582" hidden="1"/>
    <cellStyle name="Гиперссылка 2" xfId="22595" hidden="1"/>
    <cellStyle name="Гиперссылка 2" xfId="22218" hidden="1"/>
    <cellStyle name="Гиперссылка 2" xfId="22579" hidden="1"/>
    <cellStyle name="Гиперссылка 2" xfId="22639" hidden="1"/>
    <cellStyle name="Гиперссылка 2" xfId="22638" hidden="1"/>
    <cellStyle name="Гиперссылка 2" xfId="22643" hidden="1"/>
    <cellStyle name="Гиперссылка 2" xfId="22644" hidden="1"/>
    <cellStyle name="Гиперссылка 2" xfId="22649" hidden="1"/>
    <cellStyle name="Гиперссылка 2" xfId="22650" hidden="1"/>
    <cellStyle name="Гиперссылка 2" xfId="22646" hidden="1"/>
    <cellStyle name="Гиперссылка 2" xfId="22645" hidden="1"/>
    <cellStyle name="Гиперссылка 2" xfId="22648" hidden="1"/>
    <cellStyle name="Гиперссылка 2" xfId="22647" hidden="1"/>
    <cellStyle name="Гиперссылка 2" xfId="22652" hidden="1"/>
    <cellStyle name="Гиперссылка 2" xfId="22651" hidden="1"/>
    <cellStyle name="Гиперссылка 2" xfId="22654" hidden="1"/>
    <cellStyle name="Гиперссылка 2" xfId="22655" hidden="1"/>
    <cellStyle name="Гиперссылка 2" xfId="22660" hidden="1"/>
    <cellStyle name="Гиперссылка 2" xfId="22661" hidden="1"/>
    <cellStyle name="Гиперссылка 2" xfId="22657" hidden="1"/>
    <cellStyle name="Гиперссылка 2" xfId="22656" hidden="1"/>
    <cellStyle name="Гиперссылка 2" xfId="22659" hidden="1"/>
    <cellStyle name="Гиперссылка 2" xfId="22658" hidden="1"/>
    <cellStyle name="Гиперссылка 2" xfId="22663" hidden="1"/>
    <cellStyle name="Гиперссылка 2" xfId="22662" hidden="1"/>
    <cellStyle name="Гиперссылка 2" xfId="22664" hidden="1"/>
    <cellStyle name="Гиперссылка 2" xfId="22665" hidden="1"/>
    <cellStyle name="Гиперссылка 2" xfId="22670" hidden="1"/>
    <cellStyle name="Гиперссылка 2" xfId="22671" hidden="1"/>
    <cellStyle name="Гиперссылка 2" xfId="22667" hidden="1"/>
    <cellStyle name="Гиперссылка 2" xfId="22666" hidden="1"/>
    <cellStyle name="Гиперссылка 2" xfId="22669" hidden="1"/>
    <cellStyle name="Гиперссылка 2" xfId="22668" hidden="1"/>
    <cellStyle name="Гиперссылка 2" xfId="22673" hidden="1"/>
    <cellStyle name="Гиперссылка 2" xfId="22672" hidden="1"/>
    <cellStyle name="Гиперссылка 2" xfId="22580" hidden="1"/>
    <cellStyle name="Гиперссылка 2" xfId="22137" hidden="1"/>
    <cellStyle name="Гиперссылка 2" xfId="21452" hidden="1"/>
    <cellStyle name="Гиперссылка 2" xfId="21391" hidden="1"/>
    <cellStyle name="Гиперссылка 2" xfId="22630" hidden="1"/>
    <cellStyle name="Гиперссылка 2" xfId="22642" hidden="1"/>
    <cellStyle name="Гиперссылка 2" xfId="22436" hidden="1"/>
    <cellStyle name="Гиперссылка 2" xfId="22628" hidden="1"/>
    <cellStyle name="Гиперссылка 2" xfId="22682" hidden="1"/>
    <cellStyle name="Гиперссылка 2" xfId="22681" hidden="1"/>
    <cellStyle name="Гиперссылка 2" xfId="22686" hidden="1"/>
    <cellStyle name="Гиперссылка 2" xfId="22687" hidden="1"/>
    <cellStyle name="Гиперссылка 2" xfId="22692" hidden="1"/>
    <cellStyle name="Гиперссылка 2" xfId="22693" hidden="1"/>
    <cellStyle name="Гиперссылка 2" xfId="22689" hidden="1"/>
    <cellStyle name="Гиперссылка 2" xfId="22688" hidden="1"/>
    <cellStyle name="Гиперссылка 2" xfId="22691" hidden="1"/>
    <cellStyle name="Гиперссылка 2" xfId="22690" hidden="1"/>
    <cellStyle name="Гиперссылка 2" xfId="22695" hidden="1"/>
    <cellStyle name="Гиперссылка 2" xfId="22694" hidden="1"/>
    <cellStyle name="Гиперссылка 2" xfId="22696" hidden="1"/>
    <cellStyle name="Гиперссылка 2" xfId="22697" hidden="1"/>
    <cellStyle name="Гиперссылка 2" xfId="22702" hidden="1"/>
    <cellStyle name="Гиперссылка 2" xfId="22703" hidden="1"/>
    <cellStyle name="Гиперссылка 2" xfId="22699" hidden="1"/>
    <cellStyle name="Гиперссылка 2" xfId="22698" hidden="1"/>
    <cellStyle name="Гиперссылка 2" xfId="22701" hidden="1"/>
    <cellStyle name="Гиперссылка 2" xfId="22700" hidden="1"/>
    <cellStyle name="Гиперссылка 2" xfId="22705" hidden="1"/>
    <cellStyle name="Гиперссылка 2" xfId="22704" hidden="1"/>
    <cellStyle name="Гиперссылка 2" xfId="22706" hidden="1"/>
    <cellStyle name="Гиперссылка 2" xfId="22707" hidden="1"/>
    <cellStyle name="Гиперссылка 2" xfId="22712" hidden="1"/>
    <cellStyle name="Гиперссылка 2" xfId="22713" hidden="1"/>
    <cellStyle name="Гиперссылка 2" xfId="22709" hidden="1"/>
    <cellStyle name="Гиперссылка 2" xfId="22708" hidden="1"/>
    <cellStyle name="Гиперссылка 2" xfId="22711" hidden="1"/>
    <cellStyle name="Гиперссылка 2" xfId="22710" hidden="1"/>
    <cellStyle name="Гиперссылка 2" xfId="22715" hidden="1"/>
    <cellStyle name="Гиперссылка 2" xfId="22714" hidden="1"/>
    <cellStyle name="Гиперссылка 2" xfId="22629" hidden="1"/>
    <cellStyle name="Гиперссылка 2" xfId="22013" hidden="1"/>
    <cellStyle name="Гиперссылка 2" xfId="22479" hidden="1"/>
    <cellStyle name="Гиперссылка 2" xfId="21240" hidden="1"/>
    <cellStyle name="Гиперссылка 2" xfId="22675" hidden="1"/>
    <cellStyle name="Гиперссылка 2" xfId="22685" hidden="1"/>
    <cellStyle name="Гиперссылка 2" xfId="22488" hidden="1"/>
    <cellStyle name="Гиперссылка 2" xfId="22674" hidden="1"/>
    <cellStyle name="Гиперссылка 2" xfId="22717" hidden="1"/>
    <cellStyle name="Гиперссылка 2" xfId="22716" hidden="1"/>
    <cellStyle name="Гиперссылка 2" xfId="22718" hidden="1"/>
    <cellStyle name="Гиперссылка 2" xfId="22719" hidden="1"/>
    <cellStyle name="Гиперссылка 2" xfId="22724" hidden="1"/>
    <cellStyle name="Гиперссылка 2" xfId="22725" hidden="1"/>
    <cellStyle name="Гиперссылка 2" xfId="22721" hidden="1"/>
    <cellStyle name="Гиперссылка 2" xfId="22720" hidden="1"/>
    <cellStyle name="Гиперссылка 2" xfId="22723" hidden="1"/>
    <cellStyle name="Гиперссылка 2" xfId="22722" hidden="1"/>
    <cellStyle name="Гиперссылка 2" xfId="22727" hidden="1"/>
    <cellStyle name="Гиперссылка 2" xfId="22726" hidden="1"/>
    <cellStyle name="Гиперссылка 2" xfId="22728" hidden="1"/>
    <cellStyle name="Гиперссылка 2" xfId="22729" hidden="1"/>
    <cellStyle name="Гиперссылка 2" xfId="22734" hidden="1"/>
    <cellStyle name="Гиперссылка 2" xfId="22735" hidden="1"/>
    <cellStyle name="Гиперссылка 2" xfId="22731" hidden="1"/>
    <cellStyle name="Гиперссылка 2" xfId="22730" hidden="1"/>
    <cellStyle name="Гиперссылка 2" xfId="22733" hidden="1"/>
    <cellStyle name="Гиперссылка 2" xfId="22732" hidden="1"/>
    <cellStyle name="Гиперссылка 2" xfId="22737" hidden="1"/>
    <cellStyle name="Гиперссылка 2" xfId="22736" hidden="1"/>
    <cellStyle name="Гиперссылка 2" xfId="22738" hidden="1"/>
    <cellStyle name="Гиперссылка 2" xfId="22739" hidden="1"/>
    <cellStyle name="Гиперссылка 2" xfId="22744" hidden="1"/>
    <cellStyle name="Гиперссылка 2" xfId="22745" hidden="1"/>
    <cellStyle name="Гиперссылка 2" xfId="22741" hidden="1"/>
    <cellStyle name="Гиперссылка 2" xfId="22740" hidden="1"/>
    <cellStyle name="Гиперссылка 2" xfId="22743" hidden="1"/>
    <cellStyle name="Гиперссылка 2" xfId="22742" hidden="1"/>
    <cellStyle name="Гиперссылка 2" xfId="22747" hidden="1"/>
    <cellStyle name="Гиперссылка 2" xfId="22746" hidden="1"/>
    <cellStyle name="Гиперссылка 2" xfId="21378" hidden="1"/>
    <cellStyle name="Гиперссылка 2" xfId="21006" hidden="1"/>
    <cellStyle name="Гиперссылка 2" xfId="22544" hidden="1"/>
    <cellStyle name="Гиперссылка 2" xfId="21001" hidden="1"/>
    <cellStyle name="Гиперссылка 2" xfId="21008" hidden="1"/>
    <cellStyle name="Гиперссылка 2" xfId="20961" hidden="1"/>
    <cellStyle name="Гиперссылка 2" xfId="22325" hidden="1"/>
    <cellStyle name="Гиперссылка 2" xfId="21379" hidden="1"/>
    <cellStyle name="Гиперссылка 2" xfId="22148" hidden="1"/>
    <cellStyle name="Гиперссылка 2" xfId="21700" hidden="1"/>
    <cellStyle name="Гиперссылка 2" xfId="22635" hidden="1"/>
    <cellStyle name="Гиперссылка 2" xfId="22538" hidden="1"/>
    <cellStyle name="Гиперссылка 2" xfId="22317" hidden="1"/>
    <cellStyle name="Гиперссылка 2" xfId="20895" hidden="1"/>
    <cellStyle name="Гиперссылка 2" xfId="22493" hidden="1"/>
    <cellStyle name="Гиперссылка 2" xfId="22587" hidden="1"/>
    <cellStyle name="Гиперссылка 2" xfId="21075" hidden="1"/>
    <cellStyle name="Гиперссылка 2" xfId="20886" hidden="1"/>
    <cellStyle name="Гиперссылка 2" xfId="21456" hidden="1"/>
    <cellStyle name="Гиперссылка 2" xfId="21549" hidden="1"/>
    <cellStyle name="Гиперссылка 2" xfId="20904" hidden="1"/>
    <cellStyle name="Гиперссылка 2" xfId="22206" hidden="1"/>
    <cellStyle name="Гиперссылка 2" xfId="21026" hidden="1"/>
    <cellStyle name="Гиперссылка 2" xfId="20900" hidden="1"/>
    <cellStyle name="Гиперссылка 2" xfId="22133" hidden="1"/>
    <cellStyle name="Гиперссылка 2" xfId="20927" hidden="1"/>
    <cellStyle name="Гиперссылка 2" xfId="22132" hidden="1"/>
    <cellStyle name="Гиперссылка 2" xfId="21438" hidden="1"/>
    <cellStyle name="Гиперссылка 2" xfId="21711" hidden="1"/>
    <cellStyle name="Гиперссылка 2" xfId="20995" hidden="1"/>
    <cellStyle name="Гиперссылка 2" xfId="21903" hidden="1"/>
    <cellStyle name="Гиперссылка 2" xfId="21829" hidden="1"/>
    <cellStyle name="Гиперссылка 2" xfId="21283" hidden="1"/>
    <cellStyle name="Гиперссылка 2" xfId="21689" hidden="1"/>
    <cellStyle name="Гиперссылка 2" xfId="21703" hidden="1"/>
    <cellStyle name="Гиперссылка 2" xfId="22138" hidden="1"/>
    <cellStyle name="Гиперссылка 2" xfId="20901" hidden="1"/>
    <cellStyle name="Гиперссылка 2" xfId="20990" hidden="1"/>
    <cellStyle name="Гиперссылка 2" xfId="20983" hidden="1"/>
    <cellStyle name="Гиперссылка 2" xfId="21296" hidden="1"/>
    <cellStyle name="Гиперссылка 2" xfId="21630" hidden="1"/>
    <cellStyle name="Гиперссылка 2" xfId="21163" hidden="1"/>
    <cellStyle name="Гиперссылка 2" xfId="21449" hidden="1"/>
    <cellStyle name="Гиперссылка 2" xfId="21210" hidden="1"/>
    <cellStyle name="Гиперссылка 2" xfId="22159" hidden="1"/>
    <cellStyle name="Гиперссылка 2" xfId="21003" hidden="1"/>
    <cellStyle name="Гиперссылка 2" xfId="22583" hidden="1"/>
    <cellStyle name="Гиперссылка 2" xfId="22632" hidden="1"/>
    <cellStyle name="Гиперссылка 2" xfId="20954" hidden="1"/>
    <cellStyle name="Гиперссылка 2" xfId="14642" hidden="1"/>
    <cellStyle name="Гиперссылка 2" xfId="21010" hidden="1"/>
    <cellStyle name="Гиперссылка 2" xfId="21403" hidden="1"/>
    <cellStyle name="Гиперссылка 2" xfId="22215" hidden="1"/>
    <cellStyle name="Гиперссылка 2" xfId="21686" hidden="1"/>
    <cellStyle name="Гиперссылка 2" xfId="21009" hidden="1"/>
    <cellStyle name="Гиперссылка 2" xfId="22279" hidden="1"/>
    <cellStyle name="Гиперссылка 2" xfId="22254" hidden="1"/>
    <cellStyle name="Гиперссылка 2" xfId="21195" hidden="1"/>
    <cellStyle name="Гиперссылка 2" xfId="21056" hidden="1"/>
    <cellStyle name="Гиперссылка 2" xfId="21684" hidden="1"/>
    <cellStyle name="Гиперссылка 2" xfId="22596" hidden="1"/>
    <cellStyle name="Гиперссылка 2" xfId="22499" hidden="1"/>
    <cellStyle name="Гиперссылка 2" xfId="21827" hidden="1"/>
    <cellStyle name="Гиперссылка 2" xfId="21581" hidden="1"/>
    <cellStyle name="Гиперссылка 2" xfId="22584" hidden="1"/>
    <cellStyle name="Гиперссылка 2" xfId="22677" hidden="1"/>
    <cellStyle name="Гиперссылка 2" xfId="22438" hidden="1"/>
    <cellStyle name="Гиперссылка 2" xfId="22490" hidden="1"/>
    <cellStyle name="Гиперссылка 2" xfId="21084" hidden="1"/>
    <cellStyle name="Гиперссылка 2" xfId="14752" hidden="1"/>
    <cellStyle name="Гиперссылка 2" xfId="22212" hidden="1"/>
    <cellStyle name="Гиперссылка 2" xfId="21614" hidden="1"/>
    <cellStyle name="Гиперссылка 2" xfId="22497" hidden="1"/>
    <cellStyle name="Гиперссылка 2" xfId="22258" hidden="1"/>
    <cellStyle name="Гиперссылка 2" xfId="22008" hidden="1"/>
    <cellStyle name="Гиперссылка 2" xfId="20971" hidden="1"/>
    <cellStyle name="Гиперссылка 2" xfId="22593" hidden="1"/>
    <cellStyle name="Гиперссылка 2" xfId="21199" hidden="1"/>
    <cellStyle name="Гиперссылка 2" xfId="22594" hidden="1"/>
    <cellStyle name="Гиперссылка 2" xfId="22640" hidden="1"/>
    <cellStyle name="Гиперссылка 2" xfId="21613" hidden="1"/>
    <cellStyle name="Гиперссылка 2" xfId="22327" hidden="1"/>
    <cellStyle name="Гиперссылка 2" xfId="22539" hidden="1"/>
    <cellStyle name="Гиперссылка 2" xfId="21774" hidden="1"/>
    <cellStyle name="Гиперссылка 2" xfId="21309" hidden="1"/>
    <cellStyle name="Гиперссылка 2" xfId="21490" hidden="1"/>
    <cellStyle name="Гиперссылка 2" xfId="21688" hidden="1"/>
    <cellStyle name="Гиперссылка 2" xfId="21246" hidden="1"/>
    <cellStyle name="Гиперссылка 2" xfId="20969" hidden="1"/>
    <cellStyle name="Гиперссылка 2" xfId="22154" hidden="1"/>
    <cellStyle name="Гиперссылка 2" xfId="21021" hidden="1"/>
    <cellStyle name="Гиперссылка 2" xfId="21603" hidden="1"/>
    <cellStyle name="Гиперссылка 2" xfId="20989" hidden="1"/>
    <cellStyle name="Гиперссылка 2" xfId="21907" hidden="1"/>
    <cellStyle name="Гиперссылка 2" xfId="22557" hidden="1"/>
    <cellStyle name="Гиперссылка 2" xfId="21786" hidden="1"/>
    <cellStyle name="Гиперссылка 2" xfId="21279" hidden="1"/>
    <cellStyle name="Гиперссылка 2" xfId="22454" hidden="1"/>
    <cellStyle name="Гиперссылка 2" xfId="20919" hidden="1"/>
    <cellStyle name="Гиперссылка 2" xfId="21708" hidden="1"/>
    <cellStyle name="Гиперссылка 2" xfId="20949" hidden="1"/>
    <cellStyle name="Гиперссылка 2" xfId="20903" hidden="1"/>
    <cellStyle name="Гиперссылка 2" xfId="21558" hidden="1"/>
    <cellStyle name="Гиперссылка 2" xfId="22194" hidden="1"/>
    <cellStyle name="Гиперссылка 2" xfId="22362" hidden="1"/>
    <cellStyle name="Гиперссылка 2" xfId="22092" hidden="1"/>
    <cellStyle name="Гиперссылка 2" xfId="14574" hidden="1"/>
    <cellStyle name="Гиперссылка 2" xfId="21181" hidden="1"/>
    <cellStyle name="Гиперссылка 2" xfId="21164" hidden="1"/>
    <cellStyle name="Гиперссылка 2" xfId="22096" hidden="1"/>
    <cellStyle name="Гиперссылка 2" xfId="21064" hidden="1"/>
    <cellStyle name="Гиперссылка 2" xfId="21714" hidden="1"/>
    <cellStyle name="Гиперссылка 2" xfId="21220" hidden="1"/>
    <cellStyle name="Гиперссылка 2" xfId="20893" hidden="1"/>
    <cellStyle name="Гиперссылка 2" xfId="21034" hidden="1"/>
    <cellStyle name="Гиперссылка 2" xfId="21059" hidden="1"/>
    <cellStyle name="Гиперссылка 2" xfId="21191" hidden="1"/>
    <cellStyle name="Гиперссылка 2" xfId="21704" hidden="1"/>
    <cellStyle name="Гиперссылка 2" xfId="21838" hidden="1"/>
    <cellStyle name="Гиперссылка 2" xfId="21323" hidden="1"/>
    <cellStyle name="Гиперссылка 2" xfId="22207" hidden="1"/>
    <cellStyle name="Гиперссылка 2" xfId="22260" hidden="1"/>
    <cellStyle name="Гиперссылка 2" xfId="22221" hidden="1"/>
    <cellStyle name="Гиперссылка 2" xfId="21439" hidden="1"/>
    <cellStyle name="Гиперссылка 2" xfId="21550" hidden="1"/>
    <cellStyle name="Гиперссылка 2" xfId="21109" hidden="1"/>
    <cellStyle name="Гиперссылка 2" xfId="22541" hidden="1"/>
    <cellStyle name="Гиперссылка 2" xfId="22195" hidden="1"/>
    <cellStyle name="Гиперссылка 2" xfId="21022" hidden="1"/>
    <cellStyle name="Гиперссылка 2" xfId="22088" hidden="1"/>
    <cellStyle name="Гиперссылка 2" xfId="21294" hidden="1"/>
    <cellStyle name="Гиперссылка 2" xfId="21633" hidden="1"/>
    <cellStyle name="Гиперссылка 2" xfId="22278" hidden="1"/>
    <cellStyle name="Гиперссылка 2" xfId="22095" hidden="1"/>
    <cellStyle name="Гиперссылка 2" xfId="22633" hidden="1"/>
    <cellStyle name="Гиперссылка 2" xfId="22364" hidden="1"/>
    <cellStyle name="Гиперссылка 2" xfId="22489" hidden="1"/>
    <cellStyle name="Гиперссылка 2" xfId="22536" hidden="1"/>
    <cellStyle name="Гиперссылка 2" xfId="22255" hidden="1"/>
    <cellStyle name="Гиперссылка 2" xfId="21953" hidden="1"/>
    <cellStyle name="Гиперссылка 2" xfId="21272" hidden="1"/>
    <cellStyle name="Гиперссылка 2" xfId="20955" hidden="1"/>
    <cellStyle name="Гиперссылка 2" xfId="21087" hidden="1"/>
    <cellStyle name="Гиперссылка 2" xfId="21610" hidden="1"/>
    <cellStyle name="Гиперссылка 2" xfId="22156" hidden="1"/>
    <cellStyle name="Гиперссылка 2" xfId="14968" hidden="1"/>
    <cellStyle name="Гиперссылка 2" xfId="21557" hidden="1"/>
    <cellStyle name="Гиперссылка 2" xfId="21143" hidden="1"/>
    <cellStyle name="Гиперссылка 2" xfId="21964" hidden="1"/>
    <cellStyle name="Гиперссылка 2" xfId="21363" hidden="1"/>
    <cellStyle name="Гиперссылка 2" xfId="14593" hidden="1"/>
    <cellStyle name="Гиперссылка 2" xfId="21850" hidden="1"/>
    <cellStyle name="Гиперссылка 2" xfId="21213" hidden="1"/>
    <cellStyle name="Гиперссылка 2" xfId="21476" hidden="1"/>
    <cellStyle name="Гиперссылка 2" xfId="22365" hidden="1"/>
    <cellStyle name="Гиперссылка 2" xfId="21278" hidden="1"/>
    <cellStyle name="Гиперссылка 2" xfId="20916" hidden="1"/>
    <cellStyle name="Гиперссылка 2" xfId="20979" hidden="1"/>
    <cellStyle name="Гиперссылка 2" xfId="21155" hidden="1"/>
    <cellStyle name="Гиперссылка 2" xfId="21161" hidden="1"/>
    <cellStyle name="Гиперссылка 2" xfId="21242" hidden="1"/>
    <cellStyle name="Гиперссылка 2" xfId="22476" hidden="1"/>
    <cellStyle name="Гиперссылка 2" xfId="22261" hidden="1"/>
    <cellStyle name="Гиперссылка 2" xfId="22219" hidden="1"/>
    <cellStyle name="Гиперссылка 2" xfId="21894" hidden="1"/>
    <cellStyle name="Гиперссылка 2" xfId="22486" hidden="1"/>
    <cellStyle name="Гиперссылка 2" xfId="20980" hidden="1"/>
    <cellStyle name="Гиперссылка 2" xfId="21308" hidden="1"/>
    <cellStyle name="Гиперссылка 2" xfId="21885" hidden="1"/>
    <cellStyle name="Гиперссылка 2" xfId="22321" hidden="1"/>
    <cellStyle name="Гиперссылка 2" xfId="22585" hidden="1"/>
    <cellStyle name="Гиперссылка 2" xfId="22491" hidden="1"/>
    <cellStyle name="Гиперссылка 2" xfId="20996" hidden="1"/>
    <cellStyle name="Гиперссылка 2" xfId="21898" hidden="1"/>
    <cellStyle name="Гиперссылка 2" xfId="20993" hidden="1"/>
    <cellStyle name="Гиперссылка 2" xfId="14614" hidden="1"/>
    <cellStyle name="Гиперссылка 2" xfId="21327" hidden="1"/>
    <cellStyle name="Гиперссылка 2" xfId="21446" hidden="1"/>
    <cellStyle name="Гиперссылка 2" xfId="20994" hidden="1"/>
    <cellStyle name="Гиперссылка 2" xfId="21388" hidden="1"/>
    <cellStyle name="Гиперссылка 2" xfId="21776" hidden="1"/>
    <cellStyle name="Гиперссылка 2" xfId="21968" hidden="1"/>
    <cellStyle name="Гиперссылка 2" xfId="22678" hidden="1"/>
    <cellStyle name="Гиперссылка 2" xfId="22586" hidden="1"/>
    <cellStyle name="Гиперссылка 2" xfId="21530" hidden="1"/>
    <cellStyle name="Гиперссылка 2" xfId="21625" hidden="1"/>
    <cellStyle name="Гиперссылка 2" xfId="21289" hidden="1"/>
    <cellStyle name="Гиперссылка 2" xfId="22214" hidden="1"/>
    <cellStyle name="Гиперссылка 2" xfId="21570" hidden="1"/>
    <cellStyle name="Гиперссылка 2" xfId="21282" hidden="1"/>
    <cellStyle name="Гиперссылка 2" xfId="21367" hidden="1"/>
    <cellStyle name="Гиперссылка 2" xfId="21036" hidden="1"/>
    <cellStyle name="Гиперссылка 2" xfId="21015" hidden="1"/>
    <cellStyle name="Гиперссылка 2" xfId="22318" hidden="1"/>
    <cellStyle name="Гиперссылка 2" xfId="21146" hidden="1"/>
    <cellStyle name="Гиперссылка 2" xfId="20887" hidden="1"/>
    <cellStyle name="Гиперссылка 2" xfId="21755" hidden="1"/>
    <cellStyle name="Гиперссылка 2" xfId="21253" hidden="1"/>
    <cellStyle name="Гиперссылка 2" xfId="21951" hidden="1"/>
    <cellStyle name="Гиперссылка 2" xfId="21455" hidden="1"/>
    <cellStyle name="Гиперссылка 2" xfId="21078" hidden="1"/>
    <cellStyle name="Гиперссылка 2" xfId="21444" hidden="1"/>
    <cellStyle name="Гиперссылка 2" xfId="21673" hidden="1"/>
    <cellStyle name="Гиперссылка 2" xfId="21696" hidden="1"/>
    <cellStyle name="Гиперссылка 2" xfId="22634" hidden="1"/>
    <cellStyle name="Гиперссылка 2" xfId="21142" hidden="1"/>
    <cellStyle name="Гиперссылка 2" xfId="21699" hidden="1"/>
    <cellStyle name="Гиперссылка 2" xfId="22637" hidden="1"/>
    <cellStyle name="Гиперссылка 2" xfId="21947" hidden="1"/>
    <cellStyle name="Гиперссылка 2" xfId="21896" hidden="1"/>
    <cellStyle name="Гиперссылка 2" xfId="22653" hidden="1"/>
    <cellStyle name="Гиперссылка 2" xfId="22558" hidden="1"/>
    <cellStyle name="Гиперссылка 2" xfId="21546" hidden="1"/>
    <cellStyle name="Гиперссылка 2" xfId="14563" hidden="1"/>
    <cellStyle name="Гиперссылка 2" xfId="22087" hidden="1"/>
    <cellStyle name="Гиперссылка 2" xfId="21057" hidden="1"/>
    <cellStyle name="Гиперссылка 2" xfId="22263" hidden="1"/>
    <cellStyle name="Гиперссылка 2" xfId="21962" hidden="1"/>
    <cellStyle name="Гиперссылка 2" xfId="21698" hidden="1"/>
    <cellStyle name="Гиперссылка 2" xfId="21779" hidden="1"/>
    <cellStyle name="Гиперссылка 2" xfId="15224" hidden="1"/>
    <cellStyle name="Гиперссылка 2" xfId="22200" hidden="1"/>
    <cellStyle name="Гиперссылка 2" xfId="21701" hidden="1"/>
    <cellStyle name="Гиперссылка 2" xfId="22679" hidden="1"/>
    <cellStyle name="Гиперссылка 2" xfId="21824" hidden="1"/>
    <cellStyle name="Гиперссылка 2" xfId="22134" hidden="1"/>
    <cellStyle name="Гиперссылка 2" xfId="21952" hidden="1"/>
    <cellStyle name="Гиперссылка 2" xfId="21205" hidden="1"/>
    <cellStyle name="Гиперссылка 2" xfId="22492" hidden="1"/>
    <cellStyle name="Гиперссылка 2" xfId="22540" hidden="1"/>
    <cellStyle name="Гиперссылка 2" xfId="21361" hidden="1"/>
    <cellStyle name="Гиперссылка 2" xfId="21076" hidden="1"/>
    <cellStyle name="Гиперссылка 2" xfId="21023" hidden="1"/>
    <cellStyle name="Гиперссылка 2" xfId="22197" hidden="1"/>
    <cellStyle name="Гиперссылка 2" xfId="22141" hidden="1"/>
    <cellStyle name="Гиперссылка 2" xfId="22151" hidden="1"/>
    <cellStyle name="Гиперссылка 2" xfId="22140" hidden="1"/>
    <cellStyle name="Гиперссылка 2" xfId="21035" hidden="1"/>
    <cellStyle name="Гиперссылка 2" xfId="21397" hidden="1"/>
    <cellStyle name="Гиперссылка 2" xfId="20923" hidden="1"/>
    <cellStyle name="Гиперссылка 2" xfId="22588" hidden="1"/>
    <cellStyle name="Гиперссылка 2" xfId="22631" hidden="1"/>
    <cellStyle name="Гиперссылка 2" xfId="14645" hidden="1"/>
    <cellStyle name="Гиперссылка 2" xfId="21313" hidden="1"/>
    <cellStyle name="Гиперссылка 2" xfId="22684" hidden="1"/>
    <cellStyle name="Гиперссылка 2" xfId="22202" hidden="1"/>
    <cellStyle name="Гиперссылка 2" xfId="22592" hidden="1"/>
    <cellStyle name="Гиперссылка 2" xfId="21543" hidden="1"/>
    <cellStyle name="Гиперссылка 2" xfId="22751" hidden="1"/>
    <cellStyle name="Гиперссылка 2" xfId="22750" hidden="1"/>
    <cellStyle name="Гиперссылка 2" xfId="22757" hidden="1"/>
    <cellStyle name="Гиперссылка 2" xfId="22758" hidden="1"/>
    <cellStyle name="Гиперссылка 2" xfId="22763" hidden="1"/>
    <cellStyle name="Гиперссылка 2" xfId="22764" hidden="1"/>
    <cellStyle name="Гиперссылка 2" xfId="22760" hidden="1"/>
    <cellStyle name="Гиперссылка 2" xfId="22759" hidden="1"/>
    <cellStyle name="Гиперссылка 2" xfId="22762" hidden="1"/>
    <cellStyle name="Гиперссылка 2" xfId="22761" hidden="1"/>
    <cellStyle name="Гиперссылка 2" xfId="22766" hidden="1"/>
    <cellStyle name="Гиперссылка 2" xfId="22765" hidden="1"/>
    <cellStyle name="Гиперссылка 2" xfId="22767" hidden="1"/>
    <cellStyle name="Гиперссылка 2" xfId="22768" hidden="1"/>
    <cellStyle name="Гиперссылка 2" xfId="22773" hidden="1"/>
    <cellStyle name="Гиперссылка 2" xfId="22774" hidden="1"/>
    <cellStyle name="Гиперссылка 2" xfId="22770" hidden="1"/>
    <cellStyle name="Гиперссылка 2" xfId="22769" hidden="1"/>
    <cellStyle name="Гиперссылка 2" xfId="22772" hidden="1"/>
    <cellStyle name="Гиперссылка 2" xfId="22771" hidden="1"/>
    <cellStyle name="Гиперссылка 2" xfId="22776" hidden="1"/>
    <cellStyle name="Гиперссылка 2" xfId="22775" hidden="1"/>
    <cellStyle name="Гиперссылка 2" xfId="22777" hidden="1"/>
    <cellStyle name="Гиперссылка 2" xfId="22778" hidden="1"/>
    <cellStyle name="Гиперссылка 2" xfId="22783" hidden="1"/>
    <cellStyle name="Гиперссылка 2" xfId="22784" hidden="1"/>
    <cellStyle name="Гиперссылка 2" xfId="22780" hidden="1"/>
    <cellStyle name="Гиперссылка 2" xfId="22779" hidden="1"/>
    <cellStyle name="Гиперссылка 2" xfId="22782" hidden="1"/>
    <cellStyle name="Гиперссылка 2" xfId="22781" hidden="1"/>
    <cellStyle name="Гиперссылка 2" xfId="22786" hidden="1"/>
    <cellStyle name="Гиперссылка 2" xfId="22785" hidden="1"/>
    <cellStyle name="Гиперссылка 2" xfId="21389" hidden="1"/>
    <cellStyle name="Гиперссылка 2" xfId="21374" hidden="1"/>
    <cellStyle name="Гиперссылка 2" xfId="22360" hidden="1"/>
    <cellStyle name="Гиперссылка 2" xfId="21320" hidden="1"/>
    <cellStyle name="Гиперссылка 2" xfId="22530" hidden="1"/>
    <cellStyle name="Гиперссылка 2" xfId="22753" hidden="1"/>
    <cellStyle name="Гиперссылка 2" xfId="21710" hidden="1"/>
    <cellStyle name="Гиперссылка 2" xfId="21445" hidden="1"/>
    <cellStyle name="Гиперссылка 2" xfId="22798" hidden="1"/>
    <cellStyle name="Гиперссылка 2" xfId="22797" hidden="1"/>
    <cellStyle name="Гиперссылка 2" xfId="22800" hidden="1"/>
    <cellStyle name="Гиперссылка 2" xfId="22801" hidden="1"/>
    <cellStyle name="Гиперссылка 2" xfId="22806" hidden="1"/>
    <cellStyle name="Гиперссылка 2" xfId="22807" hidden="1"/>
    <cellStyle name="Гиперссылка 2" xfId="22803" hidden="1"/>
    <cellStyle name="Гиперссылка 2" xfId="22802" hidden="1"/>
    <cellStyle name="Гиперссылка 2" xfId="22805" hidden="1"/>
    <cellStyle name="Гиперссылка 2" xfId="22804" hidden="1"/>
    <cellStyle name="Гиперссылка 2" xfId="22809" hidden="1"/>
    <cellStyle name="Гиперссылка 2" xfId="22808" hidden="1"/>
    <cellStyle name="Гиперссылка 2" xfId="22810" hidden="1"/>
    <cellStyle name="Гиперссылка 2" xfId="22811" hidden="1"/>
    <cellStyle name="Гиперссылка 2" xfId="22816" hidden="1"/>
    <cellStyle name="Гиперссылка 2" xfId="22817" hidden="1"/>
    <cellStyle name="Гиперссылка 2" xfId="22813" hidden="1"/>
    <cellStyle name="Гиперссылка 2" xfId="22812" hidden="1"/>
    <cellStyle name="Гиперссылка 2" xfId="22815" hidden="1"/>
    <cellStyle name="Гиперссылка 2" xfId="22814" hidden="1"/>
    <cellStyle name="Гиперссылка 2" xfId="22819" hidden="1"/>
    <cellStyle name="Гиперссылка 2" xfId="22818" hidden="1"/>
    <cellStyle name="Гиперссылка 2" xfId="22820" hidden="1"/>
    <cellStyle name="Гиперссылка 2" xfId="22821" hidden="1"/>
    <cellStyle name="Гиперссылка 2" xfId="22826" hidden="1"/>
    <cellStyle name="Гиперссылка 2" xfId="22827" hidden="1"/>
    <cellStyle name="Гиперссылка 2" xfId="22823" hidden="1"/>
    <cellStyle name="Гиперссылка 2" xfId="22822" hidden="1"/>
    <cellStyle name="Гиперссылка 2" xfId="22825" hidden="1"/>
    <cellStyle name="Гиперссылка 2" xfId="22824" hidden="1"/>
    <cellStyle name="Гиперссылка 2" xfId="22829" hidden="1"/>
    <cellStyle name="Гиперссылка 2" xfId="22828" hidden="1"/>
    <cellStyle name="Гиперссылка 2" xfId="21011" hidden="1"/>
    <cellStyle name="Гиперссылка 2" xfId="21912" hidden="1"/>
    <cellStyle name="Гиперссылка 2" xfId="21394" hidden="1"/>
    <cellStyle name="Гиперссылка 2" xfId="22591" hidden="1"/>
    <cellStyle name="Гиперссылка 2" xfId="22792" hidden="1"/>
    <cellStyle name="Гиперссылка 2" xfId="22799" hidden="1"/>
    <cellStyle name="Гиперссылка 2" xfId="21825" hidden="1"/>
    <cellStyle name="Гиперссылка 2" xfId="22788" hidden="1"/>
    <cellStyle name="Гиперссылка 2" xfId="22841" hidden="1"/>
    <cellStyle name="Гиперссылка 2" xfId="22840" hidden="1"/>
    <cellStyle name="Гиперссылка 2" xfId="22844" hidden="1"/>
    <cellStyle name="Гиперссылка 2" xfId="22845" hidden="1"/>
    <cellStyle name="Гиперссылка 2" xfId="22850" hidden="1"/>
    <cellStyle name="Гиперссылка 2" xfId="22851" hidden="1"/>
    <cellStyle name="Гиперссылка 2" xfId="22847" hidden="1"/>
    <cellStyle name="Гиперссылка 2" xfId="22846" hidden="1"/>
    <cellStyle name="Гиперссылка 2" xfId="22849" hidden="1"/>
    <cellStyle name="Гиперссылка 2" xfId="22848" hidden="1"/>
    <cellStyle name="Гиперссылка 2" xfId="22853" hidden="1"/>
    <cellStyle name="Гиперссылка 2" xfId="22852" hidden="1"/>
    <cellStyle name="Гиперссылка 2" xfId="22854" hidden="1"/>
    <cellStyle name="Гиперссылка 2" xfId="22855" hidden="1"/>
    <cellStyle name="Гиперссылка 2" xfId="22860" hidden="1"/>
    <cellStyle name="Гиперссылка 2" xfId="22861" hidden="1"/>
    <cellStyle name="Гиперссылка 2" xfId="22857" hidden="1"/>
    <cellStyle name="Гиперссылка 2" xfId="22856" hidden="1"/>
    <cellStyle name="Гиперссылка 2" xfId="22859" hidden="1"/>
    <cellStyle name="Гиперссылка 2" xfId="22858" hidden="1"/>
    <cellStyle name="Гиперссылка 2" xfId="22863" hidden="1"/>
    <cellStyle name="Гиперссылка 2" xfId="22862" hidden="1"/>
    <cellStyle name="Гиперссылка 2" xfId="22864" hidden="1"/>
    <cellStyle name="Гиперссылка 2" xfId="22865" hidden="1"/>
    <cellStyle name="Гиперссылка 2" xfId="22870" hidden="1"/>
    <cellStyle name="Гиперссылка 2" xfId="22871" hidden="1"/>
    <cellStyle name="Гиперссылка 2" xfId="22867" hidden="1"/>
    <cellStyle name="Гиперссылка 2" xfId="22866" hidden="1"/>
    <cellStyle name="Гиперссылка 2" xfId="22869" hidden="1"/>
    <cellStyle name="Гиперссылка 2" xfId="22868" hidden="1"/>
    <cellStyle name="Гиперссылка 2" xfId="22873" hidden="1"/>
    <cellStyle name="Гиперссылка 2" xfId="22872" hidden="1"/>
    <cellStyle name="Гиперссылка 2" xfId="22789" hidden="1"/>
    <cellStyle name="Гиперссылка 2" xfId="22437" hidden="1"/>
    <cellStyle name="Гиперссылка 2" xfId="20896" hidden="1"/>
    <cellStyle name="Гиперссылка 2" xfId="21845" hidden="1"/>
    <cellStyle name="Гиперссылка 2" xfId="22834" hidden="1"/>
    <cellStyle name="Гиперссылка 2" xfId="22842" hidden="1"/>
    <cellStyle name="Гиперссылка 2" xfId="22487" hidden="1"/>
    <cellStyle name="Гиперссылка 2" xfId="22830" hidden="1"/>
    <cellStyle name="Гиперссылка 2" xfId="22883" hidden="1"/>
    <cellStyle name="Гиперссылка 2" xfId="22882" hidden="1"/>
    <cellStyle name="Гиперссылка 2" xfId="22886" hidden="1"/>
    <cellStyle name="Гиперссылка 2" xfId="22887" hidden="1"/>
    <cellStyle name="Гиперссылка 2" xfId="22892" hidden="1"/>
    <cellStyle name="Гиперссылка 2" xfId="22893" hidden="1"/>
    <cellStyle name="Гиперссылка 2" xfId="22889" hidden="1"/>
    <cellStyle name="Гиперссылка 2" xfId="22888" hidden="1"/>
    <cellStyle name="Гиперссылка 2" xfId="22891" hidden="1"/>
    <cellStyle name="Гиперссылка 2" xfId="22890" hidden="1"/>
    <cellStyle name="Гиперссылка 2" xfId="22895" hidden="1"/>
    <cellStyle name="Гиперссылка 2" xfId="22894" hidden="1"/>
    <cellStyle name="Гиперссылка 2" xfId="22896" hidden="1"/>
    <cellStyle name="Гиперссылка 2" xfId="22897" hidden="1"/>
    <cellStyle name="Гиперссылка 2" xfId="22902" hidden="1"/>
    <cellStyle name="Гиперссылка 2" xfId="22903" hidden="1"/>
    <cellStyle name="Гиперссылка 2" xfId="22899" hidden="1"/>
    <cellStyle name="Гиперссылка 2" xfId="22898" hidden="1"/>
    <cellStyle name="Гиперссылка 2" xfId="22901" hidden="1"/>
    <cellStyle name="Гиперссылка 2" xfId="22900" hidden="1"/>
    <cellStyle name="Гиперссылка 2" xfId="22905" hidden="1"/>
    <cellStyle name="Гиперссылка 2" xfId="22904" hidden="1"/>
    <cellStyle name="Гиперссылка 2" xfId="22906" hidden="1"/>
    <cellStyle name="Гиперссылка 2" xfId="22907" hidden="1"/>
    <cellStyle name="Гиперссылка 2" xfId="22912" hidden="1"/>
    <cellStyle name="Гиперссылка 2" xfId="22913" hidden="1"/>
    <cellStyle name="Гиперссылка 2" xfId="22909" hidden="1"/>
    <cellStyle name="Гиперссылка 2" xfId="22908" hidden="1"/>
    <cellStyle name="Гиперссылка 2" xfId="22911" hidden="1"/>
    <cellStyle name="Гиперссылка 2" xfId="22910" hidden="1"/>
    <cellStyle name="Гиперссылка 2" xfId="22915" hidden="1"/>
    <cellStyle name="Гиперссылка 2" xfId="22914" hidden="1"/>
    <cellStyle name="Гиперссылка 2" xfId="22831" hidden="1"/>
    <cellStyle name="Гиперссылка 2" xfId="21485" hidden="1"/>
    <cellStyle name="Гиперссылка 2" xfId="21168" hidden="1"/>
    <cellStyle name="Гиперссылка 2" xfId="21521" hidden="1"/>
    <cellStyle name="Гиперссылка 2" xfId="22878" hidden="1"/>
    <cellStyle name="Гиперссылка 2" xfId="22884" hidden="1"/>
    <cellStyle name="Гиперссылка 2" xfId="22546" hidden="1"/>
    <cellStyle name="Гиперссылка 2" xfId="22875" hidden="1"/>
    <cellStyle name="Гиперссылка 2" xfId="22924" hidden="1"/>
    <cellStyle name="Гиперссылка 2" xfId="22923" hidden="1"/>
    <cellStyle name="Гиперссылка 2" xfId="22926" hidden="1"/>
    <cellStyle name="Гиперссылка 2" xfId="22927" hidden="1"/>
    <cellStyle name="Гиперссылка 2" xfId="22932" hidden="1"/>
    <cellStyle name="Гиперссылка 2" xfId="22933" hidden="1"/>
    <cellStyle name="Гиперссылка 2" xfId="22929" hidden="1"/>
    <cellStyle name="Гиперссылка 2" xfId="22928" hidden="1"/>
    <cellStyle name="Гиперссылка 2" xfId="22931" hidden="1"/>
    <cellStyle name="Гиперссылка 2" xfId="22930" hidden="1"/>
    <cellStyle name="Гиперссылка 2" xfId="22935" hidden="1"/>
    <cellStyle name="Гиперссылка 2" xfId="22934" hidden="1"/>
    <cellStyle name="Гиперссылка 2" xfId="22936" hidden="1"/>
    <cellStyle name="Гиперссылка 2" xfId="22937" hidden="1"/>
    <cellStyle name="Гиперссылка 2" xfId="22942" hidden="1"/>
    <cellStyle name="Гиперссылка 2" xfId="22943" hidden="1"/>
    <cellStyle name="Гиперссылка 2" xfId="22939" hidden="1"/>
    <cellStyle name="Гиперссылка 2" xfId="22938" hidden="1"/>
    <cellStyle name="Гиперссылка 2" xfId="22941" hidden="1"/>
    <cellStyle name="Гиперссылка 2" xfId="22940" hidden="1"/>
    <cellStyle name="Гиперссылка 2" xfId="22945" hidden="1"/>
    <cellStyle name="Гиперссылка 2" xfId="22944" hidden="1"/>
    <cellStyle name="Гиперссылка 2" xfId="22946" hidden="1"/>
    <cellStyle name="Гиперссылка 2" xfId="22947" hidden="1"/>
    <cellStyle name="Гиперссылка 2" xfId="22952" hidden="1"/>
    <cellStyle name="Гиперссылка 2" xfId="22953" hidden="1"/>
    <cellStyle name="Гиперссылка 2" xfId="22949" hidden="1"/>
    <cellStyle name="Гиперссылка 2" xfId="22948" hidden="1"/>
    <cellStyle name="Гиперссылка 2" xfId="22951" hidden="1"/>
    <cellStyle name="Гиперссылка 2" xfId="22950" hidden="1"/>
    <cellStyle name="Гиперссылка 2" xfId="22955" hidden="1"/>
    <cellStyle name="Гиперссылка 2" xfId="22954" hidden="1"/>
    <cellStyle name="Гиперссылка 2" xfId="22876" hidden="1"/>
    <cellStyle name="Гиперссылка 2" xfId="22483" hidden="1"/>
    <cellStyle name="Гиперссылка 2" xfId="21106" hidden="1"/>
    <cellStyle name="Гиперссылка 2" xfId="21468" hidden="1"/>
    <cellStyle name="Гиперссылка 2" xfId="22919" hidden="1"/>
    <cellStyle name="Гиперссылка 2" xfId="22925" hidden="1"/>
    <cellStyle name="Гиперссылка 2" xfId="22748" hidden="1"/>
    <cellStyle name="Гиперссылка 2" xfId="22916" hidden="1"/>
    <cellStyle name="Гиперссылка 2" xfId="22962" hidden="1"/>
    <cellStyle name="Гиперссылка 2" xfId="22961" hidden="1"/>
    <cellStyle name="Гиперссылка 2" xfId="22965" hidden="1"/>
    <cellStyle name="Гиперссылка 2" xfId="22966" hidden="1"/>
    <cellStyle name="Гиперссылка 2" xfId="22971" hidden="1"/>
    <cellStyle name="Гиперссылка 2" xfId="22972" hidden="1"/>
    <cellStyle name="Гиперссылка 2" xfId="22968" hidden="1"/>
    <cellStyle name="Гиперссылка 2" xfId="22967" hidden="1"/>
    <cellStyle name="Гиперссылка 2" xfId="22970" hidden="1"/>
    <cellStyle name="Гиперссылка 2" xfId="22969" hidden="1"/>
    <cellStyle name="Гиперссылка 2" xfId="22974" hidden="1"/>
    <cellStyle name="Гиперссылка 2" xfId="22973" hidden="1"/>
    <cellStyle name="Гиперссылка 2" xfId="22975" hidden="1"/>
    <cellStyle name="Гиперссылка 2" xfId="22976" hidden="1"/>
    <cellStyle name="Гиперссылка 2" xfId="22981" hidden="1"/>
    <cellStyle name="Гиперссылка 2" xfId="22982" hidden="1"/>
    <cellStyle name="Гиперссылка 2" xfId="22978" hidden="1"/>
    <cellStyle name="Гиперссылка 2" xfId="22977" hidden="1"/>
    <cellStyle name="Гиперссылка 2" xfId="22980" hidden="1"/>
    <cellStyle name="Гиперссылка 2" xfId="22979" hidden="1"/>
    <cellStyle name="Гиперссылка 2" xfId="22984" hidden="1"/>
    <cellStyle name="Гиперссылка 2" xfId="22983" hidden="1"/>
    <cellStyle name="Гиперссылка 2" xfId="22985" hidden="1"/>
    <cellStyle name="Гиперссылка 2" xfId="22986" hidden="1"/>
    <cellStyle name="Гиперссылка 2" xfId="22991" hidden="1"/>
    <cellStyle name="Гиперссылка 2" xfId="22992" hidden="1"/>
    <cellStyle name="Гиперссылка 2" xfId="22988" hidden="1"/>
    <cellStyle name="Гиперссылка 2" xfId="22987" hidden="1"/>
    <cellStyle name="Гиперссылка 2" xfId="22990" hidden="1"/>
    <cellStyle name="Гиперссылка 2" xfId="22989" hidden="1"/>
    <cellStyle name="Гиперссылка 2" xfId="22994" hidden="1"/>
    <cellStyle name="Гиперссылка 2" xfId="22993" hidden="1"/>
    <cellStyle name="Гиперссылка 2" xfId="22917" hidden="1"/>
    <cellStyle name="Гиперссылка 2" xfId="22367" hidden="1"/>
    <cellStyle name="Гиперссылка 2" xfId="22791" hidden="1"/>
    <cellStyle name="Гиперссылка 2" xfId="21216" hidden="1"/>
    <cellStyle name="Гиперссылка 2" xfId="22959" hidden="1"/>
    <cellStyle name="Гиперссылка 2" xfId="22963" hidden="1"/>
    <cellStyle name="Гиперссылка 2" xfId="22796" hidden="1"/>
    <cellStyle name="Гиперссылка 2" xfId="22957" hidden="1"/>
    <cellStyle name="Гиперссылка 2" xfId="22996" hidden="1"/>
    <cellStyle name="Гиперссылка 2" xfId="22995" hidden="1"/>
    <cellStyle name="Гиперссылка 2" xfId="22997" hidden="1"/>
    <cellStyle name="Гиперссылка 2" xfId="22998" hidden="1"/>
    <cellStyle name="Гиперссылка 2" xfId="23003" hidden="1"/>
    <cellStyle name="Гиперссылка 2" xfId="23004" hidden="1"/>
    <cellStyle name="Гиперссылка 2" xfId="23000" hidden="1"/>
    <cellStyle name="Гиперссылка 2" xfId="22999" hidden="1"/>
    <cellStyle name="Гиперссылка 2" xfId="23002" hidden="1"/>
    <cellStyle name="Гиперссылка 2" xfId="23001" hidden="1"/>
    <cellStyle name="Гиперссылка 2" xfId="23006" hidden="1"/>
    <cellStyle name="Гиперссылка 2" xfId="23005" hidden="1"/>
    <cellStyle name="Гиперссылка 2" xfId="23007" hidden="1"/>
    <cellStyle name="Гиперссылка 2" xfId="23008" hidden="1"/>
    <cellStyle name="Гиперссылка 2" xfId="23013" hidden="1"/>
    <cellStyle name="Гиперссылка 2" xfId="23014" hidden="1"/>
    <cellStyle name="Гиперссылка 2" xfId="23010" hidden="1"/>
    <cellStyle name="Гиперссылка 2" xfId="23009" hidden="1"/>
    <cellStyle name="Гиперссылка 2" xfId="23012" hidden="1"/>
    <cellStyle name="Гиперссылка 2" xfId="23011" hidden="1"/>
    <cellStyle name="Гиперссылка 2" xfId="23016" hidden="1"/>
    <cellStyle name="Гиперссылка 2" xfId="23015" hidden="1"/>
    <cellStyle name="Гиперссылка 2" xfId="23017" hidden="1"/>
    <cellStyle name="Гиперссылка 2" xfId="23018" hidden="1"/>
    <cellStyle name="Гиперссылка 2" xfId="23023" hidden="1"/>
    <cellStyle name="Гиперссылка 2" xfId="23024" hidden="1"/>
    <cellStyle name="Гиперссылка 2" xfId="23020" hidden="1"/>
    <cellStyle name="Гиперссылка 2" xfId="23019" hidden="1"/>
    <cellStyle name="Гиперссылка 2" xfId="23022" hidden="1"/>
    <cellStyle name="Гиперссылка 2" xfId="23021" hidden="1"/>
    <cellStyle name="Гиперссылка 2" xfId="23026" hidden="1"/>
    <cellStyle name="Гиперссылка 2" xfId="23025" hidden="1"/>
    <cellStyle name="Гиперссылка 2" xfId="22443" hidden="1"/>
    <cellStyle name="Гиперссылка 2" xfId="21281" hidden="1"/>
    <cellStyle name="Гиперссылка 2" xfId="21783" hidden="1"/>
    <cellStyle name="Гиперссылка 2" xfId="21751" hidden="1"/>
    <cellStyle name="Гиперссылка 2" xfId="22839" hidden="1"/>
    <cellStyle name="Гиперссылка 2" xfId="22128" hidden="1"/>
    <cellStyle name="Гиперссылка 2" xfId="20936" hidden="1"/>
    <cellStyle name="Гиперссылка 2" xfId="22191" hidden="1"/>
    <cellStyle name="Гиперссылка 2" xfId="21472" hidden="1"/>
    <cellStyle name="Гиперссылка 2" xfId="22216" hidden="1"/>
    <cellStyle name="Гиперссылка 2" xfId="22790" hidden="1"/>
    <cellStyle name="Гиперссылка 2" xfId="21400" hidden="1"/>
    <cellStyle name="Гиперссылка 2" xfId="20986" hidden="1"/>
    <cellStyle name="Гиперссылка 2" xfId="22442" hidden="1"/>
    <cellStyle name="Гиперссылка 2" xfId="20951" hidden="1"/>
    <cellStyle name="Гиперссылка 2" xfId="14654" hidden="1"/>
    <cellStyle name="Гиперссылка 2" xfId="22093" hidden="1"/>
    <cellStyle name="Гиперссылка 2" xfId="21070" hidden="1"/>
    <cellStyle name="Гиперссылка 2" xfId="22496" hidden="1"/>
    <cellStyle name="Гиперссылка 2" xfId="22683" hidden="1"/>
    <cellStyle name="Гиперссылка 2" xfId="22922" hidden="1"/>
    <cellStyle name="Гиперссылка 2" xfId="22837" hidden="1"/>
    <cellStyle name="Гиперссылка 2" xfId="21274" hidden="1"/>
    <cellStyle name="Гиперссылка 2" xfId="20984" hidden="1"/>
    <cellStyle name="Гиперссылка 2" xfId="22833" hidden="1"/>
    <cellStyle name="Гиперссылка 2" xfId="22918" hidden="1"/>
    <cellStyle name="Гиперссылка 2" xfId="21545" hidden="1"/>
    <cellStyle name="Гиперссылка 2" xfId="22627" hidden="1"/>
    <cellStyle name="Гиперссылка 2" xfId="21207" hidden="1"/>
    <cellStyle name="Гиперссылка 2" xfId="14560" hidden="1"/>
    <cellStyle name="Гиперссылка 2" xfId="22220" hidden="1"/>
    <cellStyle name="Гиперссылка 2" xfId="22085" hidden="1"/>
    <cellStyle name="Гиперссылка 2" xfId="20928" hidden="1"/>
    <cellStyle name="Гиперссылка 2" xfId="15227" hidden="1"/>
    <cellStyle name="Гиперссылка 2" xfId="21360" hidden="1"/>
    <cellStyle name="Гиперссылка 2" xfId="21709" hidden="1"/>
    <cellStyle name="Гиперссылка 2" xfId="22752" hidden="1"/>
    <cellStyle name="Гиперссылка 2" xfId="20939" hidden="1"/>
    <cellStyle name="Гиперссылка 2" xfId="21483" hidden="1"/>
    <cellStyle name="Гиперссылка 2" xfId="22794" hidden="1"/>
    <cellStyle name="Гиперссылка 2" xfId="21531" hidden="1"/>
    <cellStyle name="Гиперссылка 2" xfId="22756" hidden="1"/>
    <cellStyle name="Гиперссылка 2" xfId="22836" hidden="1"/>
    <cellStyle name="Гиперссылка 2" xfId="22754" hidden="1"/>
    <cellStyle name="Гиперссылка 2" xfId="20941" hidden="1"/>
    <cellStyle name="Гиперссылка 2" xfId="22641" hidden="1"/>
    <cellStyle name="Гиперссылка 2" xfId="22481" hidden="1"/>
    <cellStyle name="Гиперссылка 2" xfId="21830" hidden="1"/>
    <cellStyle name="Гиперссылка 2" xfId="22484" hidden="1"/>
    <cellStyle name="Гиперссылка 2" xfId="14584" hidden="1"/>
    <cellStyle name="Гиперссылка 2" xfId="21890" hidden="1"/>
    <cellStyle name="Гиперссылка 2" xfId="22480" hidden="1"/>
    <cellStyle name="Гиперссылка 2" xfId="22958" hidden="1"/>
    <cellStyle name="Гиперссылка 2" xfId="22877" hidden="1"/>
    <cellStyle name="Гиперссылка 2" xfId="21069" hidden="1"/>
    <cellStyle name="Гиперссылка 2" xfId="21204" hidden="1"/>
    <cellStyle name="Гиперссылка 2" xfId="22146" hidden="1"/>
    <cellStyle name="Гиперссылка 2" xfId="21183" hidden="1"/>
    <cellStyle name="Гиперссылка 2" xfId="22838" hidden="1"/>
    <cellStyle name="Гиперссылка 2" xfId="21750" hidden="1"/>
    <cellStyle name="Гиперссылка 2" xfId="22209" hidden="1"/>
    <cellStyle name="Гиперссылка 2" xfId="22537" hidden="1"/>
    <cellStyle name="Гиперссылка 2" xfId="21326" hidden="1"/>
    <cellStyle name="Гиперссылка 2" xfId="22199" hidden="1"/>
    <cellStyle name="Гиперссылка 2" xfId="22091" hidden="1"/>
    <cellStyle name="Гиперссылка 2" xfId="14976" hidden="1"/>
    <cellStyle name="Гиперссылка 2" xfId="22581" hidden="1"/>
    <cellStyle name="Гиперссылка 2" xfId="21366" hidden="1"/>
    <cellStyle name="Гиперссылка 2" xfId="21631" hidden="1"/>
    <cellStyle name="Гиперссылка 2" xfId="22275" hidden="1"/>
    <cellStyle name="Гиперссылка 2" xfId="22313" hidden="1"/>
    <cellStyle name="Гиперссылка 2" xfId="22881" hidden="1"/>
    <cellStyle name="Гиперссылка 2" xfId="22755" hidden="1"/>
    <cellStyle name="Гиперссылка 2" xfId="21712" hidden="1"/>
    <cellStyle name="Гиперссылка 2" xfId="22964" hidden="1"/>
    <cellStyle name="Гиперссылка 2" xfId="22749" hidden="1"/>
    <cellStyle name="Гиперссылка 2" xfId="22843" hidden="1"/>
    <cellStyle name="Гиперссылка 2" xfId="22885" hidden="1"/>
    <cellStyle name="Гиперссылка 2" xfId="21054" hidden="1"/>
    <cellStyle name="Гиперссылка 2" xfId="22485" hidden="1"/>
    <cellStyle name="Гиперссылка 2" xfId="22795" hidden="1"/>
    <cellStyle name="Гиперссылка 2" xfId="21399" hidden="1"/>
    <cellStyle name="Гиперссылка 2" xfId="20899" hidden="1"/>
    <cellStyle name="Гиперссылка 2" xfId="21636" hidden="1"/>
    <cellStyle name="Гиперссылка 2" xfId="21300" hidden="1"/>
    <cellStyle name="Гиперссылка 2" xfId="14757" hidden="1"/>
    <cellStyle name="Гиперссылка 2" xfId="20897" hidden="1"/>
    <cellStyle name="Гиперссылка 2" xfId="21316" hidden="1"/>
    <cellStyle name="Гиперссылка 2" xfId="22534" hidden="1"/>
    <cellStyle name="Гиперссылка 2" xfId="20938" hidden="1"/>
    <cellStyle name="Гиперссылка 2" xfId="22832" hidden="1"/>
    <cellStyle name="Гиперссылка 2" xfId="21362" hidden="1"/>
    <cellStyle name="Гиперссылка 2" xfId="21477" hidden="1"/>
    <cellStyle name="Гиперссылка 2" xfId="21956" hidden="1"/>
    <cellStyle name="Гиперссылка 2" xfId="21560" hidden="1"/>
    <cellStyle name="Гиперссылка 2" xfId="15476" hidden="1"/>
    <cellStyle name="Гиперссылка 2" xfId="22636" hidden="1"/>
    <cellStyle name="Гиперссылка 2" xfId="21749" hidden="1"/>
    <cellStyle name="Гиперссылка 2" xfId="22475" hidden="1"/>
    <cellStyle name="Гиперссылка 2" xfId="22198" hidden="1"/>
    <cellStyle name="Гиперссылка 2" xfId="22920" hidden="1"/>
    <cellStyle name="Гиперссылка 2" xfId="22835" hidden="1"/>
    <cellStyle name="Гиперссылка 2" xfId="22680" hidden="1"/>
    <cellStyle name="Гиперссылка 2" xfId="22018" hidden="1"/>
    <cellStyle name="Гиперссылка 2" xfId="22874" hidden="1"/>
    <cellStyle name="Гиперссылка 2" xfId="22956" hidden="1"/>
    <cellStyle name="Гиперссылка 2" xfId="21080" hidden="1"/>
    <cellStyle name="Гиперссылка 2" xfId="22787" hidden="1"/>
    <cellStyle name="Гиперссылка 2" xfId="21537" hidden="1"/>
    <cellStyle name="Гиперссылка 2" xfId="21640" hidden="1"/>
    <cellStyle name="Гиперссылка 2" xfId="22535" hidden="1"/>
    <cellStyle name="Гиперссылка 2" xfId="21973" hidden="1"/>
    <cellStyle name="Гиперссылка 2" xfId="22879" hidden="1"/>
    <cellStyle name="Гиперссылка 2" xfId="22793" hidden="1"/>
    <cellStyle name="Гиперссылка 2" xfId="22676" hidden="1"/>
    <cellStyle name="Гиперссылка 2" xfId="21533" hidden="1"/>
    <cellStyle name="Гиперссылка 2" xfId="22960" hidden="1"/>
    <cellStyle name="Гиперссылка 2" xfId="14630" hidden="1"/>
    <cellStyle name="Гиперссылка 2" xfId="22880" hidden="1"/>
    <cellStyle name="Гиперссылка 2" xfId="22921" hidden="1"/>
    <cellStyle name="Гиперссылка 2" xfId="23032" hidden="1"/>
    <cellStyle name="Гиперссылка 2" xfId="23033" hidden="1"/>
    <cellStyle name="Гиперссылка 2" xfId="23038" hidden="1"/>
    <cellStyle name="Гиперссылка 2" xfId="23039" hidden="1"/>
    <cellStyle name="Гиперссылка 2" xfId="23035" hidden="1"/>
    <cellStyle name="Гиперссылка 2" xfId="23034" hidden="1"/>
    <cellStyle name="Гиперссылка 2" xfId="23037" hidden="1"/>
    <cellStyle name="Гиперссылка 2" xfId="23036" hidden="1"/>
    <cellStyle name="Гиперссылка 2" xfId="23041" hidden="1"/>
    <cellStyle name="Гиперссылка 2" xfId="23040" hidden="1"/>
    <cellStyle name="Гиперссылка 2" xfId="23042" hidden="1"/>
    <cellStyle name="Гиперссылка 2" xfId="23043" hidden="1"/>
    <cellStyle name="Гиперссылка 2" xfId="23048" hidden="1"/>
    <cellStyle name="Гиперссылка 2" xfId="23049" hidden="1"/>
    <cellStyle name="Гиперссылка 2" xfId="23045" hidden="1"/>
    <cellStyle name="Гиперссылка 2" xfId="23044" hidden="1"/>
    <cellStyle name="Гиперссылка 2" xfId="23047" hidden="1"/>
    <cellStyle name="Гиперссылка 2" xfId="23046" hidden="1"/>
    <cellStyle name="Гиперссылка 2" xfId="23051" hidden="1"/>
    <cellStyle name="Гиперссылка 2" xfId="23050" hidden="1"/>
    <cellStyle name="Гиперссылка 2" xfId="23052" hidden="1"/>
    <cellStyle name="Гиперссылка 2" xfId="23053" hidden="1"/>
    <cellStyle name="Гиперссылка 2" xfId="23058" hidden="1"/>
    <cellStyle name="Гиперссылка 2" xfId="23059" hidden="1"/>
    <cellStyle name="Гиперссылка 2" xfId="23055" hidden="1"/>
    <cellStyle name="Гиперссылка 2" xfId="23054" hidden="1"/>
    <cellStyle name="Гиперссылка 2" xfId="23057" hidden="1"/>
    <cellStyle name="Гиперссылка 2" xfId="23056" hidden="1"/>
    <cellStyle name="Гиперссылка 2" xfId="23061" hidden="1"/>
    <cellStyle name="Гиперссылка 2" xfId="23060" hidden="1"/>
    <cellStyle name="Гиперссылка 2" xfId="23062" hidden="1"/>
    <cellStyle name="Гиперссылка 2" xfId="23063" hidden="1"/>
    <cellStyle name="Гиперссылка 2" xfId="23068" hidden="1"/>
    <cellStyle name="Гиперссылка 2" xfId="23069" hidden="1"/>
    <cellStyle name="Гиперссылка 2" xfId="23065" hidden="1"/>
    <cellStyle name="Гиперссылка 2" xfId="23064" hidden="1"/>
    <cellStyle name="Гиперссылка 2" xfId="23067" hidden="1"/>
    <cellStyle name="Гиперссылка 2" xfId="23066" hidden="1"/>
    <cellStyle name="Гиперссылка 2" xfId="23071" hidden="1"/>
    <cellStyle name="Гиперссылка 2" xfId="23070" hidden="1"/>
    <cellStyle name="Гиперссылка 2" xfId="23076" hidden="1"/>
    <cellStyle name="Гиперссылка 2" xfId="23077" hidden="1"/>
    <cellStyle name="Гиперссылка 2" xfId="23094" hidden="1"/>
    <cellStyle name="Гиперссылка 2" xfId="23095" hidden="1"/>
    <cellStyle name="Гиперссылка 2" xfId="23081" hidden="1"/>
    <cellStyle name="Гиперссылка 2" xfId="23078" hidden="1"/>
    <cellStyle name="Гиперссылка 2" xfId="23091" hidden="1"/>
    <cellStyle name="Гиперссылка 2" xfId="23090" hidden="1"/>
    <cellStyle name="Гиперссылка 2" xfId="23105" hidden="1"/>
    <cellStyle name="Гиперссылка 2" xfId="23104" hidden="1"/>
    <cellStyle name="Гиперссылка 2" xfId="23107" hidden="1"/>
    <cellStyle name="Гиперссылка 2" xfId="23108" hidden="1"/>
    <cellStyle name="Гиперссылка 2" xfId="23113" hidden="1"/>
    <cellStyle name="Гиперссылка 2" xfId="23114" hidden="1"/>
    <cellStyle name="Гиперссылка 2" xfId="23110" hidden="1"/>
    <cellStyle name="Гиперссылка 2" xfId="23109" hidden="1"/>
    <cellStyle name="Гиперссылка 2" xfId="23112" hidden="1"/>
    <cellStyle name="Гиперссылка 2" xfId="23111" hidden="1"/>
    <cellStyle name="Гиперссылка 2" xfId="23116" hidden="1"/>
    <cellStyle name="Гиперссылка 2" xfId="23115" hidden="1"/>
    <cellStyle name="Гиперссылка 2" xfId="23117" hidden="1"/>
    <cellStyle name="Гиперссылка 2" xfId="23118" hidden="1"/>
    <cellStyle name="Гиперссылка 2" xfId="23123" hidden="1"/>
    <cellStyle name="Гиперссылка 2" xfId="23124" hidden="1"/>
    <cellStyle name="Гиперссылка 2" xfId="23120" hidden="1"/>
    <cellStyle name="Гиперссылка 2" xfId="23119" hidden="1"/>
    <cellStyle name="Гиперссылка 2" xfId="23122" hidden="1"/>
    <cellStyle name="Гиперссылка 2" xfId="23121" hidden="1"/>
    <cellStyle name="Гиперссылка 2" xfId="23126" hidden="1"/>
    <cellStyle name="Гиперссылка 2" xfId="23125" hidden="1"/>
    <cellStyle name="Гиперссылка 2" xfId="23127" hidden="1"/>
    <cellStyle name="Гиперссылка 2" xfId="23128" hidden="1"/>
    <cellStyle name="Гиперссылка 2" xfId="23133" hidden="1"/>
    <cellStyle name="Гиперссылка 2" xfId="23134" hidden="1"/>
    <cellStyle name="Гиперссылка 2" xfId="23130" hidden="1"/>
    <cellStyle name="Гиперссылка 2" xfId="23129" hidden="1"/>
    <cellStyle name="Гиперссылка 2" xfId="23132" hidden="1"/>
    <cellStyle name="Гиперссылка 2" xfId="23131" hidden="1"/>
    <cellStyle name="Гиперссылка 2" xfId="23136" hidden="1"/>
    <cellStyle name="Гиперссылка 2" xfId="23135" hidden="1"/>
    <cellStyle name="Гиперссылка 2" xfId="23093" hidden="1"/>
    <cellStyle name="Гиперссылка 2" xfId="23086" hidden="1"/>
    <cellStyle name="Гиперссылка 2" xfId="23096" hidden="1"/>
    <cellStyle name="Гиперссылка 2" xfId="23080" hidden="1"/>
    <cellStyle name="Гиперссылка 2" xfId="23100" hidden="1"/>
    <cellStyle name="Гиперссылка 2" xfId="23106" hidden="1"/>
    <cellStyle name="Гиперссылка 2" xfId="23088" hidden="1"/>
    <cellStyle name="Гиперссылка 2" xfId="23097" hidden="1"/>
    <cellStyle name="Гиперссылка 2" xfId="23145" hidden="1"/>
    <cellStyle name="Гиперссылка 2" xfId="23144" hidden="1"/>
    <cellStyle name="Гиперссылка 2" xfId="23147" hidden="1"/>
    <cellStyle name="Гиперссылка 2" xfId="23148" hidden="1"/>
    <cellStyle name="Гиперссылка 2" xfId="23153" hidden="1"/>
    <cellStyle name="Гиперссылка 2" xfId="23154" hidden="1"/>
    <cellStyle name="Гиперссылка 2" xfId="23150" hidden="1"/>
    <cellStyle name="Гиперссылка 2" xfId="23149" hidden="1"/>
    <cellStyle name="Гиперссылка 2" xfId="23152" hidden="1"/>
    <cellStyle name="Гиперссылка 2" xfId="23151" hidden="1"/>
    <cellStyle name="Гиперссылка 2" xfId="23156" hidden="1"/>
    <cellStyle name="Гиперссылка 2" xfId="23155" hidden="1"/>
    <cellStyle name="Гиперссылка 2" xfId="23157" hidden="1"/>
    <cellStyle name="Гиперссылка 2" xfId="23158" hidden="1"/>
    <cellStyle name="Гиперссылка 2" xfId="23163" hidden="1"/>
    <cellStyle name="Гиперссылка 2" xfId="23164" hidden="1"/>
    <cellStyle name="Гиперссылка 2" xfId="23160" hidden="1"/>
    <cellStyle name="Гиперссылка 2" xfId="23159" hidden="1"/>
    <cellStyle name="Гиперссылка 2" xfId="23162" hidden="1"/>
    <cellStyle name="Гиперссылка 2" xfId="23161" hidden="1"/>
    <cellStyle name="Гиперссылка 2" xfId="23166" hidden="1"/>
    <cellStyle name="Гиперссылка 2" xfId="23165" hidden="1"/>
    <cellStyle name="Гиперссылка 2" xfId="23167" hidden="1"/>
    <cellStyle name="Гиперссылка 2" xfId="23168" hidden="1"/>
    <cellStyle name="Гиперссылка 2" xfId="23173" hidden="1"/>
    <cellStyle name="Гиперссылка 2" xfId="23174" hidden="1"/>
    <cellStyle name="Гиперссылка 2" xfId="23170" hidden="1"/>
    <cellStyle name="Гиперссылка 2" xfId="23169" hidden="1"/>
    <cellStyle name="Гиперссылка 2" xfId="23172" hidden="1"/>
    <cellStyle name="Гиперссылка 2" xfId="23171" hidden="1"/>
    <cellStyle name="Гиперссылка 2" xfId="23176" hidden="1"/>
    <cellStyle name="Гиперссылка 2" xfId="23175" hidden="1"/>
    <cellStyle name="Гиперссылка 2" xfId="23098" hidden="1"/>
    <cellStyle name="Гиперссылка 2" xfId="23027" hidden="1"/>
    <cellStyle name="Гиперссылка 2" xfId="23028" hidden="1"/>
    <cellStyle name="Гиперссылка 2" xfId="23082" hidden="1"/>
    <cellStyle name="Гиперссылка 2" xfId="23140" hidden="1"/>
    <cellStyle name="Гиперссылка 2" xfId="23146" hidden="1"/>
    <cellStyle name="Гиперссылка 2" xfId="23092" hidden="1"/>
    <cellStyle name="Гиперссылка 2" xfId="23137" hidden="1"/>
    <cellStyle name="Гиперссылка 2" xfId="23185" hidden="1"/>
    <cellStyle name="Гиперссылка 2" xfId="23184" hidden="1"/>
    <cellStyle name="Гиперссылка 2" xfId="23187" hidden="1"/>
    <cellStyle name="Гиперссылка 2" xfId="23188" hidden="1"/>
    <cellStyle name="Гиперссылка 2" xfId="23193" hidden="1"/>
    <cellStyle name="Гиперссылка 2" xfId="23194" hidden="1"/>
    <cellStyle name="Гиперссылка 2" xfId="23190" hidden="1"/>
    <cellStyle name="Гиперссылка 2" xfId="23189" hidden="1"/>
    <cellStyle name="Гиперссылка 2" xfId="23192" hidden="1"/>
    <cellStyle name="Гиперссылка 2" xfId="23191" hidden="1"/>
    <cellStyle name="Гиперссылка 2" xfId="23196" hidden="1"/>
    <cellStyle name="Гиперссылка 2" xfId="23195" hidden="1"/>
    <cellStyle name="Гиперссылка 2" xfId="23197" hidden="1"/>
    <cellStyle name="Гиперссылка 2" xfId="23198" hidden="1"/>
    <cellStyle name="Гиперссылка 2" xfId="23203" hidden="1"/>
    <cellStyle name="Гиперссылка 2" xfId="23204" hidden="1"/>
    <cellStyle name="Гиперссылка 2" xfId="23200" hidden="1"/>
    <cellStyle name="Гиперссылка 2" xfId="23199" hidden="1"/>
    <cellStyle name="Гиперссылка 2" xfId="23202" hidden="1"/>
    <cellStyle name="Гиперссылка 2" xfId="23201" hidden="1"/>
    <cellStyle name="Гиперссылка 2" xfId="23206" hidden="1"/>
    <cellStyle name="Гиперссылка 2" xfId="23205" hidden="1"/>
    <cellStyle name="Гиперссылка 2" xfId="23207" hidden="1"/>
    <cellStyle name="Гиперссылка 2" xfId="23208" hidden="1"/>
    <cellStyle name="Гиперссылка 2" xfId="23213" hidden="1"/>
    <cellStyle name="Гиперссылка 2" xfId="23214" hidden="1"/>
    <cellStyle name="Гиперссылка 2" xfId="23210" hidden="1"/>
    <cellStyle name="Гиперссылка 2" xfId="23209" hidden="1"/>
    <cellStyle name="Гиперссылка 2" xfId="23212" hidden="1"/>
    <cellStyle name="Гиперссылка 2" xfId="23211" hidden="1"/>
    <cellStyle name="Гиперссылка 2" xfId="23216" hidden="1"/>
    <cellStyle name="Гиперссылка 2" xfId="23215" hidden="1"/>
    <cellStyle name="Гиперссылка 2" xfId="23138" hidden="1"/>
    <cellStyle name="Гиперссылка 2" xfId="23029" hidden="1"/>
    <cellStyle name="Гиперссылка 2" xfId="23084" hidden="1"/>
    <cellStyle name="Гиперссылка 2" xfId="23030" hidden="1"/>
    <cellStyle name="Гиперссылка 2" xfId="23180" hidden="1"/>
    <cellStyle name="Гиперссылка 2" xfId="23186" hidden="1"/>
    <cellStyle name="Гиперссылка 2" xfId="23087" hidden="1"/>
    <cellStyle name="Гиперссылка 2" xfId="23177" hidden="1"/>
    <cellStyle name="Гиперссылка 2" xfId="23225" hidden="1"/>
    <cellStyle name="Гиперссылка 2" xfId="23224" hidden="1"/>
    <cellStyle name="Гиперссылка 2" xfId="23227" hidden="1"/>
    <cellStyle name="Гиперссылка 2" xfId="23228" hidden="1"/>
    <cellStyle name="Гиперссылка 2" xfId="23233" hidden="1"/>
    <cellStyle name="Гиперссылка 2" xfId="23234" hidden="1"/>
    <cellStyle name="Гиперссылка 2" xfId="23230" hidden="1"/>
    <cellStyle name="Гиперссылка 2" xfId="23229" hidden="1"/>
    <cellStyle name="Гиперссылка 2" xfId="23232" hidden="1"/>
    <cellStyle name="Гиперссылка 2" xfId="23231" hidden="1"/>
    <cellStyle name="Гиперссылка 2" xfId="23236" hidden="1"/>
    <cellStyle name="Гиперссылка 2" xfId="23235" hidden="1"/>
    <cellStyle name="Гиперссылка 2" xfId="23237" hidden="1"/>
    <cellStyle name="Гиперссылка 2" xfId="23238" hidden="1"/>
    <cellStyle name="Гиперссылка 2" xfId="23243" hidden="1"/>
    <cellStyle name="Гиперссылка 2" xfId="23244" hidden="1"/>
    <cellStyle name="Гиперссылка 2" xfId="23240" hidden="1"/>
    <cellStyle name="Гиперссылка 2" xfId="23239" hidden="1"/>
    <cellStyle name="Гиперссылка 2" xfId="23242" hidden="1"/>
    <cellStyle name="Гиперссылка 2" xfId="23241" hidden="1"/>
    <cellStyle name="Гиперссылка 2" xfId="23246" hidden="1"/>
    <cellStyle name="Гиперссылка 2" xfId="23245" hidden="1"/>
    <cellStyle name="Гиперссылка 2" xfId="23247" hidden="1"/>
    <cellStyle name="Гиперссылка 2" xfId="23248" hidden="1"/>
    <cellStyle name="Гиперссылка 2" xfId="23253" hidden="1"/>
    <cellStyle name="Гиперссылка 2" xfId="23254" hidden="1"/>
    <cellStyle name="Гиперссылка 2" xfId="23250" hidden="1"/>
    <cellStyle name="Гиперссылка 2" xfId="23249" hidden="1"/>
    <cellStyle name="Гиперссылка 2" xfId="23252" hidden="1"/>
    <cellStyle name="Гиперссылка 2" xfId="23251" hidden="1"/>
    <cellStyle name="Гиперссылка 2" xfId="23256" hidden="1"/>
    <cellStyle name="Гиперссылка 2" xfId="23255" hidden="1"/>
    <cellStyle name="Гиперссылка 2" xfId="23178" hidden="1"/>
    <cellStyle name="Гиперссылка 2" xfId="23085" hidden="1"/>
    <cellStyle name="Гиперссылка 2" xfId="23074" hidden="1"/>
    <cellStyle name="Гиперссылка 2" xfId="23083" hidden="1"/>
    <cellStyle name="Гиперссылка 2" xfId="23220" hidden="1"/>
    <cellStyle name="Гиперссылка 2" xfId="23226" hidden="1"/>
    <cellStyle name="Гиперссылка 2" xfId="23073" hidden="1"/>
    <cellStyle name="Гиперссылка 2" xfId="23217" hidden="1"/>
    <cellStyle name="Гиперссылка 2" xfId="23264" hidden="1"/>
    <cellStyle name="Гиперссылка 2" xfId="23263" hidden="1"/>
    <cellStyle name="Гиперссылка 2" xfId="23266" hidden="1"/>
    <cellStyle name="Гиперссылка 2" xfId="23267" hidden="1"/>
    <cellStyle name="Гиперссылка 2" xfId="23272" hidden="1"/>
    <cellStyle name="Гиперссылка 2" xfId="23273" hidden="1"/>
    <cellStyle name="Гиперссылка 2" xfId="23269" hidden="1"/>
    <cellStyle name="Гиперссылка 2" xfId="23268" hidden="1"/>
    <cellStyle name="Гиперссылка 2" xfId="23271" hidden="1"/>
    <cellStyle name="Гиперссылка 2" xfId="23270" hidden="1"/>
    <cellStyle name="Гиперссылка 2" xfId="23275" hidden="1"/>
    <cellStyle name="Гиперссылка 2" xfId="23274" hidden="1"/>
    <cellStyle name="Гиперссылка 2" xfId="23276" hidden="1"/>
    <cellStyle name="Гиперссылка 2" xfId="23277" hidden="1"/>
    <cellStyle name="Гиперссылка 2" xfId="23282" hidden="1"/>
    <cellStyle name="Гиперссылка 2" xfId="23283" hidden="1"/>
    <cellStyle name="Гиперссылка 2" xfId="23279" hidden="1"/>
    <cellStyle name="Гиперссылка 2" xfId="23278" hidden="1"/>
    <cellStyle name="Гиперссылка 2" xfId="23281" hidden="1"/>
    <cellStyle name="Гиперссылка 2" xfId="23280" hidden="1"/>
    <cellStyle name="Гиперссылка 2" xfId="23285" hidden="1"/>
    <cellStyle name="Гиперссылка 2" xfId="23284" hidden="1"/>
    <cellStyle name="Гиперссылка 2" xfId="23286" hidden="1"/>
    <cellStyle name="Гиперссылка 2" xfId="23287" hidden="1"/>
    <cellStyle name="Гиперссылка 2" xfId="23292" hidden="1"/>
    <cellStyle name="Гиперссылка 2" xfId="23293" hidden="1"/>
    <cellStyle name="Гиперссылка 2" xfId="23289" hidden="1"/>
    <cellStyle name="Гиперссылка 2" xfId="23288" hidden="1"/>
    <cellStyle name="Гиперссылка 2" xfId="23291" hidden="1"/>
    <cellStyle name="Гиперссылка 2" xfId="23290" hidden="1"/>
    <cellStyle name="Гиперссылка 2" xfId="23295" hidden="1"/>
    <cellStyle name="Гиперссылка 2" xfId="23294" hidden="1"/>
    <cellStyle name="Гиперссылка 2" xfId="23218" hidden="1"/>
    <cellStyle name="Гиперссылка 2" xfId="23089" hidden="1"/>
    <cellStyle name="Гиперссылка 2" xfId="23099" hidden="1"/>
    <cellStyle name="Гиперссылка 2" xfId="23075" hidden="1"/>
    <cellStyle name="Гиперссылка 2" xfId="23260" hidden="1"/>
    <cellStyle name="Гиперссылка 2" xfId="23265" hidden="1"/>
    <cellStyle name="Гиперссылка 2" xfId="23102" hidden="1"/>
    <cellStyle name="Гиперссылка 2" xfId="23257" hidden="1"/>
    <cellStyle name="Гиперссылка 2" xfId="23302" hidden="1"/>
    <cellStyle name="Гиперссылка 2" xfId="23301" hidden="1"/>
    <cellStyle name="Гиперссылка 2" xfId="23304" hidden="1"/>
    <cellStyle name="Гиперссылка 2" xfId="23305" hidden="1"/>
    <cellStyle name="Гиперссылка 2" xfId="23310" hidden="1"/>
    <cellStyle name="Гиперссылка 2" xfId="23311" hidden="1"/>
    <cellStyle name="Гиперссылка 2" xfId="23307" hidden="1"/>
    <cellStyle name="Гиперссылка 2" xfId="23306" hidden="1"/>
    <cellStyle name="Гиперссылка 2" xfId="23309" hidden="1"/>
    <cellStyle name="Гиперссылка 2" xfId="23308" hidden="1"/>
    <cellStyle name="Гиперссылка 2" xfId="23313" hidden="1"/>
    <cellStyle name="Гиперссылка 2" xfId="23312" hidden="1"/>
    <cellStyle name="Гиперссылка 2" xfId="23314" hidden="1"/>
    <cellStyle name="Гиперссылка 2" xfId="23315" hidden="1"/>
    <cellStyle name="Гиперссылка 2" xfId="23320" hidden="1"/>
    <cellStyle name="Гиперссылка 2" xfId="23321" hidden="1"/>
    <cellStyle name="Гиперссылка 2" xfId="23317" hidden="1"/>
    <cellStyle name="Гиперссылка 2" xfId="23316" hidden="1"/>
    <cellStyle name="Гиперссылка 2" xfId="23319" hidden="1"/>
    <cellStyle name="Гиперссылка 2" xfId="23318" hidden="1"/>
    <cellStyle name="Гиперссылка 2" xfId="23323" hidden="1"/>
    <cellStyle name="Гиперссылка 2" xfId="23322" hidden="1"/>
    <cellStyle name="Гиперссылка 2" xfId="23324" hidden="1"/>
    <cellStyle name="Гиперссылка 2" xfId="23325" hidden="1"/>
    <cellStyle name="Гиперссылка 2" xfId="23330" hidden="1"/>
    <cellStyle name="Гиперссылка 2" xfId="23331" hidden="1"/>
    <cellStyle name="Гиперссылка 2" xfId="23327" hidden="1"/>
    <cellStyle name="Гиперссылка 2" xfId="23326" hidden="1"/>
    <cellStyle name="Гиперссылка 2" xfId="23329" hidden="1"/>
    <cellStyle name="Гиперссылка 2" xfId="23328" hidden="1"/>
    <cellStyle name="Гиперссылка 2" xfId="23333" hidden="1"/>
    <cellStyle name="Гиперссылка 2" xfId="23332" hidden="1"/>
    <cellStyle name="Гиперссылка 2" xfId="23258" hidden="1"/>
    <cellStyle name="Гиперссылка 2" xfId="23031" hidden="1"/>
    <cellStyle name="Гиперссылка 2" xfId="23139" hidden="1"/>
    <cellStyle name="Гиперссылка 2" xfId="23079" hidden="1"/>
    <cellStyle name="Гиперссылка 2" xfId="23299" hidden="1"/>
    <cellStyle name="Гиперссылка 2" xfId="23303" hidden="1"/>
    <cellStyle name="Гиперссылка 2" xfId="23142" hidden="1"/>
    <cellStyle name="Гиперссылка 2" xfId="23296" hidden="1"/>
    <cellStyle name="Гиперссылка 2" xfId="23340" hidden="1"/>
    <cellStyle name="Гиперссылка 2" xfId="23339" hidden="1"/>
    <cellStyle name="Гиперссылка 2" xfId="23342" hidden="1"/>
    <cellStyle name="Гиперссылка 2" xfId="23343" hidden="1"/>
    <cellStyle name="Гиперссылка 2" xfId="23348" hidden="1"/>
    <cellStyle name="Гиперссылка 2" xfId="23349" hidden="1"/>
    <cellStyle name="Гиперссылка 2" xfId="23345" hidden="1"/>
    <cellStyle name="Гиперссылка 2" xfId="23344" hidden="1"/>
    <cellStyle name="Гиперссылка 2" xfId="23347" hidden="1"/>
    <cellStyle name="Гиперссылка 2" xfId="23346" hidden="1"/>
    <cellStyle name="Гиперссылка 2" xfId="23351" hidden="1"/>
    <cellStyle name="Гиперссылка 2" xfId="23350" hidden="1"/>
    <cellStyle name="Гиперссылка 2" xfId="23352" hidden="1"/>
    <cellStyle name="Гиперссылка 2" xfId="23353" hidden="1"/>
    <cellStyle name="Гиперссылка 2" xfId="23358" hidden="1"/>
    <cellStyle name="Гиперссылка 2" xfId="23359" hidden="1"/>
    <cellStyle name="Гиперссылка 2" xfId="23355" hidden="1"/>
    <cellStyle name="Гиперссылка 2" xfId="23354" hidden="1"/>
    <cellStyle name="Гиперссылка 2" xfId="23357" hidden="1"/>
    <cellStyle name="Гиперссылка 2" xfId="23356" hidden="1"/>
    <cellStyle name="Гиперссылка 2" xfId="23361" hidden="1"/>
    <cellStyle name="Гиперссылка 2" xfId="23360" hidden="1"/>
    <cellStyle name="Гиперссылка 2" xfId="23362" hidden="1"/>
    <cellStyle name="Гиперссылка 2" xfId="23363" hidden="1"/>
    <cellStyle name="Гиперссылка 2" xfId="23368" hidden="1"/>
    <cellStyle name="Гиперссылка 2" xfId="23369" hidden="1"/>
    <cellStyle name="Гиперссылка 2" xfId="23365" hidden="1"/>
    <cellStyle name="Гиперссылка 2" xfId="23364" hidden="1"/>
    <cellStyle name="Гиперссылка 2" xfId="23367" hidden="1"/>
    <cellStyle name="Гиперссылка 2" xfId="23366" hidden="1"/>
    <cellStyle name="Гиперссылка 2" xfId="23371" hidden="1"/>
    <cellStyle name="Гиперссылка 2" xfId="23370" hidden="1"/>
    <cellStyle name="Гиперссылка 2" xfId="23297" hidden="1"/>
    <cellStyle name="Гиперссылка 2" xfId="23072" hidden="1"/>
    <cellStyle name="Гиперссылка 2" xfId="23179" hidden="1"/>
    <cellStyle name="Гиперссылка 2" xfId="23103" hidden="1"/>
    <cellStyle name="Гиперссылка 2" xfId="23337" hidden="1"/>
    <cellStyle name="Гиперссылка 2" xfId="23341" hidden="1"/>
    <cellStyle name="Гиперссылка 2" xfId="23182" hidden="1"/>
    <cellStyle name="Гиперссылка 2" xfId="23334" hidden="1"/>
    <cellStyle name="Гиперссылка 2" xfId="23376" hidden="1"/>
    <cellStyle name="Гиперссылка 2" xfId="23375" hidden="1"/>
    <cellStyle name="Гиперссылка 2" xfId="23378" hidden="1"/>
    <cellStyle name="Гиперссылка 2" xfId="23379" hidden="1"/>
    <cellStyle name="Гиперссылка 2" xfId="23384" hidden="1"/>
    <cellStyle name="Гиперссылка 2" xfId="23385" hidden="1"/>
    <cellStyle name="Гиперссылка 2" xfId="23381" hidden="1"/>
    <cellStyle name="Гиперссылка 2" xfId="23380" hidden="1"/>
    <cellStyle name="Гиперссылка 2" xfId="23383" hidden="1"/>
    <cellStyle name="Гиперссылка 2" xfId="23382" hidden="1"/>
    <cellStyle name="Гиперссылка 2" xfId="23387" hidden="1"/>
    <cellStyle name="Гиперссылка 2" xfId="23386" hidden="1"/>
    <cellStyle name="Гиперссылка 2" xfId="23388" hidden="1"/>
    <cellStyle name="Гиперссылка 2" xfId="23389" hidden="1"/>
    <cellStyle name="Гиперссылка 2" xfId="23394" hidden="1"/>
    <cellStyle name="Гиперссылка 2" xfId="23395" hidden="1"/>
    <cellStyle name="Гиперссылка 2" xfId="23391" hidden="1"/>
    <cellStyle name="Гиперссылка 2" xfId="23390" hidden="1"/>
    <cellStyle name="Гиперссылка 2" xfId="23393" hidden="1"/>
    <cellStyle name="Гиперссылка 2" xfId="23392" hidden="1"/>
    <cellStyle name="Гиперссылка 2" xfId="23397" hidden="1"/>
    <cellStyle name="Гиперссылка 2" xfId="23396" hidden="1"/>
    <cellStyle name="Гиперссылка 2" xfId="23398" hidden="1"/>
    <cellStyle name="Гиперссылка 2" xfId="23399" hidden="1"/>
    <cellStyle name="Гиперссылка 2" xfId="23404" hidden="1"/>
    <cellStyle name="Гиперссылка 2" xfId="23405" hidden="1"/>
    <cellStyle name="Гиперссылка 2" xfId="23401" hidden="1"/>
    <cellStyle name="Гиперссылка 2" xfId="23400" hidden="1"/>
    <cellStyle name="Гиперссылка 2" xfId="23403" hidden="1"/>
    <cellStyle name="Гиперссылка 2" xfId="23402" hidden="1"/>
    <cellStyle name="Гиперссылка 2" xfId="23407" hidden="1"/>
    <cellStyle name="Гиперссылка 2" xfId="23406" hidden="1"/>
    <cellStyle name="Гиперссылка 2" xfId="23335" hidden="1"/>
    <cellStyle name="Гиперссылка 2" xfId="23101" hidden="1"/>
    <cellStyle name="Гиперссылка 2" xfId="23219" hidden="1"/>
    <cellStyle name="Гиперссылка 2" xfId="23143" hidden="1"/>
    <cellStyle name="Гиперссылка 2" xfId="23374" hidden="1"/>
    <cellStyle name="Гиперссылка 2" xfId="23377" hidden="1"/>
    <cellStyle name="Гиперссылка 2" xfId="23222" hidden="1"/>
    <cellStyle name="Гиперссылка 2" xfId="23372" hidden="1"/>
    <cellStyle name="Гиперссылка 2" xfId="23412" hidden="1"/>
    <cellStyle name="Гиперссылка 2" xfId="23411" hidden="1"/>
    <cellStyle name="Гиперссылка 2" xfId="23414" hidden="1"/>
    <cellStyle name="Гиперссылка 2" xfId="23415" hidden="1"/>
    <cellStyle name="Гиперссылка 2" xfId="23420" hidden="1"/>
    <cellStyle name="Гиперссылка 2" xfId="23421" hidden="1"/>
    <cellStyle name="Гиперссылка 2" xfId="23417" hidden="1"/>
    <cellStyle name="Гиперссылка 2" xfId="23416" hidden="1"/>
    <cellStyle name="Гиперссылка 2" xfId="23419" hidden="1"/>
    <cellStyle name="Гиперссылка 2" xfId="23418" hidden="1"/>
    <cellStyle name="Гиперссылка 2" xfId="23423" hidden="1"/>
    <cellStyle name="Гиперссылка 2" xfId="23422" hidden="1"/>
    <cellStyle name="Гиперссылка 2" xfId="23424" hidden="1"/>
    <cellStyle name="Гиперссылка 2" xfId="23425" hidden="1"/>
    <cellStyle name="Гиперссылка 2" xfId="23430" hidden="1"/>
    <cellStyle name="Гиперссылка 2" xfId="23431" hidden="1"/>
    <cellStyle name="Гиперссылка 2" xfId="23427" hidden="1"/>
    <cellStyle name="Гиперссылка 2" xfId="23426" hidden="1"/>
    <cellStyle name="Гиперссылка 2" xfId="23429" hidden="1"/>
    <cellStyle name="Гиперссылка 2" xfId="23428" hidden="1"/>
    <cellStyle name="Гиперссылка 2" xfId="23433" hidden="1"/>
    <cellStyle name="Гиперссылка 2" xfId="23432" hidden="1"/>
    <cellStyle name="Гиперссылка 2" xfId="23434" hidden="1"/>
    <cellStyle name="Гиперссылка 2" xfId="23435" hidden="1"/>
    <cellStyle name="Гиперссылка 2" xfId="23440" hidden="1"/>
    <cellStyle name="Гиперссылка 2" xfId="23441" hidden="1"/>
    <cellStyle name="Гиперссылка 2" xfId="23437" hidden="1"/>
    <cellStyle name="Гиперссылка 2" xfId="23436" hidden="1"/>
    <cellStyle name="Гиперссылка 2" xfId="23439" hidden="1"/>
    <cellStyle name="Гиперссылка 2" xfId="23438" hidden="1"/>
    <cellStyle name="Гиперссылка 2" xfId="23443" hidden="1"/>
    <cellStyle name="Гиперссылка 2" xfId="23442" hidden="1"/>
    <cellStyle name="Гиперссылка 2" xfId="23373" hidden="1"/>
    <cellStyle name="Гиперссылка 2" xfId="23141" hidden="1"/>
    <cellStyle name="Гиперссылка 2" xfId="23259" hidden="1"/>
    <cellStyle name="Гиперссылка 2" xfId="23183" hidden="1"/>
    <cellStyle name="Гиперссылка 2" xfId="23410" hidden="1"/>
    <cellStyle name="Гиперссылка 2" xfId="23413" hidden="1"/>
    <cellStyle name="Гиперссылка 2" xfId="23261" hidden="1"/>
    <cellStyle name="Гиперссылка 2" xfId="23408" hidden="1"/>
    <cellStyle name="Гиперссылка 2" xfId="23448" hidden="1"/>
    <cellStyle name="Гиперссылка 2" xfId="23447" hidden="1"/>
    <cellStyle name="Гиперссылка 2" xfId="23450" hidden="1"/>
    <cellStyle name="Гиперссылка 2" xfId="23451" hidden="1"/>
    <cellStyle name="Гиперссылка 2" xfId="23456" hidden="1"/>
    <cellStyle name="Гиперссылка 2" xfId="23457" hidden="1"/>
    <cellStyle name="Гиперссылка 2" xfId="23453" hidden="1"/>
    <cellStyle name="Гиперссылка 2" xfId="23452" hidden="1"/>
    <cellStyle name="Гиперссылка 2" xfId="23455" hidden="1"/>
    <cellStyle name="Гиперссылка 2" xfId="23454" hidden="1"/>
    <cellStyle name="Гиперссылка 2" xfId="23459" hidden="1"/>
    <cellStyle name="Гиперссылка 2" xfId="23458" hidden="1"/>
    <cellStyle name="Гиперссылка 2" xfId="23460" hidden="1"/>
    <cellStyle name="Гиперссылка 2" xfId="23461" hidden="1"/>
    <cellStyle name="Гиперссылка 2" xfId="23466" hidden="1"/>
    <cellStyle name="Гиперссылка 2" xfId="23467" hidden="1"/>
    <cellStyle name="Гиперссылка 2" xfId="23463" hidden="1"/>
    <cellStyle name="Гиперссылка 2" xfId="23462" hidden="1"/>
    <cellStyle name="Гиперссылка 2" xfId="23465" hidden="1"/>
    <cellStyle name="Гиперссылка 2" xfId="23464" hidden="1"/>
    <cellStyle name="Гиперссылка 2" xfId="23469" hidden="1"/>
    <cellStyle name="Гиперссылка 2" xfId="23468" hidden="1"/>
    <cellStyle name="Гиперссылка 2" xfId="23470" hidden="1"/>
    <cellStyle name="Гиперссылка 2" xfId="23471" hidden="1"/>
    <cellStyle name="Гиперссылка 2" xfId="23476" hidden="1"/>
    <cellStyle name="Гиперссылка 2" xfId="23477" hidden="1"/>
    <cellStyle name="Гиперссылка 2" xfId="23473" hidden="1"/>
    <cellStyle name="Гиперссылка 2" xfId="23472" hidden="1"/>
    <cellStyle name="Гиперссылка 2" xfId="23475" hidden="1"/>
    <cellStyle name="Гиперссылка 2" xfId="23474" hidden="1"/>
    <cellStyle name="Гиперссылка 2" xfId="23479" hidden="1"/>
    <cellStyle name="Гиперссылка 2" xfId="23478" hidden="1"/>
    <cellStyle name="Гиперссылка 2" xfId="23409" hidden="1"/>
    <cellStyle name="Гиперссылка 2" xfId="23181" hidden="1"/>
    <cellStyle name="Гиперссылка 2" xfId="23298" hidden="1"/>
    <cellStyle name="Гиперссылка 2" xfId="23223" hidden="1"/>
    <cellStyle name="Гиперссылка 2" xfId="23446" hidden="1"/>
    <cellStyle name="Гиперссылка 2" xfId="23449" hidden="1"/>
    <cellStyle name="Гиперссылка 2" xfId="23300" hidden="1"/>
    <cellStyle name="Гиперссылка 2" xfId="23444" hidden="1"/>
    <cellStyle name="Гиперссылка 2" xfId="23483" hidden="1"/>
    <cellStyle name="Гиперссылка 2" xfId="23482" hidden="1"/>
    <cellStyle name="Гиперссылка 2" xfId="23485" hidden="1"/>
    <cellStyle name="Гиперссылка 2" xfId="23486" hidden="1"/>
    <cellStyle name="Гиперссылка 2" xfId="23491" hidden="1"/>
    <cellStyle name="Гиперссылка 2" xfId="23492" hidden="1"/>
    <cellStyle name="Гиперссылка 2" xfId="23488" hidden="1"/>
    <cellStyle name="Гиперссылка 2" xfId="23487" hidden="1"/>
    <cellStyle name="Гиперссылка 2" xfId="23490" hidden="1"/>
    <cellStyle name="Гиперссылка 2" xfId="23489" hidden="1"/>
    <cellStyle name="Гиперссылка 2" xfId="23494" hidden="1"/>
    <cellStyle name="Гиперссылка 2" xfId="23493" hidden="1"/>
    <cellStyle name="Гиперссылка 2" xfId="23495" hidden="1"/>
    <cellStyle name="Гиперссылка 2" xfId="23496" hidden="1"/>
    <cellStyle name="Гиперссылка 2" xfId="23501" hidden="1"/>
    <cellStyle name="Гиперссылка 2" xfId="23502" hidden="1"/>
    <cellStyle name="Гиперссылка 2" xfId="23498" hidden="1"/>
    <cellStyle name="Гиперссылка 2" xfId="23497" hidden="1"/>
    <cellStyle name="Гиперссылка 2" xfId="23500" hidden="1"/>
    <cellStyle name="Гиперссылка 2" xfId="23499" hidden="1"/>
    <cellStyle name="Гиперссылка 2" xfId="23504" hidden="1"/>
    <cellStyle name="Гиперссылка 2" xfId="23503" hidden="1"/>
    <cellStyle name="Гиперссылка 2" xfId="23505" hidden="1"/>
    <cellStyle name="Гиперссылка 2" xfId="23506" hidden="1"/>
    <cellStyle name="Гиперссылка 2" xfId="23511" hidden="1"/>
    <cellStyle name="Гиперссылка 2" xfId="23512" hidden="1"/>
    <cellStyle name="Гиперссылка 2" xfId="23508" hidden="1"/>
    <cellStyle name="Гиперссылка 2" xfId="23507" hidden="1"/>
    <cellStyle name="Гиперссылка 2" xfId="23510" hidden="1"/>
    <cellStyle name="Гиперссылка 2" xfId="23509" hidden="1"/>
    <cellStyle name="Гиперссылка 2" xfId="23514" hidden="1"/>
    <cellStyle name="Гиперссылка 2" xfId="23513" hidden="1"/>
    <cellStyle name="Гиперссылка 2" xfId="23445" hidden="1"/>
    <cellStyle name="Гиперссылка 2" xfId="23221" hidden="1"/>
    <cellStyle name="Гиперссылка 2" xfId="23336" hidden="1"/>
    <cellStyle name="Гиперссылка 2" xfId="23262" hidden="1"/>
    <cellStyle name="Гиперссылка 2" xfId="23481" hidden="1"/>
    <cellStyle name="Гиперссылка 2" xfId="23484" hidden="1"/>
    <cellStyle name="Гиперссылка 2" xfId="23338" hidden="1"/>
    <cellStyle name="Гиперссылка 2" xfId="23480" hidden="1"/>
    <cellStyle name="Гиперссылка 2" xfId="23516" hidden="1"/>
    <cellStyle name="Гиперссылка 2" xfId="23515" hidden="1"/>
    <cellStyle name="Гиперссылка 2" xfId="23517" hidden="1"/>
    <cellStyle name="Гиперссылка 2" xfId="23518" hidden="1"/>
    <cellStyle name="Гиперссылка 2" xfId="23523" hidden="1"/>
    <cellStyle name="Гиперссылка 2" xfId="23524" hidden="1"/>
    <cellStyle name="Гиперссылка 2" xfId="23520" hidden="1"/>
    <cellStyle name="Гиперссылка 2" xfId="23519" hidden="1"/>
    <cellStyle name="Гиперссылка 2" xfId="23522" hidden="1"/>
    <cellStyle name="Гиперссылка 2" xfId="23521" hidden="1"/>
    <cellStyle name="Гиперссылка 2" xfId="23526" hidden="1"/>
    <cellStyle name="Гиперссылка 2" xfId="23525" hidden="1"/>
    <cellStyle name="Гиперссылка 2" xfId="23527" hidden="1"/>
    <cellStyle name="Гиперссылка 2" xfId="23528" hidden="1"/>
    <cellStyle name="Гиперссылка 2" xfId="23533" hidden="1"/>
    <cellStyle name="Гиперссылка 2" xfId="23534" hidden="1"/>
    <cellStyle name="Гиперссылка 2" xfId="23530" hidden="1"/>
    <cellStyle name="Гиперссылка 2" xfId="23529" hidden="1"/>
    <cellStyle name="Гиперссылка 2" xfId="23532" hidden="1"/>
    <cellStyle name="Гиперссылка 2" xfId="23531" hidden="1"/>
    <cellStyle name="Гиперссылка 2" xfId="23536" hidden="1"/>
    <cellStyle name="Гиперссылка 2" xfId="23535" hidden="1"/>
    <cellStyle name="Гиперссылка 2" xfId="23537" hidden="1"/>
    <cellStyle name="Гиперссылка 2" xfId="23538" hidden="1"/>
    <cellStyle name="Гиперссылка 2" xfId="23543" hidden="1"/>
    <cellStyle name="Гиперссылка 2" xfId="23544" hidden="1"/>
    <cellStyle name="Гиперссылка 2" xfId="23540" hidden="1"/>
    <cellStyle name="Гиперссылка 2" xfId="23539" hidden="1"/>
    <cellStyle name="Гиперссылка 2" xfId="23542" hidden="1"/>
    <cellStyle name="Гиперссылка 2" xfId="23541" hidden="1"/>
    <cellStyle name="Гиперссылка 2" xfId="23546" hidden="1"/>
    <cellStyle name="Гиперссылка 2" xfId="23545" hidden="1"/>
    <cellStyle name="Гиперссылка 2" xfId="23604" hidden="1"/>
    <cellStyle name="Гиперссылка 2" xfId="23605" hidden="1"/>
    <cellStyle name="Гиперссылка 2" xfId="23709" hidden="1"/>
    <cellStyle name="Гиперссылка 2" xfId="23710" hidden="1"/>
    <cellStyle name="Гиперссылка 2" xfId="23648" hidden="1"/>
    <cellStyle name="Гиперссылка 2" xfId="23608" hidden="1"/>
    <cellStyle name="Гиперссылка 2" xfId="23694" hidden="1"/>
    <cellStyle name="Гиперссылка 2" xfId="23693" hidden="1"/>
    <cellStyle name="Гиперссылка 2" xfId="23755" hidden="1"/>
    <cellStyle name="Гиперссылка 2" xfId="23754" hidden="1"/>
    <cellStyle name="Гиперссылка 2" xfId="23768" hidden="1"/>
    <cellStyle name="Гиперссылка 2" xfId="23769" hidden="1"/>
    <cellStyle name="Гиперссылка 2" xfId="23775" hidden="1"/>
    <cellStyle name="Гиперссылка 2" xfId="23776" hidden="1"/>
    <cellStyle name="Гиперссылка 2" xfId="23772" hidden="1"/>
    <cellStyle name="Гиперссылка 2" xfId="23771" hidden="1"/>
    <cellStyle name="Гиперссылка 2" xfId="23774" hidden="1"/>
    <cellStyle name="Гиперссылка 2" xfId="23773" hidden="1"/>
    <cellStyle name="Гиперссылка 2" xfId="23778" hidden="1"/>
    <cellStyle name="Гиперссылка 2" xfId="23777" hidden="1"/>
    <cellStyle name="Гиперссылка 2" xfId="23779" hidden="1"/>
    <cellStyle name="Гиперссылка 2" xfId="23780" hidden="1"/>
    <cellStyle name="Гиперссылка 2" xfId="23785" hidden="1"/>
    <cellStyle name="Гиперссылка 2" xfId="23786" hidden="1"/>
    <cellStyle name="Гиперссылка 2" xfId="23782" hidden="1"/>
    <cellStyle name="Гиперссылка 2" xfId="23781" hidden="1"/>
    <cellStyle name="Гиперссылка 2" xfId="23784" hidden="1"/>
    <cellStyle name="Гиперссылка 2" xfId="23783" hidden="1"/>
    <cellStyle name="Гиперссылка 2" xfId="23788" hidden="1"/>
    <cellStyle name="Гиперссылка 2" xfId="23787" hidden="1"/>
    <cellStyle name="Гиперссылка 2" xfId="23789" hidden="1"/>
    <cellStyle name="Гиперссылка 2" xfId="23790" hidden="1"/>
    <cellStyle name="Гиперссылка 2" xfId="23795" hidden="1"/>
    <cellStyle name="Гиперссылка 2" xfId="23796" hidden="1"/>
    <cellStyle name="Гиперссылка 2" xfId="23792" hidden="1"/>
    <cellStyle name="Гиперссылка 2" xfId="23791" hidden="1"/>
    <cellStyle name="Гиперссылка 2" xfId="23794" hidden="1"/>
    <cellStyle name="Гиперссылка 2" xfId="23793" hidden="1"/>
    <cellStyle name="Гиперссылка 2" xfId="23798" hidden="1"/>
    <cellStyle name="Гиперссылка 2" xfId="23797" hidden="1"/>
    <cellStyle name="Гиперссылка 2" xfId="23833" hidden="1"/>
    <cellStyle name="Гиперссылка 2" xfId="23834" hidden="1"/>
    <cellStyle name="Гиперссылка 2" xfId="23922" hidden="1"/>
    <cellStyle name="Гиперссылка 2" xfId="23923" hidden="1"/>
    <cellStyle name="Гиперссылка 2" xfId="23879" hidden="1"/>
    <cellStyle name="Гиперссылка 2" xfId="23836" hidden="1"/>
    <cellStyle name="Гиперссылка 2" xfId="23911" hidden="1"/>
    <cellStyle name="Гиперссылка 2" xfId="23910" hidden="1"/>
    <cellStyle name="Гиперссылка 2" xfId="23976" hidden="1"/>
    <cellStyle name="Гиперссылка 2" xfId="23975" hidden="1"/>
    <cellStyle name="Гиперссылка 2" xfId="23989" hidden="1"/>
    <cellStyle name="Гиперссылка 2" xfId="23990" hidden="1"/>
    <cellStyle name="Гиперссылка 2" xfId="23995" hidden="1"/>
    <cellStyle name="Гиперссылка 2" xfId="23996" hidden="1"/>
    <cellStyle name="Гиперссылка 2" xfId="23992" hidden="1"/>
    <cellStyle name="Гиперссылка 2" xfId="23991" hidden="1"/>
    <cellStyle name="Гиперссылка 2" xfId="23994" hidden="1"/>
    <cellStyle name="Гиперссылка 2" xfId="23993" hidden="1"/>
    <cellStyle name="Гиперссылка 2" xfId="23998" hidden="1"/>
    <cellStyle name="Гиперссылка 2" xfId="23997" hidden="1"/>
    <cellStyle name="Гиперссылка 2" xfId="24000" hidden="1"/>
    <cellStyle name="Гиперссылка 2" xfId="24001" hidden="1"/>
    <cellStyle name="Гиперссылка 2" xfId="24006" hidden="1"/>
    <cellStyle name="Гиперссылка 2" xfId="24007" hidden="1"/>
    <cellStyle name="Гиперссылка 2" xfId="24003" hidden="1"/>
    <cellStyle name="Гиперссылка 2" xfId="24002" hidden="1"/>
    <cellStyle name="Гиперссылка 2" xfId="24005" hidden="1"/>
    <cellStyle name="Гиперссылка 2" xfId="24004" hidden="1"/>
    <cellStyle name="Гиперссылка 2" xfId="24009" hidden="1"/>
    <cellStyle name="Гиперссылка 2" xfId="24008" hidden="1"/>
    <cellStyle name="Гиперссылка 2" xfId="24010" hidden="1"/>
    <cellStyle name="Гиперссылка 2" xfId="24011" hidden="1"/>
    <cellStyle name="Гиперссылка 2" xfId="24016" hidden="1"/>
    <cellStyle name="Гиперссылка 2" xfId="24017" hidden="1"/>
    <cellStyle name="Гиперссылка 2" xfId="24013" hidden="1"/>
    <cellStyle name="Гиперссылка 2" xfId="24012" hidden="1"/>
    <cellStyle name="Гиперссылка 2" xfId="24015" hidden="1"/>
    <cellStyle name="Гиперссылка 2" xfId="24014" hidden="1"/>
    <cellStyle name="Гиперссылка 2" xfId="24019" hidden="1"/>
    <cellStyle name="Гиперссылка 2" xfId="24018" hidden="1"/>
    <cellStyle name="Гиперссылка 2" xfId="23920" hidden="1"/>
    <cellStyle name="Гиперссылка 2" xfId="23893" hidden="1"/>
    <cellStyle name="Гиперссылка 2" xfId="23930" hidden="1"/>
    <cellStyle name="Гиперссылка 2" xfId="23838" hidden="1"/>
    <cellStyle name="Гиперссылка 2" xfId="23948" hidden="1"/>
    <cellStyle name="Гиперссылка 2" xfId="23983" hidden="1"/>
    <cellStyle name="Гиперссылка 2" xfId="23904" hidden="1"/>
    <cellStyle name="Гиперссылка 2" xfId="23937" hidden="1"/>
    <cellStyle name="Гиперссылка 2" xfId="24057" hidden="1"/>
    <cellStyle name="Гиперссылка 2" xfId="24056" hidden="1"/>
    <cellStyle name="Гиперссылка 2" xfId="24067" hidden="1"/>
    <cellStyle name="Гиперссылка 2" xfId="24068" hidden="1"/>
    <cellStyle name="Гиперссылка 2" xfId="24073" hidden="1"/>
    <cellStyle name="Гиперссылка 2" xfId="24074" hidden="1"/>
    <cellStyle name="Гиперссылка 2" xfId="24070" hidden="1"/>
    <cellStyle name="Гиперссылка 2" xfId="24069" hidden="1"/>
    <cellStyle name="Гиперссылка 2" xfId="24072" hidden="1"/>
    <cellStyle name="Гиперссылка 2" xfId="24071" hidden="1"/>
    <cellStyle name="Гиперссылка 2" xfId="24076" hidden="1"/>
    <cellStyle name="Гиперссылка 2" xfId="24075" hidden="1"/>
    <cellStyle name="Гиперссылка 2" xfId="24078" hidden="1"/>
    <cellStyle name="Гиперссылка 2" xfId="24079" hidden="1"/>
    <cellStyle name="Гиперссылка 2" xfId="24084" hidden="1"/>
    <cellStyle name="Гиперссылка 2" xfId="24085" hidden="1"/>
    <cellStyle name="Гиперссылка 2" xfId="24081" hidden="1"/>
    <cellStyle name="Гиперссылка 2" xfId="24080" hidden="1"/>
    <cellStyle name="Гиперссылка 2" xfId="24083" hidden="1"/>
    <cellStyle name="Гиперссылка 2" xfId="24082" hidden="1"/>
    <cellStyle name="Гиперссылка 2" xfId="24087" hidden="1"/>
    <cellStyle name="Гиперссылка 2" xfId="24086" hidden="1"/>
    <cellStyle name="Гиперссылка 2" xfId="24088" hidden="1"/>
    <cellStyle name="Гиперссылка 2" xfId="24089" hidden="1"/>
    <cellStyle name="Гиперссылка 2" xfId="24094" hidden="1"/>
    <cellStyle name="Гиперссылка 2" xfId="24095" hidden="1"/>
    <cellStyle name="Гиперссылка 2" xfId="24091" hidden="1"/>
    <cellStyle name="Гиперссылка 2" xfId="24090" hidden="1"/>
    <cellStyle name="Гиперссылка 2" xfId="24093" hidden="1"/>
    <cellStyle name="Гиперссылка 2" xfId="24092" hidden="1"/>
    <cellStyle name="Гиперссылка 2" xfId="24097" hidden="1"/>
    <cellStyle name="Гиперссылка 2" xfId="24096" hidden="1"/>
    <cellStyle name="Гиперссылка 2" xfId="23938" hidden="1"/>
    <cellStyle name="Гиперссылка 2" xfId="23568" hidden="1"/>
    <cellStyle name="Гиперссылка 2" xfId="23575" hidden="1"/>
    <cellStyle name="Гиперссылка 2" xfId="23880" hidden="1"/>
    <cellStyle name="Гиперссылка 2" xfId="24033" hidden="1"/>
    <cellStyle name="Гиперссылка 2" xfId="24065" hidden="1"/>
    <cellStyle name="Гиперссылка 2" xfId="23917" hidden="1"/>
    <cellStyle name="Гиперссылка 2" xfId="24025" hidden="1"/>
    <cellStyle name="Гиперссылка 2" xfId="24136" hidden="1"/>
    <cellStyle name="Гиперссылка 2" xfId="24135" hidden="1"/>
    <cellStyle name="Гиперссылка 2" xfId="24149" hidden="1"/>
    <cellStyle name="Гиперссылка 2" xfId="24150" hidden="1"/>
    <cellStyle name="Гиперссылка 2" xfId="24156" hidden="1"/>
    <cellStyle name="Гиперссылка 2" xfId="24157" hidden="1"/>
    <cellStyle name="Гиперссылка 2" xfId="24153" hidden="1"/>
    <cellStyle name="Гиперссылка 2" xfId="24152" hidden="1"/>
    <cellStyle name="Гиперссылка 2" xfId="24155" hidden="1"/>
    <cellStyle name="Гиперссылка 2" xfId="24154" hidden="1"/>
    <cellStyle name="Гиперссылка 2" xfId="24159" hidden="1"/>
    <cellStyle name="Гиперссылка 2" xfId="24158" hidden="1"/>
    <cellStyle name="Гиперссылка 2" xfId="24161" hidden="1"/>
    <cellStyle name="Гиперссылка 2" xfId="24162" hidden="1"/>
    <cellStyle name="Гиперссылка 2" xfId="24167" hidden="1"/>
    <cellStyle name="Гиперссылка 2" xfId="24168" hidden="1"/>
    <cellStyle name="Гиперссылка 2" xfId="24164" hidden="1"/>
    <cellStyle name="Гиперссылка 2" xfId="24163" hidden="1"/>
    <cellStyle name="Гиперссылка 2" xfId="24166" hidden="1"/>
    <cellStyle name="Гиперссылка 2" xfId="24165" hidden="1"/>
    <cellStyle name="Гиперссылка 2" xfId="24170" hidden="1"/>
    <cellStyle name="Гиперссылка 2" xfId="24169" hidden="1"/>
    <cellStyle name="Гиперссылка 2" xfId="24171" hidden="1"/>
    <cellStyle name="Гиперссылка 2" xfId="24172" hidden="1"/>
    <cellStyle name="Гиперссылка 2" xfId="24177" hidden="1"/>
    <cellStyle name="Гиперссылка 2" xfId="24178" hidden="1"/>
    <cellStyle name="Гиперссылка 2" xfId="24174" hidden="1"/>
    <cellStyle name="Гиперссылка 2" xfId="24173" hidden="1"/>
    <cellStyle name="Гиперссылка 2" xfId="24176" hidden="1"/>
    <cellStyle name="Гиперссылка 2" xfId="24175" hidden="1"/>
    <cellStyle name="Гиперссылка 2" xfId="24180" hidden="1"/>
    <cellStyle name="Гиперссылка 2" xfId="24179" hidden="1"/>
    <cellStyle name="Гиперссылка 2" xfId="24026" hidden="1"/>
    <cellStyle name="Гиперссылка 2" xfId="23579" hidden="1"/>
    <cellStyle name="Гиперссылка 2" xfId="23886" hidden="1"/>
    <cellStyle name="Гиперссылка 2" xfId="23583" hidden="1"/>
    <cellStyle name="Гиперссылка 2" xfId="24111" hidden="1"/>
    <cellStyle name="Гиперссылка 2" xfId="24143" hidden="1"/>
    <cellStyle name="Гиперссылка 2" xfId="23900" hidden="1"/>
    <cellStyle name="Гиперссылка 2" xfId="24101" hidden="1"/>
    <cellStyle name="Гиперссылка 2" xfId="24217" hidden="1"/>
    <cellStyle name="Гиперссылка 2" xfId="24216" hidden="1"/>
    <cellStyle name="Гиперссылка 2" xfId="24232" hidden="1"/>
    <cellStyle name="Гиперссылка 2" xfId="24233" hidden="1"/>
    <cellStyle name="Гиперссылка 2" xfId="24238" hidden="1"/>
    <cellStyle name="Гиперссылка 2" xfId="24239" hidden="1"/>
    <cellStyle name="Гиперссылка 2" xfId="24235" hidden="1"/>
    <cellStyle name="Гиперссылка 2" xfId="24234" hidden="1"/>
    <cellStyle name="Гиперссылка 2" xfId="24237" hidden="1"/>
    <cellStyle name="Гиперссылка 2" xfId="24236" hidden="1"/>
    <cellStyle name="Гиперссылка 2" xfId="24241" hidden="1"/>
    <cellStyle name="Гиперссылка 2" xfId="24240" hidden="1"/>
    <cellStyle name="Гиперссылка 2" xfId="24243" hidden="1"/>
    <cellStyle name="Гиперссылка 2" xfId="24244" hidden="1"/>
    <cellStyle name="Гиперссылка 2" xfId="24249" hidden="1"/>
    <cellStyle name="Гиперссылка 2" xfId="24250" hidden="1"/>
    <cellStyle name="Гиперссылка 2" xfId="24246" hidden="1"/>
    <cellStyle name="Гиперссылка 2" xfId="24245" hidden="1"/>
    <cellStyle name="Гиперссылка 2" xfId="24248" hidden="1"/>
    <cellStyle name="Гиперссылка 2" xfId="24247" hidden="1"/>
    <cellStyle name="Гиперссылка 2" xfId="24252" hidden="1"/>
    <cellStyle name="Гиперссылка 2" xfId="24251" hidden="1"/>
    <cellStyle name="Гиперссылка 2" xfId="24253" hidden="1"/>
    <cellStyle name="Гиперссылка 2" xfId="24254" hidden="1"/>
    <cellStyle name="Гиперссылка 2" xfId="24259" hidden="1"/>
    <cellStyle name="Гиперссылка 2" xfId="24260" hidden="1"/>
    <cellStyle name="Гиперссылка 2" xfId="24256" hidden="1"/>
    <cellStyle name="Гиперссылка 2" xfId="24255" hidden="1"/>
    <cellStyle name="Гиперссылка 2" xfId="24258" hidden="1"/>
    <cellStyle name="Гиперссылка 2" xfId="24257" hidden="1"/>
    <cellStyle name="Гиперссылка 2" xfId="24262" hidden="1"/>
    <cellStyle name="Гиперссылка 2" xfId="24261" hidden="1"/>
    <cellStyle name="Гиперссылка 2" xfId="24102" hidden="1"/>
    <cellStyle name="Гиперссылка 2" xfId="23891" hidden="1"/>
    <cellStyle name="Гиперссылка 2" xfId="23823" hidden="1"/>
    <cellStyle name="Гиперссылка 2" xfId="23885" hidden="1"/>
    <cellStyle name="Гиперссылка 2" xfId="24190" hidden="1"/>
    <cellStyle name="Гиперссылка 2" xfId="24225" hidden="1"/>
    <cellStyle name="Гиперссылка 2" xfId="23821" hidden="1"/>
    <cellStyle name="Гиперссылка 2" xfId="24183" hidden="1"/>
    <cellStyle name="Гиперссылка 2" xfId="24290" hidden="1"/>
    <cellStyle name="Гиперссылка 2" xfId="24289" hidden="1"/>
    <cellStyle name="Гиперссылка 2" xfId="24302" hidden="1"/>
    <cellStyle name="Гиперссылка 2" xfId="24303" hidden="1"/>
    <cellStyle name="Гиперссылка 2" xfId="24308" hidden="1"/>
    <cellStyle name="Гиперссылка 2" xfId="24309" hidden="1"/>
    <cellStyle name="Гиперссылка 2" xfId="24305" hidden="1"/>
    <cellStyle name="Гиперссылка 2" xfId="24304" hidden="1"/>
    <cellStyle name="Гиперссылка 2" xfId="24307" hidden="1"/>
    <cellStyle name="Гиперссылка 2" xfId="24306" hidden="1"/>
    <cellStyle name="Гиперссылка 2" xfId="24311" hidden="1"/>
    <cellStyle name="Гиперссылка 2" xfId="24310" hidden="1"/>
    <cellStyle name="Гиперссылка 2" xfId="24313" hidden="1"/>
    <cellStyle name="Гиперссылка 2" xfId="24314" hidden="1"/>
    <cellStyle name="Гиперссылка 2" xfId="24319" hidden="1"/>
    <cellStyle name="Гиперссылка 2" xfId="24320" hidden="1"/>
    <cellStyle name="Гиперссылка 2" xfId="24316" hidden="1"/>
    <cellStyle name="Гиперссылка 2" xfId="24315" hidden="1"/>
    <cellStyle name="Гиперссылка 2" xfId="24318" hidden="1"/>
    <cellStyle name="Гиперссылка 2" xfId="24317" hidden="1"/>
    <cellStyle name="Гиперссылка 2" xfId="24322" hidden="1"/>
    <cellStyle name="Гиперссылка 2" xfId="24321" hidden="1"/>
    <cellStyle name="Гиперссылка 2" xfId="24323" hidden="1"/>
    <cellStyle name="Гиперссылка 2" xfId="24324" hidden="1"/>
    <cellStyle name="Гиперссылка 2" xfId="24329" hidden="1"/>
    <cellStyle name="Гиперссылка 2" xfId="24330" hidden="1"/>
    <cellStyle name="Гиперссылка 2" xfId="24326" hidden="1"/>
    <cellStyle name="Гиперссылка 2" xfId="24325" hidden="1"/>
    <cellStyle name="Гиперссылка 2" xfId="24328" hidden="1"/>
    <cellStyle name="Гиперссылка 2" xfId="24327" hidden="1"/>
    <cellStyle name="Гиперссылка 2" xfId="24332" hidden="1"/>
    <cellStyle name="Гиперссылка 2" xfId="24331" hidden="1"/>
    <cellStyle name="Гиперссылка 2" xfId="24184" hidden="1"/>
    <cellStyle name="Гиперссылка 2" xfId="23905" hidden="1"/>
    <cellStyle name="Гиперссылка 2" xfId="23946" hidden="1"/>
    <cellStyle name="Гиперссылка 2" xfId="23827" hidden="1"/>
    <cellStyle name="Гиперссылка 2" xfId="24270" hidden="1"/>
    <cellStyle name="Гиперссылка 2" xfId="24296" hidden="1"/>
    <cellStyle name="Гиперссылка 2" xfId="23959" hidden="1"/>
    <cellStyle name="Гиперссылка 2" xfId="24265" hidden="1"/>
    <cellStyle name="Гиперссылка 2" xfId="24368" hidden="1"/>
    <cellStyle name="Гиперссылка 2" xfId="24367" hidden="1"/>
    <cellStyle name="Гиперссылка 2" xfId="24379" hidden="1"/>
    <cellStyle name="Гиперссылка 2" xfId="24380" hidden="1"/>
    <cellStyle name="Гиперссылка 2" xfId="24385" hidden="1"/>
    <cellStyle name="Гиперссылка 2" xfId="24386" hidden="1"/>
    <cellStyle name="Гиперссылка 2" xfId="24382" hidden="1"/>
    <cellStyle name="Гиперссылка 2" xfId="24381" hidden="1"/>
    <cellStyle name="Гиперссылка 2" xfId="24384" hidden="1"/>
    <cellStyle name="Гиперссылка 2" xfId="24383" hidden="1"/>
    <cellStyle name="Гиперссылка 2" xfId="24388" hidden="1"/>
    <cellStyle name="Гиперссылка 2" xfId="24387" hidden="1"/>
    <cellStyle name="Гиперссылка 2" xfId="24390" hidden="1"/>
    <cellStyle name="Гиперссылка 2" xfId="24391" hidden="1"/>
    <cellStyle name="Гиперссылка 2" xfId="24396" hidden="1"/>
    <cellStyle name="Гиперссылка 2" xfId="24397" hidden="1"/>
    <cellStyle name="Гиперссылка 2" xfId="24393" hidden="1"/>
    <cellStyle name="Гиперссылка 2" xfId="24392" hidden="1"/>
    <cellStyle name="Гиперссылка 2" xfId="24395" hidden="1"/>
    <cellStyle name="Гиперссылка 2" xfId="24394" hidden="1"/>
    <cellStyle name="Гиперссылка 2" xfId="24399" hidden="1"/>
    <cellStyle name="Гиперссылка 2" xfId="24398" hidden="1"/>
    <cellStyle name="Гиперссылка 2" xfId="24400" hidden="1"/>
    <cellStyle name="Гиперссылка 2" xfId="24401" hidden="1"/>
    <cellStyle name="Гиперссылка 2" xfId="24406" hidden="1"/>
    <cellStyle name="Гиперссылка 2" xfId="24407" hidden="1"/>
    <cellStyle name="Гиперссылка 2" xfId="24403" hidden="1"/>
    <cellStyle name="Гиперссылка 2" xfId="24402" hidden="1"/>
    <cellStyle name="Гиперссылка 2" xfId="24405" hidden="1"/>
    <cellStyle name="Гиперссылка 2" xfId="24404" hidden="1"/>
    <cellStyle name="Гиперссылка 2" xfId="24409" hidden="1"/>
    <cellStyle name="Гиперссылка 2" xfId="24408" hidden="1"/>
    <cellStyle name="Гиперссылка 2" xfId="24266" hidden="1"/>
    <cellStyle name="Гиперссылка 2" xfId="23587" hidden="1"/>
    <cellStyle name="Гиперссылка 2" xfId="24030" hidden="1"/>
    <cellStyle name="Гиперссылка 2" xfId="23837" hidden="1"/>
    <cellStyle name="Гиперссылка 2" xfId="24346" hidden="1"/>
    <cellStyle name="Гиперссылка 2" xfId="24376" hidden="1"/>
    <cellStyle name="Гиперссылка 2" xfId="24046" hidden="1"/>
    <cellStyle name="Гиперссылка 2" xfId="24335" hidden="1"/>
    <cellStyle name="Гиперссылка 2" xfId="24439" hidden="1"/>
    <cellStyle name="Гиперссылка 2" xfId="24438" hidden="1"/>
    <cellStyle name="Гиперссылка 2" xfId="24449" hidden="1"/>
    <cellStyle name="Гиперссылка 2" xfId="24450" hidden="1"/>
    <cellStyle name="Гиперссылка 2" xfId="24455" hidden="1"/>
    <cellStyle name="Гиперссылка 2" xfId="24456" hidden="1"/>
    <cellStyle name="Гиперссылка 2" xfId="24452" hidden="1"/>
    <cellStyle name="Гиперссылка 2" xfId="24451" hidden="1"/>
    <cellStyle name="Гиперссылка 2" xfId="24454" hidden="1"/>
    <cellStyle name="Гиперссылка 2" xfId="24453" hidden="1"/>
    <cellStyle name="Гиперссылка 2" xfId="24458" hidden="1"/>
    <cellStyle name="Гиперссылка 2" xfId="24457" hidden="1"/>
    <cellStyle name="Гиперссылка 2" xfId="24459" hidden="1"/>
    <cellStyle name="Гиперссылка 2" xfId="24460" hidden="1"/>
    <cellStyle name="Гиперссылка 2" xfId="24465" hidden="1"/>
    <cellStyle name="Гиперссылка 2" xfId="24466" hidden="1"/>
    <cellStyle name="Гиперссылка 2" xfId="24462" hidden="1"/>
    <cellStyle name="Гиперссылка 2" xfId="24461" hidden="1"/>
    <cellStyle name="Гиперссылка 2" xfId="24464" hidden="1"/>
    <cellStyle name="Гиперссылка 2" xfId="24463" hidden="1"/>
    <cellStyle name="Гиперссылка 2" xfId="24468" hidden="1"/>
    <cellStyle name="Гиперссылка 2" xfId="24467" hidden="1"/>
    <cellStyle name="Гиперссылка 2" xfId="24469" hidden="1"/>
    <cellStyle name="Гиперссылка 2" xfId="24470" hidden="1"/>
    <cellStyle name="Гиперссылка 2" xfId="24475" hidden="1"/>
    <cellStyle name="Гиперссылка 2" xfId="24476" hidden="1"/>
    <cellStyle name="Гиперссылка 2" xfId="24472" hidden="1"/>
    <cellStyle name="Гиперссылка 2" xfId="24471" hidden="1"/>
    <cellStyle name="Гиперссылка 2" xfId="24474" hidden="1"/>
    <cellStyle name="Гиперссылка 2" xfId="24473" hidden="1"/>
    <cellStyle name="Гиперссылка 2" xfId="24478" hidden="1"/>
    <cellStyle name="Гиперссылка 2" xfId="24477" hidden="1"/>
    <cellStyle name="Гиперссылка 2" xfId="24336" hidden="1"/>
    <cellStyle name="Гиперссылка 2" xfId="23815" hidden="1"/>
    <cellStyle name="Гиперссылка 2" xfId="24108" hidden="1"/>
    <cellStyle name="Гиперссылка 2" xfId="23966" hidden="1"/>
    <cellStyle name="Гиперссылка 2" xfId="24421" hidden="1"/>
    <cellStyle name="Гиперссылка 2" xfId="24445" hidden="1"/>
    <cellStyle name="Гиперссылка 2" xfId="24119" hidden="1"/>
    <cellStyle name="Гиперссылка 2" xfId="24414" hidden="1"/>
    <cellStyle name="Гиперссылка 2" xfId="24502" hidden="1"/>
    <cellStyle name="Гиперссылка 2" xfId="24501" hidden="1"/>
    <cellStyle name="Гиперссылка 2" xfId="24513" hidden="1"/>
    <cellStyle name="Гиперссылка 2" xfId="24514" hidden="1"/>
    <cellStyle name="Гиперссылка 2" xfId="24519" hidden="1"/>
    <cellStyle name="Гиперссылка 2" xfId="24520" hidden="1"/>
    <cellStyle name="Гиперссылка 2" xfId="24516" hidden="1"/>
    <cellStyle name="Гиперссылка 2" xfId="24515" hidden="1"/>
    <cellStyle name="Гиперссылка 2" xfId="24518" hidden="1"/>
    <cellStyle name="Гиперссылка 2" xfId="24517" hidden="1"/>
    <cellStyle name="Гиперссылка 2" xfId="24522" hidden="1"/>
    <cellStyle name="Гиперссылка 2" xfId="24521" hidden="1"/>
    <cellStyle name="Гиперссылка 2" xfId="24525" hidden="1"/>
    <cellStyle name="Гиперссылка 2" xfId="24526" hidden="1"/>
    <cellStyle name="Гиперссылка 2" xfId="24531" hidden="1"/>
    <cellStyle name="Гиперссылка 2" xfId="24532" hidden="1"/>
    <cellStyle name="Гиперссылка 2" xfId="24528" hidden="1"/>
    <cellStyle name="Гиперссылка 2" xfId="24527" hidden="1"/>
    <cellStyle name="Гиперссылка 2" xfId="24530" hidden="1"/>
    <cellStyle name="Гиперссылка 2" xfId="24529" hidden="1"/>
    <cellStyle name="Гиперссылка 2" xfId="24534" hidden="1"/>
    <cellStyle name="Гиперссылка 2" xfId="24533" hidden="1"/>
    <cellStyle name="Гиперссылка 2" xfId="24535" hidden="1"/>
    <cellStyle name="Гиперссылка 2" xfId="24536" hidden="1"/>
    <cellStyle name="Гиперссылка 2" xfId="24541" hidden="1"/>
    <cellStyle name="Гиперссылка 2" xfId="24542" hidden="1"/>
    <cellStyle name="Гиперссылка 2" xfId="24538" hidden="1"/>
    <cellStyle name="Гиперссылка 2" xfId="24537" hidden="1"/>
    <cellStyle name="Гиперссылка 2" xfId="24540" hidden="1"/>
    <cellStyle name="Гиперссылка 2" xfId="24539" hidden="1"/>
    <cellStyle name="Гиперссылка 2" xfId="24544" hidden="1"/>
    <cellStyle name="Гиперссылка 2" xfId="24543" hidden="1"/>
    <cellStyle name="Гиперссылка 2" xfId="24415" hidden="1"/>
    <cellStyle name="Гиперссылка 2" xfId="23954" hidden="1"/>
    <cellStyle name="Гиперссылка 2" xfId="24188" hidden="1"/>
    <cellStyle name="Гиперссылка 2" xfId="24048" hidden="1"/>
    <cellStyle name="Гиперссылка 2" xfId="24484" hidden="1"/>
    <cellStyle name="Гиперссылка 2" xfId="24508" hidden="1"/>
    <cellStyle name="Гиперссылка 2" xfId="24202" hidden="1"/>
    <cellStyle name="Гиперссылка 2" xfId="24480" hidden="1"/>
    <cellStyle name="Гиперссылка 2" xfId="24567" hidden="1"/>
    <cellStyle name="Гиперссылка 2" xfId="24566" hidden="1"/>
    <cellStyle name="Гиперссылка 2" xfId="24578" hidden="1"/>
    <cellStyle name="Гиперссылка 2" xfId="24579" hidden="1"/>
    <cellStyle name="Гиперссылка 2" xfId="24584" hidden="1"/>
    <cellStyle name="Гиперссылка 2" xfId="24585" hidden="1"/>
    <cellStyle name="Гиперссылка 2" xfId="24581" hidden="1"/>
    <cellStyle name="Гиперссылка 2" xfId="24580" hidden="1"/>
    <cellStyle name="Гиперссылка 2" xfId="24583" hidden="1"/>
    <cellStyle name="Гиперссылка 2" xfId="24582" hidden="1"/>
    <cellStyle name="Гиперссылка 2" xfId="24587" hidden="1"/>
    <cellStyle name="Гиперссылка 2" xfId="24586" hidden="1"/>
    <cellStyle name="Гиперссылка 2" xfId="24588" hidden="1"/>
    <cellStyle name="Гиперссылка 2" xfId="24589" hidden="1"/>
    <cellStyle name="Гиперссылка 2" xfId="24594" hidden="1"/>
    <cellStyle name="Гиперссылка 2" xfId="24595" hidden="1"/>
    <cellStyle name="Гиперссылка 2" xfId="24591" hidden="1"/>
    <cellStyle name="Гиперссылка 2" xfId="24590" hidden="1"/>
    <cellStyle name="Гиперссылка 2" xfId="24593" hidden="1"/>
    <cellStyle name="Гиперссылка 2" xfId="24592" hidden="1"/>
    <cellStyle name="Гиперссылка 2" xfId="24597" hidden="1"/>
    <cellStyle name="Гиперссылка 2" xfId="24596" hidden="1"/>
    <cellStyle name="Гиперссылка 2" xfId="24598" hidden="1"/>
    <cellStyle name="Гиперссылка 2" xfId="24599" hidden="1"/>
    <cellStyle name="Гиперссылка 2" xfId="24604" hidden="1"/>
    <cellStyle name="Гиперссылка 2" xfId="24605" hidden="1"/>
    <cellStyle name="Гиперссылка 2" xfId="24601" hidden="1"/>
    <cellStyle name="Гиперссылка 2" xfId="24600" hidden="1"/>
    <cellStyle name="Гиперссылка 2" xfId="24603" hidden="1"/>
    <cellStyle name="Гиперссылка 2" xfId="24602" hidden="1"/>
    <cellStyle name="Гиперссылка 2" xfId="24607" hidden="1"/>
    <cellStyle name="Гиперссылка 2" xfId="24606" hidden="1"/>
    <cellStyle name="Гиперссылка 2" xfId="24481" hidden="1"/>
    <cellStyle name="Гиперссылка 2" xfId="24038" hidden="1"/>
    <cellStyle name="Гиперссылка 2" xfId="24268" hidden="1"/>
    <cellStyle name="Гиперссылка 2" xfId="24125" hidden="1"/>
    <cellStyle name="Гиперссылка 2" xfId="24552" hidden="1"/>
    <cellStyle name="Гиперссылка 2" xfId="24574" hidden="1"/>
    <cellStyle name="Гиперссылка 2" xfId="24277" hidden="1"/>
    <cellStyle name="Гиперссылка 2" xfId="24548" hidden="1"/>
    <cellStyle name="Гиперссылка 2" xfId="24628" hidden="1"/>
    <cellStyle name="Гиперссылка 2" xfId="24627" hidden="1"/>
    <cellStyle name="Гиперссылка 2" xfId="24635" hidden="1"/>
    <cellStyle name="Гиперссылка 2" xfId="24636" hidden="1"/>
    <cellStyle name="Гиперссылка 2" xfId="24641" hidden="1"/>
    <cellStyle name="Гиперссылка 2" xfId="24642" hidden="1"/>
    <cellStyle name="Гиперссылка 2" xfId="24638" hidden="1"/>
    <cellStyle name="Гиперссылка 2" xfId="24637" hidden="1"/>
    <cellStyle name="Гиперссылка 2" xfId="24640" hidden="1"/>
    <cellStyle name="Гиперссылка 2" xfId="24639" hidden="1"/>
    <cellStyle name="Гиперссылка 2" xfId="24644" hidden="1"/>
    <cellStyle name="Гиперссылка 2" xfId="24643" hidden="1"/>
    <cellStyle name="Гиперссылка 2" xfId="24646" hidden="1"/>
    <cellStyle name="Гиперссылка 2" xfId="24647" hidden="1"/>
    <cellStyle name="Гиперссылка 2" xfId="24652" hidden="1"/>
    <cellStyle name="Гиперссылка 2" xfId="24653" hidden="1"/>
    <cellStyle name="Гиперссылка 2" xfId="24649" hidden="1"/>
    <cellStyle name="Гиперссылка 2" xfId="24648" hidden="1"/>
    <cellStyle name="Гиперссылка 2" xfId="24651" hidden="1"/>
    <cellStyle name="Гиперссылка 2" xfId="24650" hidden="1"/>
    <cellStyle name="Гиперссылка 2" xfId="24655" hidden="1"/>
    <cellStyle name="Гиперссылка 2" xfId="24654" hidden="1"/>
    <cellStyle name="Гиперссылка 2" xfId="24656" hidden="1"/>
    <cellStyle name="Гиперссылка 2" xfId="24657" hidden="1"/>
    <cellStyle name="Гиперссылка 2" xfId="24662" hidden="1"/>
    <cellStyle name="Гиперссылка 2" xfId="24663" hidden="1"/>
    <cellStyle name="Гиперссылка 2" xfId="24659" hidden="1"/>
    <cellStyle name="Гиперссылка 2" xfId="24658" hidden="1"/>
    <cellStyle name="Гиперссылка 2" xfId="24661" hidden="1"/>
    <cellStyle name="Гиперссылка 2" xfId="24660" hidden="1"/>
    <cellStyle name="Гиперссылка 2" xfId="24665" hidden="1"/>
    <cellStyle name="Гиперссылка 2" xfId="24664" hidden="1"/>
    <cellStyle name="Гиперссылка 2" xfId="24549" hidden="1"/>
    <cellStyle name="Гиперссылка 2" xfId="24114" hidden="1"/>
    <cellStyle name="Гиперссылка 2" xfId="24343" hidden="1"/>
    <cellStyle name="Гиперссылка 2" xfId="24208" hidden="1"/>
    <cellStyle name="Гиперссылка 2" xfId="24611" hidden="1"/>
    <cellStyle name="Гиперссылка 2" xfId="24633" hidden="1"/>
    <cellStyle name="Гиперссылка 2" xfId="24355" hidden="1"/>
    <cellStyle name="Гиперссылка 2" xfId="24609" hidden="1"/>
    <cellStyle name="Гиперссылка 2" xfId="24678" hidden="1"/>
    <cellStyle name="Гиперссылка 2" xfId="24677" hidden="1"/>
    <cellStyle name="Гиперссылка 2" xfId="24682" hidden="1"/>
    <cellStyle name="Гиперссылка 2" xfId="24683" hidden="1"/>
    <cellStyle name="Гиперссылка 2" xfId="24688" hidden="1"/>
    <cellStyle name="Гиперссылка 2" xfId="24689" hidden="1"/>
    <cellStyle name="Гиперссылка 2" xfId="24685" hidden="1"/>
    <cellStyle name="Гиперссылка 2" xfId="24684" hidden="1"/>
    <cellStyle name="Гиперссылка 2" xfId="24687" hidden="1"/>
    <cellStyle name="Гиперссылка 2" xfId="24686" hidden="1"/>
    <cellStyle name="Гиперссылка 2" xfId="24691" hidden="1"/>
    <cellStyle name="Гиперссылка 2" xfId="24690" hidden="1"/>
    <cellStyle name="Гиперссылка 2" xfId="24692" hidden="1"/>
    <cellStyle name="Гиперссылка 2" xfId="24693" hidden="1"/>
    <cellStyle name="Гиперссылка 2" xfId="24698" hidden="1"/>
    <cellStyle name="Гиперссылка 2" xfId="24699" hidden="1"/>
    <cellStyle name="Гиперссылка 2" xfId="24695" hidden="1"/>
    <cellStyle name="Гиперссылка 2" xfId="24694" hidden="1"/>
    <cellStyle name="Гиперссылка 2" xfId="24697" hidden="1"/>
    <cellStyle name="Гиперссылка 2" xfId="24696" hidden="1"/>
    <cellStyle name="Гиперссылка 2" xfId="24701" hidden="1"/>
    <cellStyle name="Гиперссылка 2" xfId="24700" hidden="1"/>
    <cellStyle name="Гиперссылка 2" xfId="24702" hidden="1"/>
    <cellStyle name="Гиперссылка 2" xfId="24703" hidden="1"/>
    <cellStyle name="Гиперссылка 2" xfId="24708" hidden="1"/>
    <cellStyle name="Гиперссылка 2" xfId="24709" hidden="1"/>
    <cellStyle name="Гиперссылка 2" xfId="24705" hidden="1"/>
    <cellStyle name="Гиперссылка 2" xfId="24704" hidden="1"/>
    <cellStyle name="Гиперссылка 2" xfId="24707" hidden="1"/>
    <cellStyle name="Гиперссылка 2" xfId="24706" hidden="1"/>
    <cellStyle name="Гиперссылка 2" xfId="24711" hidden="1"/>
    <cellStyle name="Гиперссылка 2" xfId="24710" hidden="1"/>
    <cellStyle name="Гиперссылка 2" xfId="24610" hidden="1"/>
    <cellStyle name="Гиперссылка 2" xfId="24196" hidden="1"/>
    <cellStyle name="Гиперссылка 2" xfId="24420" hidden="1"/>
    <cellStyle name="Гиперссылка 2" xfId="24283" hidden="1"/>
    <cellStyle name="Гиперссылка 2" xfId="24670" hidden="1"/>
    <cellStyle name="Гиперссылка 2" xfId="24681" hidden="1"/>
    <cellStyle name="Гиперссылка 2" xfId="24428" hidden="1"/>
    <cellStyle name="Гиперссылка 2" xfId="24667" hidden="1"/>
    <cellStyle name="Гиперссылка 2" xfId="24713" hidden="1"/>
    <cellStyle name="Гиперссылка 2" xfId="24712" hidden="1"/>
    <cellStyle name="Гиперссылка 2" xfId="24714" hidden="1"/>
    <cellStyle name="Гиперссылка 2" xfId="24715" hidden="1"/>
    <cellStyle name="Гиперссылка 2" xfId="24720" hidden="1"/>
    <cellStyle name="Гиперссылка 2" xfId="24721" hidden="1"/>
    <cellStyle name="Гиперссылка 2" xfId="24717" hidden="1"/>
    <cellStyle name="Гиперссылка 2" xfId="24716" hidden="1"/>
    <cellStyle name="Гиперссылка 2" xfId="24719" hidden="1"/>
    <cellStyle name="Гиперссылка 2" xfId="24718" hidden="1"/>
    <cellStyle name="Гиперссылка 2" xfId="24723" hidden="1"/>
    <cellStyle name="Гиперссылка 2" xfId="24722" hidden="1"/>
    <cellStyle name="Гиперссылка 2" xfId="24724" hidden="1"/>
    <cellStyle name="Гиперссылка 2" xfId="24725" hidden="1"/>
    <cellStyle name="Гиперссылка 2" xfId="24730" hidden="1"/>
    <cellStyle name="Гиперссылка 2" xfId="24731" hidden="1"/>
    <cellStyle name="Гиперссылка 2" xfId="24727" hidden="1"/>
    <cellStyle name="Гиперссылка 2" xfId="24726" hidden="1"/>
    <cellStyle name="Гиперссылка 2" xfId="24729" hidden="1"/>
    <cellStyle name="Гиперссылка 2" xfId="24728" hidden="1"/>
    <cellStyle name="Гиперссылка 2" xfId="24733" hidden="1"/>
    <cellStyle name="Гиперссылка 2" xfId="24732" hidden="1"/>
    <cellStyle name="Гиперссылка 2" xfId="24734" hidden="1"/>
    <cellStyle name="Гиперссылка 2" xfId="24735" hidden="1"/>
    <cellStyle name="Гиперссылка 2" xfId="24740" hidden="1"/>
    <cellStyle name="Гиперссылка 2" xfId="24741" hidden="1"/>
    <cellStyle name="Гиперссылка 2" xfId="24737" hidden="1"/>
    <cellStyle name="Гиперссылка 2" xfId="24736" hidden="1"/>
    <cellStyle name="Гиперссылка 2" xfId="24739" hidden="1"/>
    <cellStyle name="Гиперссылка 2" xfId="24738" hidden="1"/>
    <cellStyle name="Гиперссылка 2" xfId="24743" hidden="1"/>
    <cellStyle name="Гиперссылка 2" xfId="24742" hidden="1"/>
    <cellStyle name="Гиперссылка 2" xfId="24148" hidden="1"/>
    <cellStyle name="Гиперссылка 2" xfId="9257" hidden="1"/>
    <cellStyle name="Гиперссылка 2" xfId="24504" hidden="1"/>
    <cellStyle name="Гиперссылка 2" xfId="23574" hidden="1"/>
    <cellStyle name="Гиперссылка 2" xfId="24351" hidden="1"/>
    <cellStyle name="Гиперссылка 2" xfId="23820" hidden="1"/>
    <cellStyle name="Гиперссылка 2" xfId="23732" hidden="1"/>
    <cellStyle name="Гиперссылка 2" xfId="23723" hidden="1"/>
    <cellStyle name="Гиперссылка 2" xfId="23742" hidden="1"/>
    <cellStyle name="Гиперссылка 2" xfId="23566" hidden="1"/>
    <cellStyle name="Гиперссылка 2" xfId="24622" hidden="1"/>
    <cellStyle name="Гиперссылка 2" xfId="24494" hidden="1"/>
    <cellStyle name="Гиперссылка 2" xfId="24051" hidden="1"/>
    <cellStyle name="Гиперссылка 2" xfId="8758" hidden="1"/>
    <cellStyle name="Гиперссылка 2" xfId="24434" hidden="1"/>
    <cellStyle name="Гиперссылка 2" xfId="24563" hidden="1"/>
    <cellStyle name="Гиперссылка 2" xfId="24212" hidden="1"/>
    <cellStyle name="Гиперссылка 2" xfId="24287" hidden="1"/>
    <cellStyle name="Гиперссылка 2" xfId="24276" hidden="1"/>
    <cellStyle name="Гиперссылка 2" xfId="8833" hidden="1"/>
    <cellStyle name="Гиперссылка 2" xfId="9174" hidden="1"/>
    <cellStyle name="Гиперссылка 2" xfId="23809" hidden="1"/>
    <cellStyle name="Гиперссылка 2" xfId="23609" hidden="1"/>
    <cellStyle name="Гиперссылка 2" xfId="23606" hidden="1"/>
    <cellStyle name="Гиперссылка 2" xfId="23898" hidden="1"/>
    <cellStyle name="Гиперссылка 2" xfId="23913" hidden="1"/>
    <cellStyle name="Гиперссылка 2" xfId="23711" hidden="1"/>
    <cellStyle name="Гиперссылка 2" xfId="23714" hidden="1"/>
    <cellStyle name="Гиперссылка 2" xfId="23766" hidden="1"/>
    <cellStyle name="Гиперссылка 2" xfId="23595" hidden="1"/>
    <cellStyle name="Гиперссылка 2" xfId="23708" hidden="1"/>
    <cellStyle name="Гиперссылка 2" xfId="23658" hidden="1"/>
    <cellStyle name="Гиперссылка 2" xfId="23699" hidden="1"/>
    <cellStyle name="Гиперссылка 2" xfId="23668" hidden="1"/>
    <cellStyle name="Гиперссылка 2" xfId="23688" hidden="1"/>
    <cellStyle name="Гиперссылка 2" xfId="23750" hidden="1"/>
    <cellStyle name="Гиперссылка 2" xfId="23760" hidden="1"/>
    <cellStyle name="Гиперссылка 2" xfId="23549" hidden="1"/>
    <cellStyle name="Гиперссылка 2" xfId="23703" hidden="1"/>
    <cellStyle name="Гиперссылка 2" xfId="23744" hidden="1"/>
    <cellStyle name="Гиперссылка 2" xfId="8786" hidden="1"/>
    <cellStyle name="Гиперссылка 2" xfId="23831" hidden="1"/>
    <cellStyle name="Гиперссылка 2" xfId="23738" hidden="1"/>
    <cellStyle name="Гиперссылка 2" xfId="23677" hidden="1"/>
    <cellStyle name="Гиперссылка 2" xfId="23759" hidden="1"/>
    <cellStyle name="Гиперссылка 2" xfId="24029" hidden="1"/>
    <cellStyle name="Гиперссылка 2" xfId="24556" hidden="1"/>
    <cellStyle name="Гиперссылка 2" xfId="24616" hidden="1"/>
    <cellStyle name="Гиперссылка 2" xfId="23642" hidden="1"/>
    <cellStyle name="Гиперссылка 2" xfId="23870" hidden="1"/>
    <cellStyle name="Гиперссылка 2" xfId="24338" hidden="1"/>
    <cellStyle name="Гиперссылка 2" xfId="24187" hidden="1"/>
    <cellStyle name="Гиперссылка 2" xfId="23673" hidden="1"/>
    <cellStyle name="Гиперссылка 2" xfId="24227" hidden="1"/>
    <cellStyle name="Гиперссылка 2" xfId="23962" hidden="1"/>
    <cellStyle name="Гиперссылка 2" xfId="8821" hidden="1"/>
    <cellStyle name="Гиперссылка 2" xfId="23735" hidden="1"/>
    <cellStyle name="Гиперссылка 2" xfId="23719" hidden="1"/>
    <cellStyle name="Гиперссылка 2" xfId="23902" hidden="1"/>
    <cellStyle name="Гиперссылка 2" xfId="23985" hidden="1"/>
    <cellStyle name="Гиперссылка 2" xfId="24575" hidden="1"/>
    <cellStyle name="Гиперссылка 2" xfId="24446" hidden="1"/>
    <cellStyle name="Гиперссылка 2" xfId="24205" hidden="1"/>
    <cellStyle name="Гиперссылка 2" xfId="8818" hidden="1"/>
    <cellStyle name="Гиперссылка 2" xfId="24560" hidden="1"/>
    <cellStyle name="Гиперссылка 2" xfId="24673" hidden="1"/>
    <cellStyle name="Гиперссылка 2" xfId="24358" hidden="1"/>
    <cellStyle name="Гиперссылка 2" xfId="24430" hidden="1"/>
    <cellStyle name="Гиперссылка 2" xfId="23721" hidden="1"/>
    <cellStyle name="Гиперссылка 2" xfId="23801" hidden="1"/>
    <cellStyle name="Гиперссылка 2" xfId="23639" hidden="1"/>
    <cellStyle name="Гиперссылка 2" xfId="24222" hidden="1"/>
    <cellStyle name="Гиперссылка 2" xfId="24442" hidden="1"/>
    <cellStyle name="Гиперссылка 2" xfId="24293" hidden="1"/>
    <cellStyle name="Гиперссылка 2" xfId="23921" hidden="1"/>
    <cellStyle name="Гиперссылка 2" xfId="23980" hidden="1"/>
    <cellStyle name="Гиперссылка 2" xfId="24571" hidden="1"/>
    <cellStyle name="Гиперссылка 2" xfId="23637" hidden="1"/>
    <cellStyle name="Гиперссылка 2" xfId="24572" hidden="1"/>
    <cellStyle name="Гиперссылка 2" xfId="24631" hidden="1"/>
    <cellStyle name="Гиперссылка 2" xfId="24054" hidden="1"/>
    <cellStyle name="Гиперссылка 2" xfId="24041" hidden="1"/>
    <cellStyle name="Гиперссылка 2" xfId="24495" hidden="1"/>
    <cellStyle name="Гиперссылка 2" xfId="23617" hidden="1"/>
    <cellStyle name="Гиперссылка 2" xfId="23934" hidden="1"/>
    <cellStyle name="Гиперссылка 2" xfId="23805" hidden="1"/>
    <cellStyle name="Гиперссылка 2" xfId="24272" hidden="1"/>
    <cellStyle name="Гиперссылка 2" xfId="24267" hidden="1"/>
    <cellStyle name="Гиперссылка 2" xfId="23728" hidden="1"/>
    <cellStyle name="Гиперссылка 2" xfId="23733" hidden="1"/>
    <cellStyle name="Гиперссылка 2" xfId="23861" hidden="1"/>
    <cellStyle name="Гиперссылка 2" xfId="23802" hidden="1"/>
    <cellStyle name="Гиперссылка 2" xfId="24160" hidden="1"/>
    <cellStyle name="Гиперссылка 2" xfId="23999" hidden="1"/>
    <cellStyle name="Гиперссылка 2" xfId="24523" hidden="1"/>
    <cellStyle name="Гиперссылка 2" xfId="23828" hidden="1"/>
    <cellStyle name="Гиперссылка 2" xfId="24312" hidden="1"/>
    <cellStyle name="Гиперссылка 2" xfId="24389" hidden="1"/>
    <cellStyle name="Гиперссылка 2" xfId="8795" hidden="1"/>
    <cellStyle name="Гиперссылка 2" xfId="8810" hidden="1"/>
    <cellStyle name="Гиперссылка 2" xfId="24278" hidden="1"/>
    <cellStyle name="Гиперссылка 2" xfId="24203" hidden="1"/>
    <cellStyle name="Гиперссылка 2" xfId="9176" hidden="1"/>
    <cellStyle name="Гиперссылка 2" xfId="23686" hidden="1"/>
    <cellStyle name="Гиперссылка 2" xfId="23896" hidden="1"/>
    <cellStyle name="Гиперссылка 2" xfId="23960" hidden="1"/>
    <cellStyle name="Гиперссылка 2" xfId="23555" hidden="1"/>
    <cellStyle name="Гиперссылка 2" xfId="23582" hidden="1"/>
    <cellStyle name="Гиперссылка 2" xfId="23598" hidden="1"/>
    <cellStyle name="Гиперссылка 2" xfId="23601" hidden="1"/>
    <cellStyle name="Гиперссылка 2" xfId="23765" hidden="1"/>
    <cellStyle name="Гиперссылка 2" xfId="23707" hidden="1"/>
    <cellStyle name="Гиперссылка 2" xfId="23761" hidden="1"/>
    <cellStyle name="Гиперссылка 2" xfId="23701" hidden="1"/>
    <cellStyle name="Гиперссылка 2" xfId="23752" hidden="1"/>
    <cellStyle name="Гиперссылка 2" xfId="23591" hidden="1"/>
    <cellStyle name="Гиперссылка 2" xfId="23659" hidden="1"/>
    <cellStyle name="Гиперссылка 2" xfId="23691" hidden="1"/>
    <cellStyle name="Гиперссылка 2" xfId="23763" hidden="1"/>
    <cellStyle name="Гиперссылка 2" xfId="23663" hidden="1"/>
    <cellStyle name="Гиперссылка 2" xfId="24185" hidden="1"/>
    <cellStyle name="Гиперссылка 2" xfId="23849" hidden="1"/>
    <cellStyle name="Гиперссылка 2" xfId="23758" hidden="1"/>
    <cellStyle name="Гиперссылка 2" xfId="23680" hidden="1"/>
    <cellStyle name="Гиперссылка 2" xfId="23550" hidden="1"/>
    <cellStyle name="Гиперссылка 2" xfId="8812" hidden="1"/>
    <cellStyle name="Гиперссылка 2" xfId="24500" hidden="1"/>
    <cellStyle name="Гиперссылка 2" xfId="23897" hidden="1"/>
    <cellStyle name="Гиперссылка 2" xfId="8756" hidden="1"/>
    <cellStyle name="Гиперссылка 2" xfId="23590" hidden="1"/>
    <cellStyle name="Гиперссылка 2" xfId="24279" hidden="1"/>
    <cellStyle name="Гиперссылка 2" xfId="24120" hidden="1"/>
    <cellStyle name="Гиперссылка 2" xfId="23817" hidden="1"/>
    <cellStyle name="Гиперссылка 2" xfId="23884" hidden="1"/>
    <cellStyle name="Гиперссылка 2" xfId="24618" hidden="1"/>
    <cellStyle name="Гиперссылка 2" xfId="23629" hidden="1"/>
    <cellStyle name="Гиперссылка 2" xfId="24429" hidden="1"/>
    <cellStyle name="Гиперссылка 2" xfId="24492" hidden="1"/>
    <cellStyle name="Гиперссылка 2" xfId="23578" hidden="1"/>
    <cellStyle name="Гиперссылка 2" xfId="23928" hidden="1"/>
    <cellStyle name="Гиперссылка 2" xfId="23840" hidden="1"/>
    <cellStyle name="Гиперссылка 2" xfId="23573" hidden="1"/>
    <cellStyle name="Гиперссылка 2" xfId="23895" hidden="1"/>
    <cellStyle name="Гиперссылка 2" xfId="23627" hidden="1"/>
    <cellStyle name="Гиперссылка 2" xfId="24020" hidden="1"/>
    <cellStyle name="Гиперссылка 2" xfId="23689" hidden="1"/>
    <cellStyle name="Гиперссылка 2" xfId="23912" hidden="1"/>
    <cellStyle name="Гиперссылка 2" xfId="23847" hidden="1"/>
    <cellStyle name="Гиперссылка 2" xfId="24181" hidden="1"/>
    <cellStyle name="Гиперссылка 2" xfId="24263" hidden="1"/>
    <cellStyle name="Гиперссылка 2" xfId="23569" hidden="1"/>
    <cellStyle name="Гиперссылка 2" xfId="24104" hidden="1"/>
    <cellStyle name="Гиперссылка 2" xfId="23972" hidden="1"/>
    <cellStyle name="Гиперссылка 2" xfId="23727" hidden="1"/>
    <cellStyle name="Гиперссылка 2" xfId="23894" hidden="1"/>
    <cellStyle name="Гиперссылка 2" xfId="23873" hidden="1"/>
    <cellStyle name="Гиперссылка 2" xfId="9193" hidden="1"/>
    <cellStyle name="Гиперссылка 2" xfId="23812" hidden="1"/>
    <cellStyle name="Гиперссылка 2" xfId="24140" hidden="1"/>
    <cellStyle name="Гиперссылка 2" xfId="23633" hidden="1"/>
    <cellStyle name="Гиперссылка 2" xfId="23932" hidden="1"/>
    <cellStyle name="Гиперссылка 2" xfId="24413" hidden="1"/>
    <cellStyle name="Гиперссылка 2" xfId="24229" hidden="1"/>
    <cellStyle name="Гиперссылка 2" xfId="23818" hidden="1"/>
    <cellStyle name="Гиперссылка 2" xfId="23596" hidden="1"/>
    <cellStyle name="Гиперссылка 2" xfId="24424" hidden="1"/>
    <cellStyle name="Гиперссылка 2" xfId="23679" hidden="1"/>
    <cellStyle name="Гиперссылка 2" xfId="9610" hidden="1"/>
    <cellStyle name="Гиперссылка 2" xfId="23624" hidden="1"/>
    <cellStyle name="Гиперссылка 2" xfId="23853" hidden="1"/>
    <cellStyle name="Гиперссылка 2" xfId="24561" hidden="1"/>
    <cellStyle name="Гиперссылка 2" xfId="24431" hidden="1"/>
    <cellStyle name="Гиперссылка 2" xfId="8794" hidden="1"/>
    <cellStyle name="Гиперссылка 2" xfId="8830" hidden="1"/>
    <cellStyle name="Гиперссылка 2" xfId="8785" hidden="1"/>
    <cellStyle name="Гиперссылка 2" xfId="24123" hidden="1"/>
    <cellStyle name="Гиперссылка 2" xfId="8804" hidden="1"/>
    <cellStyle name="Гиперссылка 2" xfId="8764" hidden="1"/>
    <cellStyle name="Гиперссылка 2" xfId="8845" hidden="1"/>
    <cellStyle name="Гиперссылка 2" xfId="8784" hidden="1"/>
    <cellStyle name="Гиперссылка 2" xfId="23753" hidden="1"/>
    <cellStyle name="Гиперссылка 2" xfId="23692" hidden="1"/>
    <cellStyle name="Гиперссылка 2" xfId="24675" hidden="1"/>
    <cellStyle name="Гиперссылка 2" xfId="24562" hidden="1"/>
    <cellStyle name="Гиперссылка 2" xfId="24126" hidden="1"/>
    <cellStyle name="Гиперссылка 2" xfId="24284" hidden="1"/>
    <cellStyle name="Гиперссылка 2" xfId="23857" hidden="1"/>
    <cellStyle name="Гиперссылка 2" xfId="23967" hidden="1"/>
    <cellStyle name="Гиперссылка 2" xfId="24354" hidden="1"/>
    <cellStyle name="Гиперссылка 2" xfId="23570" hidden="1"/>
    <cellStyle name="Гиперссылка 2" xfId="24199" hidden="1"/>
    <cellStyle name="Гиперссылка 2" xfId="24045" hidden="1"/>
    <cellStyle name="Гиперссылка 2" xfId="23722" hidden="1"/>
    <cellStyle name="Гиперссылка 2" xfId="23660" hidden="1"/>
    <cellStyle name="Гиперссылка 2" xfId="9154" hidden="1"/>
    <cellStyle name="Гиперссылка 2" xfId="23908" hidden="1"/>
    <cellStyle name="Гиперссылка 2" xfId="23576" hidden="1"/>
    <cellStyle name="Гиперссылка 2" xfId="23909" hidden="1"/>
    <cellStyle name="Гиперссылка 2" xfId="23841" hidden="1"/>
    <cellStyle name="Гиперссылка 2" xfId="23800" hidden="1"/>
    <cellStyle name="Гиперссылка 2" xfId="9607" hidden="1"/>
    <cellStyle name="Гиперссылка 2" xfId="23814" hidden="1"/>
    <cellStyle name="Гиперссылка 2" xfId="23712" hidden="1"/>
    <cellStyle name="Гиперссылка 2" xfId="24300" hidden="1"/>
    <cellStyle name="Гиперссылка 2" xfId="24621" hidden="1"/>
    <cellStyle name="Гиперссылка 2" xfId="24197" hidden="1"/>
    <cellStyle name="Гиперссылка 2" xfId="24145" hidden="1"/>
    <cellStyle name="Гиперссылка 2" xfId="24626" hidden="1"/>
    <cellStyle name="Гиперссылка 2" xfId="23835" hidden="1"/>
    <cellStyle name="Гиперссылка 2" xfId="23982" hidden="1"/>
    <cellStyle name="Гиперссылка 2" xfId="24645" hidden="1"/>
    <cellStyle name="Гиперссылка 2" xfId="24524" hidden="1"/>
    <cellStyle name="Гиперссылка 2" xfId="23858" hidden="1"/>
    <cellStyle name="Гиперссылка 2" xfId="9158" hidden="1"/>
    <cellStyle name="Гиперссылка 2" xfId="24195" hidden="1"/>
    <cellStyle name="Гиперссылка 2" xfId="24348" hidden="1"/>
    <cellStyle name="Гиперссылка 2" xfId="23953" hidden="1"/>
    <cellStyle name="Гиперссылка 2" xfId="24037" hidden="1"/>
    <cellStyle name="Гиперссылка 2" xfId="23751" hidden="1"/>
    <cellStyle name="Гиперссылка 2" xfId="23553" hidden="1"/>
    <cellStyle name="Гиперссылка 2" xfId="24031" hidden="1"/>
    <cellStyle name="Гиперссылка 2" xfId="23916" hidden="1"/>
    <cellStyle name="Гиперссылка 2" xfId="24109" hidden="1"/>
    <cellStyle name="Гиперссылка 2" xfId="24676" hidden="1"/>
    <cellStyle name="Гиперссылка 2" xfId="23621" hidden="1"/>
    <cellStyle name="Гиперссылка 2" xfId="23839" hidden="1"/>
    <cellStyle name="Гиперссылка 2" xfId="24269" hidden="1"/>
    <cellStyle name="Гиперссылка 2" xfId="24344" hidden="1"/>
    <cellStyle name="Гиперссылка 2" xfId="24433" hidden="1"/>
    <cellStyle name="Гиперссылка 2" xfId="24496" hidden="1"/>
    <cellStyle name="Гиперссылка 2" xfId="24285" hidden="1"/>
    <cellStyle name="Гиперссылка 2" xfId="24128" hidden="1"/>
    <cellStyle name="Гиперссылка 2" xfId="24059" hidden="1"/>
    <cellStyle name="Гиперссылка 2" xfId="23876" hidden="1"/>
    <cellStyle name="Гиперссылка 2" xfId="23724" hidden="1"/>
    <cellStyle name="Гиперссылка 2" xfId="23918" hidden="1"/>
    <cellStyle name="Гиперссылка 2" xfId="23636" hidden="1"/>
    <cellStyle name="Гиперссылка 2" xfId="23626" hidden="1"/>
    <cellStyle name="Гиперссылка 2" xfId="23619" hidden="1"/>
    <cellStyle name="Гиперссылка 2" xfId="23846" hidden="1"/>
    <cellStyle name="Гиперссылка 2" xfId="24565" hidden="1"/>
    <cellStyle name="Гиперссылка 2" xfId="24615" hidden="1"/>
    <cellStyle name="Гиперссылка 2" xfId="23675" hidden="1"/>
    <cellStyle name="Гиперссылка 2" xfId="24043" hidden="1"/>
    <cellStyle name="Гиперссылка 2" xfId="24680" hidden="1"/>
    <cellStyle name="Гиперссылка 2" xfId="23572" hidden="1"/>
    <cellStyle name="Гиперссылка 2" xfId="24570" hidden="1"/>
    <cellStyle name="Гиперссылка 2" xfId="24214" hidden="1"/>
    <cellStyle name="Гиперссылка 2" xfId="24751" hidden="1"/>
    <cellStyle name="Гиперссылка 2" xfId="24750" hidden="1"/>
    <cellStyle name="Гиперссылка 2" xfId="24758" hidden="1"/>
    <cellStyle name="Гиперссылка 2" xfId="24759" hidden="1"/>
    <cellStyle name="Гиперссылка 2" xfId="24764" hidden="1"/>
    <cellStyle name="Гиперссылка 2" xfId="24765" hidden="1"/>
    <cellStyle name="Гиперссылка 2" xfId="24761" hidden="1"/>
    <cellStyle name="Гиперссылка 2" xfId="24760" hidden="1"/>
    <cellStyle name="Гиперссылка 2" xfId="24763" hidden="1"/>
    <cellStyle name="Гиперссылка 2" xfId="24762" hidden="1"/>
    <cellStyle name="Гиперссылка 2" xfId="24767" hidden="1"/>
    <cellStyle name="Гиперссылка 2" xfId="24766" hidden="1"/>
    <cellStyle name="Гиперссылка 2" xfId="24769" hidden="1"/>
    <cellStyle name="Гиперссылка 2" xfId="24770" hidden="1"/>
    <cellStyle name="Гиперссылка 2" xfId="24775" hidden="1"/>
    <cellStyle name="Гиперссылка 2" xfId="24776" hidden="1"/>
    <cellStyle name="Гиперссылка 2" xfId="24772" hidden="1"/>
    <cellStyle name="Гиперссылка 2" xfId="24771" hidden="1"/>
    <cellStyle name="Гиперссылка 2" xfId="24774" hidden="1"/>
    <cellStyle name="Гиперссылка 2" xfId="24773" hidden="1"/>
    <cellStyle name="Гиперссылка 2" xfId="24778" hidden="1"/>
    <cellStyle name="Гиперссылка 2" xfId="24777" hidden="1"/>
    <cellStyle name="Гиперссылка 2" xfId="24779" hidden="1"/>
    <cellStyle name="Гиперссылка 2" xfId="24780" hidden="1"/>
    <cellStyle name="Гиперссылка 2" xfId="24785" hidden="1"/>
    <cellStyle name="Гиперссылка 2" xfId="24786" hidden="1"/>
    <cellStyle name="Гиперссылка 2" xfId="24782" hidden="1"/>
    <cellStyle name="Гиперссылка 2" xfId="24781" hidden="1"/>
    <cellStyle name="Гиперссылка 2" xfId="24784" hidden="1"/>
    <cellStyle name="Гиперссылка 2" xfId="24783" hidden="1"/>
    <cellStyle name="Гиперссылка 2" xfId="24788" hidden="1"/>
    <cellStyle name="Гиперссылка 2" xfId="24787" hidden="1"/>
    <cellStyle name="Гиперссылка 2" xfId="24132" hidden="1"/>
    <cellStyle name="Гиперссылка 2" xfId="23813" hidden="1"/>
    <cellStyle name="Гиперссылка 2" xfId="23949" hidden="1"/>
    <cellStyle name="Гиперссылка 2" xfId="23945" hidden="1"/>
    <cellStyle name="Гиперссылка 2" xfId="24479" hidden="1"/>
    <cellStyle name="Гиперссылка 2" xfId="24755" hidden="1"/>
    <cellStyle name="Гиперссылка 2" xfId="23863" hidden="1"/>
    <cellStyle name="Гиперссылка 2" xfId="24042" hidden="1"/>
    <cellStyle name="Гиперссылка 2" xfId="24814" hidden="1"/>
    <cellStyle name="Гиперссылка 2" xfId="24813" hidden="1"/>
    <cellStyle name="Гиперссылка 2" xfId="24821" hidden="1"/>
    <cellStyle name="Гиперссылка 2" xfId="24822" hidden="1"/>
    <cellStyle name="Гиперссылка 2" xfId="24827" hidden="1"/>
    <cellStyle name="Гиперссылка 2" xfId="24828" hidden="1"/>
    <cellStyle name="Гиперссылка 2" xfId="24824" hidden="1"/>
    <cellStyle name="Гиперссылка 2" xfId="24823" hidden="1"/>
    <cellStyle name="Гиперссылка 2" xfId="24826" hidden="1"/>
    <cellStyle name="Гиперссылка 2" xfId="24825" hidden="1"/>
    <cellStyle name="Гиперссылка 2" xfId="24830" hidden="1"/>
    <cellStyle name="Гиперссылка 2" xfId="24829" hidden="1"/>
    <cellStyle name="Гиперссылка 2" xfId="24831" hidden="1"/>
    <cellStyle name="Гиперссылка 2" xfId="24832" hidden="1"/>
    <cellStyle name="Гиперссылка 2" xfId="24837" hidden="1"/>
    <cellStyle name="Гиперссылка 2" xfId="24838" hidden="1"/>
    <cellStyle name="Гиперссылка 2" xfId="24834" hidden="1"/>
    <cellStyle name="Гиперссылка 2" xfId="24833" hidden="1"/>
    <cellStyle name="Гиперссылка 2" xfId="24836" hidden="1"/>
    <cellStyle name="Гиперссылка 2" xfId="24835" hidden="1"/>
    <cellStyle name="Гиперссылка 2" xfId="24840" hidden="1"/>
    <cellStyle name="Гиперссылка 2" xfId="24839" hidden="1"/>
    <cellStyle name="Гиперссылка 2" xfId="24841" hidden="1"/>
    <cellStyle name="Гиперссылка 2" xfId="24842" hidden="1"/>
    <cellStyle name="Гиперссылка 2" xfId="24847" hidden="1"/>
    <cellStyle name="Гиперссылка 2" xfId="24848" hidden="1"/>
    <cellStyle name="Гиперссылка 2" xfId="24844" hidden="1"/>
    <cellStyle name="Гиперссылка 2" xfId="24843" hidden="1"/>
    <cellStyle name="Гиперссылка 2" xfId="24846" hidden="1"/>
    <cellStyle name="Гиперссылка 2" xfId="24845" hidden="1"/>
    <cellStyle name="Гиперссылка 2" xfId="24850" hidden="1"/>
    <cellStyle name="Гиперссылка 2" xfId="24849" hidden="1"/>
    <cellStyle name="Гиперссылка 2" xfId="8806" hidden="1"/>
    <cellStyle name="Гиперссылка 2" xfId="23963" hidden="1"/>
    <cellStyle name="Гиперссылка 2" xfId="23593" hidden="1"/>
    <cellStyle name="Гиперссылка 2" xfId="24569" hidden="1"/>
    <cellStyle name="Гиперссылка 2" xfId="24797" hidden="1"/>
    <cellStyle name="Гиперссылка 2" xfId="24818" hidden="1"/>
    <cellStyle name="Гиперссылка 2" xfId="23883" hidden="1"/>
    <cellStyle name="Гиперссылка 2" xfId="24791" hidden="1"/>
    <cellStyle name="Гиперссылка 2" xfId="24872" hidden="1"/>
    <cellStyle name="Гиперссылка 2" xfId="24871" hidden="1"/>
    <cellStyle name="Гиперссылка 2" xfId="24883" hidden="1"/>
    <cellStyle name="Гиперссылка 2" xfId="24884" hidden="1"/>
    <cellStyle name="Гиперссылка 2" xfId="24889" hidden="1"/>
    <cellStyle name="Гиперссылка 2" xfId="24890" hidden="1"/>
    <cellStyle name="Гиперссылка 2" xfId="24886" hidden="1"/>
    <cellStyle name="Гиперссылка 2" xfId="24885" hidden="1"/>
    <cellStyle name="Гиперссылка 2" xfId="24888" hidden="1"/>
    <cellStyle name="Гиперссылка 2" xfId="24887" hidden="1"/>
    <cellStyle name="Гиперссылка 2" xfId="24892" hidden="1"/>
    <cellStyle name="Гиперссылка 2" xfId="24891" hidden="1"/>
    <cellStyle name="Гиперссылка 2" xfId="24895" hidden="1"/>
    <cellStyle name="Гиперссылка 2" xfId="24896" hidden="1"/>
    <cellStyle name="Гиперссылка 2" xfId="24901" hidden="1"/>
    <cellStyle name="Гиперссылка 2" xfId="24902" hidden="1"/>
    <cellStyle name="Гиперссылка 2" xfId="24898" hidden="1"/>
    <cellStyle name="Гиперссылка 2" xfId="24897" hidden="1"/>
    <cellStyle name="Гиперссылка 2" xfId="24900" hidden="1"/>
    <cellStyle name="Гиперссылка 2" xfId="24899" hidden="1"/>
    <cellStyle name="Гиперссылка 2" xfId="24904" hidden="1"/>
    <cellStyle name="Гиперссылка 2" xfId="24903" hidden="1"/>
    <cellStyle name="Гиперссылка 2" xfId="24905" hidden="1"/>
    <cellStyle name="Гиперссылка 2" xfId="24906" hidden="1"/>
    <cellStyle name="Гиперссылка 2" xfId="24911" hidden="1"/>
    <cellStyle name="Гиперссылка 2" xfId="24912" hidden="1"/>
    <cellStyle name="Гиперссылка 2" xfId="24908" hidden="1"/>
    <cellStyle name="Гиперссылка 2" xfId="24907" hidden="1"/>
    <cellStyle name="Гиперссылка 2" xfId="24910" hidden="1"/>
    <cellStyle name="Гиперссылка 2" xfId="24909" hidden="1"/>
    <cellStyle name="Гиперссылка 2" xfId="24914" hidden="1"/>
    <cellStyle name="Гиперссылка 2" xfId="24913" hidden="1"/>
    <cellStyle name="Гиперссылка 2" xfId="24792" hidden="1"/>
    <cellStyle name="Гиперссылка 2" xfId="24356" hidden="1"/>
    <cellStyle name="Гиперссылка 2" xfId="24122" hidden="1"/>
    <cellStyle name="Гиперссылка 2" xfId="23614" hidden="1"/>
    <cellStyle name="Гиперссылка 2" xfId="24857" hidden="1"/>
    <cellStyle name="Гиперссылка 2" xfId="24878" hidden="1"/>
    <cellStyle name="Гиперссылка 2" xfId="24427" hidden="1"/>
    <cellStyle name="Гиперссылка 2" xfId="24853" hidden="1"/>
    <cellStyle name="Гиперссылка 2" xfId="24931" hidden="1"/>
    <cellStyle name="Гиперссылка 2" xfId="24930" hidden="1"/>
    <cellStyle name="Гиперссылка 2" xfId="24941" hidden="1"/>
    <cellStyle name="Гиперссылка 2" xfId="24942" hidden="1"/>
    <cellStyle name="Гиперссылка 2" xfId="24947" hidden="1"/>
    <cellStyle name="Гиперссылка 2" xfId="24948" hidden="1"/>
    <cellStyle name="Гиперссылка 2" xfId="24944" hidden="1"/>
    <cellStyle name="Гиперссылка 2" xfId="24943" hidden="1"/>
    <cellStyle name="Гиперссылка 2" xfId="24946" hidden="1"/>
    <cellStyle name="Гиперссылка 2" xfId="24945" hidden="1"/>
    <cellStyle name="Гиперссылка 2" xfId="24950" hidden="1"/>
    <cellStyle name="Гиперссылка 2" xfId="24949" hidden="1"/>
    <cellStyle name="Гиперссылка 2" xfId="24951" hidden="1"/>
    <cellStyle name="Гиперссылка 2" xfId="24952" hidden="1"/>
    <cellStyle name="Гиперссылка 2" xfId="24957" hidden="1"/>
    <cellStyle name="Гиперссылка 2" xfId="24958" hidden="1"/>
    <cellStyle name="Гиперссылка 2" xfId="24954" hidden="1"/>
    <cellStyle name="Гиперссылка 2" xfId="24953" hidden="1"/>
    <cellStyle name="Гиперссылка 2" xfId="24956" hidden="1"/>
    <cellStyle name="Гиперссылка 2" xfId="24955" hidden="1"/>
    <cellStyle name="Гиперссылка 2" xfId="24960" hidden="1"/>
    <cellStyle name="Гиперссылка 2" xfId="24959" hidden="1"/>
    <cellStyle name="Гиперссылка 2" xfId="24961" hidden="1"/>
    <cellStyle name="Гиперссылка 2" xfId="24962" hidden="1"/>
    <cellStyle name="Гиперссылка 2" xfId="24967" hidden="1"/>
    <cellStyle name="Гиперссылка 2" xfId="24968" hidden="1"/>
    <cellStyle name="Гиперссылка 2" xfId="24964" hidden="1"/>
    <cellStyle name="Гиперссылка 2" xfId="24963" hidden="1"/>
    <cellStyle name="Гиперссылка 2" xfId="24966" hidden="1"/>
    <cellStyle name="Гиперссылка 2" xfId="24965" hidden="1"/>
    <cellStyle name="Гиперссылка 2" xfId="24970" hidden="1"/>
    <cellStyle name="Гиперссылка 2" xfId="24969" hidden="1"/>
    <cellStyle name="Гиперссылка 2" xfId="24854" hidden="1"/>
    <cellStyle name="Гиперссылка 2" xfId="24337" hidden="1"/>
    <cellStyle name="Гиперссылка 2" xfId="24223" hidden="1"/>
    <cellStyle name="Гиперссылка 2" xfId="23931" hidden="1"/>
    <cellStyle name="Гиперссылка 2" xfId="24920" hidden="1"/>
    <cellStyle name="Гиперссылка 2" xfId="24937" hidden="1"/>
    <cellStyle name="Гиперссылка 2" xfId="24509" hidden="1"/>
    <cellStyle name="Гиперссылка 2" xfId="24917" hidden="1"/>
    <cellStyle name="Гиперссылка 2" xfId="24985" hidden="1"/>
    <cellStyle name="Гиперссылка 2" xfId="24984" hidden="1"/>
    <cellStyle name="Гиперссылка 2" xfId="24990" hidden="1"/>
    <cellStyle name="Гиперссылка 2" xfId="24991" hidden="1"/>
    <cellStyle name="Гиперссылка 2" xfId="24996" hidden="1"/>
    <cellStyle name="Гиперссылка 2" xfId="24997" hidden="1"/>
    <cellStyle name="Гиперссылка 2" xfId="24993" hidden="1"/>
    <cellStyle name="Гиперссылка 2" xfId="24992" hidden="1"/>
    <cellStyle name="Гиперссылка 2" xfId="24995" hidden="1"/>
    <cellStyle name="Гиперссылка 2" xfId="24994" hidden="1"/>
    <cellStyle name="Гиперссылка 2" xfId="24999" hidden="1"/>
    <cellStyle name="Гиперссылка 2" xfId="24998" hidden="1"/>
    <cellStyle name="Гиперссылка 2" xfId="25001" hidden="1"/>
    <cellStyle name="Гиперссылка 2" xfId="25002" hidden="1"/>
    <cellStyle name="Гиперссылка 2" xfId="25007" hidden="1"/>
    <cellStyle name="Гиперссылка 2" xfId="25008" hidden="1"/>
    <cellStyle name="Гиперссылка 2" xfId="25004" hidden="1"/>
    <cellStyle name="Гиперссылка 2" xfId="25003" hidden="1"/>
    <cellStyle name="Гиперссылка 2" xfId="25006" hidden="1"/>
    <cellStyle name="Гиперссылка 2" xfId="25005" hidden="1"/>
    <cellStyle name="Гиперссылка 2" xfId="25010" hidden="1"/>
    <cellStyle name="Гиперссылка 2" xfId="25009" hidden="1"/>
    <cellStyle name="Гиперссылка 2" xfId="25011" hidden="1"/>
    <cellStyle name="Гиперссылка 2" xfId="25012" hidden="1"/>
    <cellStyle name="Гиперссылка 2" xfId="25017" hidden="1"/>
    <cellStyle name="Гиперссылка 2" xfId="25018" hidden="1"/>
    <cellStyle name="Гиперссылка 2" xfId="25014" hidden="1"/>
    <cellStyle name="Гиперссылка 2" xfId="25013" hidden="1"/>
    <cellStyle name="Гиперссылка 2" xfId="25016" hidden="1"/>
    <cellStyle name="Гиперссылка 2" xfId="25015" hidden="1"/>
    <cellStyle name="Гиперссылка 2" xfId="25020" hidden="1"/>
    <cellStyle name="Гиперссылка 2" xfId="25019" hidden="1"/>
    <cellStyle name="Гиперссылка 2" xfId="24918" hidden="1"/>
    <cellStyle name="Гиперссылка 2" xfId="24422" hidden="1"/>
    <cellStyle name="Гиперссылка 2" xfId="23845" hidden="1"/>
    <cellStyle name="Гиперссылка 2" xfId="24215" hidden="1"/>
    <cellStyle name="Гиперссылка 2" xfId="24973" hidden="1"/>
    <cellStyle name="Гиперссылка 2" xfId="24989" hidden="1"/>
    <cellStyle name="Гиперссылка 2" xfId="24744" hidden="1"/>
    <cellStyle name="Гиперссылка 2" xfId="24971" hidden="1"/>
    <cellStyle name="Гиперссылка 2" xfId="25032" hidden="1"/>
    <cellStyle name="Гиперссылка 2" xfId="25031" hidden="1"/>
    <cellStyle name="Гиперссылка 2" xfId="25035" hidden="1"/>
    <cellStyle name="Гиперссылка 2" xfId="25036" hidden="1"/>
    <cellStyle name="Гиперссылка 2" xfId="25041" hidden="1"/>
    <cellStyle name="Гиперссылка 2" xfId="25042" hidden="1"/>
    <cellStyle name="Гиперссылка 2" xfId="25038" hidden="1"/>
    <cellStyle name="Гиперссылка 2" xfId="25037" hidden="1"/>
    <cellStyle name="Гиперссылка 2" xfId="25040" hidden="1"/>
    <cellStyle name="Гиперссылка 2" xfId="25039" hidden="1"/>
    <cellStyle name="Гиперссылка 2" xfId="25044" hidden="1"/>
    <cellStyle name="Гиперссылка 2" xfId="25043" hidden="1"/>
    <cellStyle name="Гиперссылка 2" xfId="25045" hidden="1"/>
    <cellStyle name="Гиперссылка 2" xfId="25046" hidden="1"/>
    <cellStyle name="Гиперссылка 2" xfId="25051" hidden="1"/>
    <cellStyle name="Гиперссылка 2" xfId="25052" hidden="1"/>
    <cellStyle name="Гиперссылка 2" xfId="25048" hidden="1"/>
    <cellStyle name="Гиперссылка 2" xfId="25047" hidden="1"/>
    <cellStyle name="Гиперссылка 2" xfId="25050" hidden="1"/>
    <cellStyle name="Гиперссылка 2" xfId="25049" hidden="1"/>
    <cellStyle name="Гиперссылка 2" xfId="25054" hidden="1"/>
    <cellStyle name="Гиперссылка 2" xfId="25053" hidden="1"/>
    <cellStyle name="Гиперссылка 2" xfId="25055" hidden="1"/>
    <cellStyle name="Гиперссылка 2" xfId="25056" hidden="1"/>
    <cellStyle name="Гиперссылка 2" xfId="25061" hidden="1"/>
    <cellStyle name="Гиперссылка 2" xfId="25062" hidden="1"/>
    <cellStyle name="Гиперссылка 2" xfId="25058" hidden="1"/>
    <cellStyle name="Гиперссылка 2" xfId="25057" hidden="1"/>
    <cellStyle name="Гиперссылка 2" xfId="25060" hidden="1"/>
    <cellStyle name="Гиперссылка 2" xfId="25059" hidden="1"/>
    <cellStyle name="Гиперссылка 2" xfId="25064" hidden="1"/>
    <cellStyle name="Гиперссылка 2" xfId="25063" hidden="1"/>
    <cellStyle name="Гиперссылка 2" xfId="24972" hidden="1"/>
    <cellStyle name="Гиперссылка 2" xfId="24131" hidden="1"/>
    <cellStyle name="Гиперссылка 2" xfId="24796" hidden="1"/>
    <cellStyle name="Гиперссылка 2" xfId="23927" hidden="1"/>
    <cellStyle name="Гиперссылка 2" xfId="25024" hidden="1"/>
    <cellStyle name="Гиперссылка 2" xfId="25034" hidden="1"/>
    <cellStyle name="Гиперссылка 2" xfId="24804" hidden="1"/>
    <cellStyle name="Гиперссылка 2" xfId="25022" hidden="1"/>
    <cellStyle name="Гиперссылка 2" xfId="25066" hidden="1"/>
    <cellStyle name="Гиперссылка 2" xfId="25065" hidden="1"/>
    <cellStyle name="Гиперссылка 2" xfId="25067" hidden="1"/>
    <cellStyle name="Гиперссылка 2" xfId="25068" hidden="1"/>
    <cellStyle name="Гиперссылка 2" xfId="25073" hidden="1"/>
    <cellStyle name="Гиперссылка 2" xfId="25074" hidden="1"/>
    <cellStyle name="Гиперссылка 2" xfId="25070" hidden="1"/>
    <cellStyle name="Гиперссылка 2" xfId="25069" hidden="1"/>
    <cellStyle name="Гиперссылка 2" xfId="25072" hidden="1"/>
    <cellStyle name="Гиперссылка 2" xfId="25071" hidden="1"/>
    <cellStyle name="Гиперссылка 2" xfId="25076" hidden="1"/>
    <cellStyle name="Гиперссылка 2" xfId="25075" hidden="1"/>
    <cellStyle name="Гиперссылка 2" xfId="25077" hidden="1"/>
    <cellStyle name="Гиперссылка 2" xfId="25078" hidden="1"/>
    <cellStyle name="Гиперссылка 2" xfId="25083" hidden="1"/>
    <cellStyle name="Гиперссылка 2" xfId="25084" hidden="1"/>
    <cellStyle name="Гиперссылка 2" xfId="25080" hidden="1"/>
    <cellStyle name="Гиперссылка 2" xfId="25079" hidden="1"/>
    <cellStyle name="Гиперссылка 2" xfId="25082" hidden="1"/>
    <cellStyle name="Гиперссылка 2" xfId="25081" hidden="1"/>
    <cellStyle name="Гиперссылка 2" xfId="25086" hidden="1"/>
    <cellStyle name="Гиперссылка 2" xfId="25085" hidden="1"/>
    <cellStyle name="Гиперссылка 2" xfId="25087" hidden="1"/>
    <cellStyle name="Гиперссылка 2" xfId="25088" hidden="1"/>
    <cellStyle name="Гиперссылка 2" xfId="25093" hidden="1"/>
    <cellStyle name="Гиперссылка 2" xfId="25094" hidden="1"/>
    <cellStyle name="Гиперссылка 2" xfId="25090" hidden="1"/>
    <cellStyle name="Гиперссылка 2" xfId="25089" hidden="1"/>
    <cellStyle name="Гиперссылка 2" xfId="25092" hidden="1"/>
    <cellStyle name="Гиперссылка 2" xfId="25091" hidden="1"/>
    <cellStyle name="Гиперссылка 2" xfId="25096" hidden="1"/>
    <cellStyle name="Гиперссылка 2" xfId="25095" hidden="1"/>
    <cellStyle name="Гиперссылка 2" xfId="23628" hidden="1"/>
    <cellStyle name="Гиперссылка 2" xfId="23567" hidden="1"/>
    <cellStyle name="Гиперссылка 2" xfId="24874" hidden="1"/>
    <cellStyle name="Гиперссылка 2" xfId="23859" hidden="1"/>
    <cellStyle name="Гиперссылка 2" xfId="8842" hidden="1"/>
    <cellStyle name="Гиперссылка 2" xfId="24228" hidden="1"/>
    <cellStyle name="Гиперссылка 2" xfId="24630" hidden="1"/>
    <cellStyle name="Гиперссылка 2" xfId="24063" hidden="1"/>
    <cellStyle name="Гиперссылка 2" xfId="24432" hidden="1"/>
    <cellStyle name="Гиперссылка 2" xfId="23698" hidden="1"/>
    <cellStyle name="Гиперссылка 2" xfId="24981" hidden="1"/>
    <cellStyle name="Гиперссылка 2" xfId="24864" hidden="1"/>
    <cellStyle name="Гиперссылка 2" xfId="24619" hidden="1"/>
    <cellStyle name="Гиперссылка 2" xfId="23882" hidden="1"/>
    <cellStyle name="Гиперссылка 2" xfId="24811" hidden="1"/>
    <cellStyle name="Гиперссылка 2" xfId="24928" hidden="1"/>
    <cellStyle name="Гиперссылка 2" xfId="23973" hidden="1"/>
    <cellStyle name="Гиперссылка 2" xfId="24352" hidden="1"/>
    <cellStyle name="Гиперссылка 2" xfId="23826" hidden="1"/>
    <cellStyle name="Гиперссылка 2" xfId="23764" hidden="1"/>
    <cellStyle name="Гиперссылка 2" xfId="23653" hidden="1"/>
    <cellStyle name="Гиперссылка 2" xfId="24497" hidden="1"/>
    <cellStyle name="Гиперссылка 2" xfId="23855" hidden="1"/>
    <cellStyle name="Гиперссылка 2" xfId="23740" hidden="1"/>
    <cellStyle name="Гиперссылка 2" xfId="24418" hidden="1"/>
    <cellStyle name="Гиперссылка 2" xfId="24118" hidden="1"/>
    <cellStyle name="Гиперссылка 2" xfId="24417" hidden="1"/>
    <cellStyle name="Гиперссылка 2" xfId="23947" hidden="1"/>
    <cellStyle name="Гиперссылка 2" xfId="23968" hidden="1"/>
    <cellStyle name="Гиперссылка 2" xfId="8802" hidden="1"/>
    <cellStyle name="Гиперссылка 2" xfId="23979" hidden="1"/>
    <cellStyle name="Гиперссылка 2" xfId="24201" hidden="1"/>
    <cellStyle name="Гиперссылка 2" xfId="24282" hidden="1"/>
    <cellStyle name="Гиперссылка 2" xfId="23635" hidden="1"/>
    <cellStyle name="Гиперссылка 2" xfId="24186" hidden="1"/>
    <cellStyle name="Гиперссылка 2" xfId="24423" hidden="1"/>
    <cellStyle name="Гиперссылка 2" xfId="24230" hidden="1"/>
    <cellStyle name="Гиперссылка 2" xfId="23862" hidden="1"/>
    <cellStyle name="Гиперссылка 2" xfId="23915" hidden="1"/>
    <cellStyle name="Гиперссылка 2" xfId="23726" hidden="1"/>
    <cellStyle name="Гиперссылка 2" xfId="23705" hidden="1"/>
    <cellStyle name="Гиперссылка 2" xfId="24134" hidden="1"/>
    <cellStyle name="Гиперссылка 2" xfId="23869" hidden="1"/>
    <cellStyle name="Гиперссылка 2" xfId="23958" hidden="1"/>
    <cellStyle name="Гиперссылка 2" xfId="24448" hidden="1"/>
    <cellStyle name="Гиперссылка 2" xfId="24034" hidden="1"/>
    <cellStyle name="Гиперссылка 2" xfId="24923" hidden="1"/>
    <cellStyle name="Гиперссылка 2" xfId="24976" hidden="1"/>
    <cellStyle name="Гиперссылка 2" xfId="8874" hidden="1"/>
    <cellStyle name="Гиперссылка 2" xfId="24032" hidden="1"/>
    <cellStyle name="Гиперссылка 2" xfId="23729" hidden="1"/>
    <cellStyle name="Гиперссылка 2" xfId="24213" hidden="1"/>
    <cellStyle name="Гиперссылка 2" xfId="24507" hidden="1"/>
    <cellStyle name="Гиперссылка 2" xfId="23851" hidden="1"/>
    <cellStyle name="Гиперссылка 2" xfId="23716" hidden="1"/>
    <cellStyle name="Гиперссылка 2" xfId="24577" hidden="1"/>
    <cellStyle name="Гиперссылка 2" xfId="24545" hidden="1"/>
    <cellStyle name="Гиперссылка 2" xfId="24189" hidden="1"/>
    <cellStyle name="Гиперссылка 2" xfId="9160" hidden="1"/>
    <cellStyle name="Гиперссылка 2" xfId="23867" hidden="1"/>
    <cellStyle name="Гиперссылка 2" xfId="24938" hidden="1"/>
    <cellStyle name="Гиперссылка 2" xfId="24819" hidden="1"/>
    <cellStyle name="Гиперссылка 2" xfId="23678" hidden="1"/>
    <cellStyle name="Гиперссылка 2" xfId="24299" hidden="1"/>
    <cellStyle name="Гиперссылка 2" xfId="24925" hidden="1"/>
    <cellStyle name="Гиперссылка 2" xfId="25027" hidden="1"/>
    <cellStyle name="Гиперссылка 2" xfId="24747" hidden="1"/>
    <cellStyle name="Гиперссылка 2" xfId="24806" hidden="1"/>
    <cellStyle name="Гиперссылка 2" xfId="23551" hidden="1"/>
    <cellStyle name="Гиперссылка 2" xfId="9164" hidden="1"/>
    <cellStyle name="Гиперссылка 2" xfId="24503" hidden="1"/>
    <cellStyle name="Гиперссылка 2" xfId="24224" hidden="1"/>
    <cellStyle name="Гиперссылка 2" xfId="24816" hidden="1"/>
    <cellStyle name="Гиперссылка 2" xfId="24550" hidden="1"/>
    <cellStyle name="Гиперссылка 2" xfId="23808" hidden="1"/>
    <cellStyle name="Гиперссылка 2" xfId="24130" hidden="1"/>
    <cellStyle name="Гиперссылка 2" xfId="24934" hidden="1"/>
    <cellStyle name="Гиперссылка 2" xfId="23585" hidden="1"/>
    <cellStyle name="Гиперссылка 2" xfId="24935" hidden="1"/>
    <cellStyle name="Гиперссылка 2" xfId="24987" hidden="1"/>
    <cellStyle name="Гиперссылка 2" xfId="23892" hidden="1"/>
    <cellStyle name="Гиперссылка 2" xfId="24632" hidden="1"/>
    <cellStyle name="Гиперссылка 2" xfId="24865" hidden="1"/>
    <cellStyle name="Гиперссылка 2" xfId="23810" hidden="1"/>
    <cellStyle name="Гиперссылка 2" xfId="23811" hidden="1"/>
    <cellStyle name="Гиперссылка 2" xfId="8800" hidden="1"/>
    <cellStyle name="Гиперссылка 2" xfId="24062" hidden="1"/>
    <cellStyle name="Гиперссылка 2" xfId="24053" hidden="1"/>
    <cellStyle name="Гиперссылка 2" xfId="23559" hidden="1"/>
    <cellStyle name="Гиперссылка 2" xfId="24441" hidden="1"/>
    <cellStyle name="Гиперссылка 2" xfId="24098" hidden="1"/>
    <cellStyle name="Гиперссылка 2" xfId="9341" hidden="1"/>
    <cellStyle name="Гиперссылка 2" xfId="23799" hidden="1"/>
    <cellStyle name="Гиперссылка 2" xfId="23638" hidden="1"/>
    <cellStyle name="Гиперссылка 2" xfId="24893" hidden="1"/>
    <cellStyle name="Гиперссылка 2" xfId="23819" hidden="1"/>
    <cellStyle name="Гиперссылка 2" xfId="23690" hidden="1"/>
    <cellStyle name="Гиперссылка 2" xfId="24768" hidden="1"/>
    <cellStyle name="Гиперссылка 2" xfId="23746" hidden="1"/>
    <cellStyle name="Гиперссылка 2" xfId="23652" hidden="1"/>
    <cellStyle name="Гиперссылка 2" xfId="24298" hidden="1"/>
    <cellStyle name="Гиперссылка 2" xfId="24200" hidden="1"/>
    <cellStyle name="Гиперссылка 2" xfId="23706" hidden="1"/>
    <cellStyle name="Гиперссылка 2" xfId="24482" hidden="1"/>
    <cellStyle name="Гиперссылка 2" xfId="24668" hidden="1"/>
    <cellStyle name="Гиперссылка 2" xfId="24374" hidden="1"/>
    <cellStyle name="Гиперссылка 2" xfId="23806" hidden="1"/>
    <cellStyle name="Гиперссылка 2" xfId="23848" hidden="1"/>
    <cellStyle name="Гиперссылка 2" xfId="23646" hidden="1"/>
    <cellStyle name="Гиперссылка 2" xfId="24378" hidden="1"/>
    <cellStyle name="Гиперссылка 2" xfId="24127" hidden="1"/>
    <cellStyle name="Гиперссылка 2" xfId="24141" hidden="1"/>
    <cellStyle name="Гиперссылка 2" xfId="24066" hidden="1"/>
    <cellStyle name="Гиперссылка 2" xfId="24124" hidden="1"/>
    <cellStyle name="Гиперссылка 2" xfId="24112" hidden="1"/>
    <cellStyle name="Гиперссылка 2" xfId="24288" hidden="1"/>
    <cellStyle name="Гиперссылка 2" xfId="23581" hidden="1"/>
    <cellStyle name="Гиперссылка 2" xfId="23919" hidden="1"/>
    <cellStyle name="Гиперссылка 2" xfId="23571" hidden="1"/>
    <cellStyle name="Гиперссылка 2" xfId="24280" hidden="1"/>
    <cellStyle name="Гиперссылка 2" xfId="24498" hidden="1"/>
    <cellStyle name="Гиперссылка 2" xfId="24553" hidden="1"/>
    <cellStyle name="Гиперссылка 2" xfId="24512" hidden="1"/>
    <cellStyle name="Гиперссылка 2" xfId="23941" hidden="1"/>
    <cellStyle name="Гиперссылка 2" xfId="23888" hidden="1"/>
    <cellStyle name="Гиперссылка 2" xfId="8798" hidden="1"/>
    <cellStyle name="Гиперссылка 2" xfId="24869" hidden="1"/>
    <cellStyle name="Гиперссылка 2" xfId="24483" hidden="1"/>
    <cellStyle name="Гиперссылка 2" xfId="23552" hidden="1"/>
    <cellStyle name="Гиперссылка 2" xfId="24366" hidden="1"/>
    <cellStyle name="Гиперссылка 2" xfId="24226" hidden="1"/>
    <cellStyle name="Гиперссылка 2" xfId="23747" hidden="1"/>
    <cellStyle name="Гиперссылка 2" xfId="24576" hidden="1"/>
    <cellStyle name="Гиперссылка 2" xfId="24377" hidden="1"/>
    <cellStyle name="Гиперссылка 2" xfId="24977" hidden="1"/>
    <cellStyle name="Гиперссылка 2" xfId="24671" hidden="1"/>
    <cellStyle name="Гиперссылка 2" xfId="24805" hidden="1"/>
    <cellStyle name="Гиперссылка 2" xfId="24862" hidden="1"/>
    <cellStyle name="Гиперссылка 2" xfId="24547" hidden="1"/>
    <cellStyle name="Гиперссылка 2" xfId="23643" hidden="1"/>
    <cellStyle name="Гиперссылка 2" xfId="24342" hidden="1"/>
    <cellStyle name="Гиперссылка 2" xfId="24139" hidden="1"/>
    <cellStyle name="Гиперссылка 2" xfId="23586" hidden="1"/>
    <cellStyle name="Гиперссылка 2" xfId="24115" hidden="1"/>
    <cellStyle name="Гиперссылка 2" xfId="24443" hidden="1"/>
    <cellStyle name="Гиперссылка 2" xfId="24103" hidden="1"/>
    <cellStyle name="Гиперссылка 2" xfId="23924" hidden="1"/>
    <cellStyle name="Гиперссылка 2" xfId="23666" hidden="1"/>
    <cellStyle name="Гиперссылка 2" xfId="23978" hidden="1"/>
    <cellStyle name="Гиперссылка 2" xfId="23899" hidden="1"/>
    <cellStyle name="Гиперссылка 2" xfId="23762" hidden="1"/>
    <cellStyle name="Гиперссылка 2" xfId="9483" hidden="1"/>
    <cellStyle name="Гиперссылка 2" xfId="23971" hidden="1"/>
    <cellStyle name="Гиперссылка 2" xfId="23925" hidden="1"/>
    <cellStyle name="Гиперссылка 2" xfId="24672" hidden="1"/>
    <cellStyle name="Гиперссылка 2" xfId="24036" hidden="1"/>
    <cellStyle name="Гиперссылка 2" xfId="23685" hidden="1"/>
    <cellStyle name="Гиперссылка 2" xfId="23986" hidden="1"/>
    <cellStyle name="Гиперссылка 2" xfId="23625" hidden="1"/>
    <cellStyle name="Гиперссылка 2" xfId="23757" hidden="1"/>
    <cellStyle name="Гиперссылка 2" xfId="23756" hidden="1"/>
    <cellStyle name="Гиперссылка 2" xfId="24790" hidden="1"/>
    <cellStyle name="Гиперссылка 2" xfId="24554" hidden="1"/>
    <cellStyle name="Гиперссылка 2" xfId="24510" hidden="1"/>
    <cellStyle name="Гиперссылка 2" xfId="23906" hidden="1"/>
    <cellStyle name="Гиперссылка 2" xfId="24800" hidden="1"/>
    <cellStyle name="Гиперссылка 2" xfId="24339" hidden="1"/>
    <cellStyle name="Гиперссылка 2" xfId="23843" hidden="1"/>
    <cellStyle name="Гиперссылка 2" xfId="23951" hidden="1"/>
    <cellStyle name="Гиперссылка 2" xfId="24624" hidden="1"/>
    <cellStyle name="Гиперссылка 2" xfId="24926" hidden="1"/>
    <cellStyle name="Гиперссылка 2" xfId="24808" hidden="1"/>
    <cellStyle name="Гиперссылка 2" xfId="8791" hidden="1"/>
    <cellStyle name="Гиперссылка 2" xfId="23661" hidden="1"/>
    <cellStyle name="Гиперссылка 2" xfId="8789" hidden="1"/>
    <cellStyle name="Гиперссылка 2" xfId="8814" hidden="1"/>
    <cellStyle name="Гиперссылка 2" xfId="8771" hidden="1"/>
    <cellStyle name="Гиперссылка 2" xfId="23713" hidden="1"/>
    <cellStyle name="Гиперссылка 2" xfId="8760" hidden="1"/>
    <cellStyle name="Гиперссылка 2" xfId="23594" hidden="1"/>
    <cellStyle name="Гиперссылка 2" xfId="23830" hidden="1"/>
    <cellStyle name="Гиперссылка 2" xfId="23965" hidden="1"/>
    <cellStyle name="Гиперссылка 2" xfId="25029" hidden="1"/>
    <cellStyle name="Гиперссылка 2" xfId="24927" hidden="1"/>
    <cellStyle name="Гиперссылка 2" xfId="23563" hidden="1"/>
    <cellStyle name="Гиперссылка 2" xfId="23854" hidden="1"/>
    <cellStyle name="Гиперссылка 2" xfId="23743" hidden="1"/>
    <cellStyle name="Гиперссылка 2" xfId="24505" hidden="1"/>
    <cellStyle name="Гиперссылка 2" xfId="23603" hidden="1"/>
    <cellStyle name="Гиперссылка 2" xfId="23702" hidden="1"/>
    <cellStyle name="Гиперссылка 2" xfId="23890" hidden="1"/>
    <cellStyle name="Гиперссылка 2" xfId="23607" hidden="1"/>
    <cellStyle name="Гиперссылка 2" xfId="23634" hidden="1"/>
    <cellStyle name="Гиперссылка 2" xfId="24620" hidden="1"/>
    <cellStyle name="Гиперссылка 2" xfId="23964" hidden="1"/>
    <cellStyle name="Гиперссылка 2" xfId="23956" hidden="1"/>
    <cellStyle name="Гиперссылка 2" xfId="23936" hidden="1"/>
    <cellStyle name="Гиперссылка 2" xfId="24273" hidden="1"/>
    <cellStyle name="Гиперссылка 2" xfId="23749" hidden="1"/>
    <cellStyle name="Гиперссылка 2" xfId="23649" hidden="1"/>
    <cellStyle name="Гиперссылка 2" xfId="23872" hidden="1"/>
    <cellStyle name="Гиперссылка 2" xfId="23611" hidden="1"/>
    <cellStyle name="Гиперссылка 2" xfId="24340" hidden="1"/>
    <cellStyle name="Гиперссылка 2" xfId="24077" hidden="1"/>
    <cellStyle name="Гиперссылка 2" xfId="24980" hidden="1"/>
    <cellStyle name="Гиперссылка 2" xfId="23674" hidden="1"/>
    <cellStyle name="Гиперссылка 2" xfId="8782" hidden="1"/>
    <cellStyle name="Гиперссылка 2" xfId="24983" hidden="1"/>
    <cellStyle name="Гиперссылка 2" xfId="23734" hidden="1"/>
    <cellStyle name="Гиперссылка 2" xfId="23631" hidden="1"/>
    <cellStyle name="Гиперссылка 2" xfId="25000" hidden="1"/>
    <cellStyle name="Гиперссылка 2" xfId="24894" hidden="1"/>
    <cellStyle name="Гиперссылка 2" xfId="23700" hidden="1"/>
    <cellStyle name="Гиперссылка 2" xfId="23681" hidden="1"/>
    <cellStyle name="Гиперссылка 2" xfId="24363" hidden="1"/>
    <cellStyle name="Гиперссылка 2" xfId="24147" hidden="1"/>
    <cellStyle name="Гиперссылка 2" xfId="24558" hidden="1"/>
    <cellStyle name="Гиперссылка 2" xfId="23864" hidden="1"/>
    <cellStyle name="Гиперссылка 2" xfId="24193" hidden="1"/>
    <cellStyle name="Гиперссылка 2" xfId="23929" hidden="1"/>
    <cellStyle name="Гиперссылка 2" xfId="23878" hidden="1"/>
    <cellStyle name="Гиперссылка 2" xfId="24489" hidden="1"/>
    <cellStyle name="Гиперссылка 2" xfId="23592" hidden="1"/>
    <cellStyle name="Гиперссылка 2" xfId="25030" hidden="1"/>
    <cellStyle name="Гиперссылка 2" xfId="23875" hidden="1"/>
    <cellStyle name="Гиперссылка 2" xfId="24419" hidden="1"/>
    <cellStyle name="Гиперссылка 2" xfId="24142" hidden="1"/>
    <cellStyle name="Гиперссылка 2" xfId="23618" hidden="1"/>
    <cellStyle name="Гиперссылка 2" xfId="24810" hidden="1"/>
    <cellStyle name="Гиперссылка 2" xfId="24866" hidden="1"/>
    <cellStyle name="Гиперссылка 2" xfId="24341" hidden="1"/>
    <cellStyle name="Гиперссылка 2" xfId="24281" hidden="1"/>
    <cellStyle name="Гиперссылка 2" xfId="24121" hidden="1"/>
    <cellStyle name="Гиперссылка 2" xfId="24487" hidden="1"/>
    <cellStyle name="Гиперссылка 2" xfId="24426" hidden="1"/>
    <cellStyle name="Гиперссылка 2" xfId="24436" hidden="1"/>
    <cellStyle name="Гиперссылка 2" xfId="24425" hidden="1"/>
    <cellStyle name="Гиперссылка 2" xfId="24044" hidden="1"/>
    <cellStyle name="Гиперссылка 2" xfId="23926" hidden="1"/>
    <cellStyle name="Гиперссылка 2" xfId="23952" hidden="1"/>
    <cellStyle name="Гиперссылка 2" xfId="24929" hidden="1"/>
    <cellStyle name="Гиперссылка 2" xfId="24975" hidden="1"/>
    <cellStyle name="Гиперссылка 2" xfId="24353" hidden="1"/>
    <cellStyle name="Гиперссылка 2" xfId="23832" hidden="1"/>
    <cellStyle name="Гиперссылка 2" xfId="25033" hidden="1"/>
    <cellStyle name="Гиперссылка 2" xfId="24493" hidden="1"/>
    <cellStyle name="Гиперссылка 2" xfId="24933" hidden="1"/>
    <cellStyle name="Гиперссылка 2" xfId="23613" hidden="1"/>
    <cellStyle name="Гиперссылка 2" xfId="25101" hidden="1"/>
    <cellStyle name="Гиперссылка 2" xfId="25100" hidden="1"/>
    <cellStyle name="Гиперссылка 2" xfId="25105" hidden="1"/>
    <cellStyle name="Гиперссылка 2" xfId="25106" hidden="1"/>
    <cellStyle name="Гиперссылка 2" xfId="25111" hidden="1"/>
    <cellStyle name="Гиперссылка 2" xfId="25112" hidden="1"/>
    <cellStyle name="Гиперссылка 2" xfId="25108" hidden="1"/>
    <cellStyle name="Гиперссылка 2" xfId="25107" hidden="1"/>
    <cellStyle name="Гиперссылка 2" xfId="25110" hidden="1"/>
    <cellStyle name="Гиперссылка 2" xfId="25109" hidden="1"/>
    <cellStyle name="Гиперссылка 2" xfId="25114" hidden="1"/>
    <cellStyle name="Гиперссылка 2" xfId="25113" hidden="1"/>
    <cellStyle name="Гиперссылка 2" xfId="25116" hidden="1"/>
    <cellStyle name="Гиперссылка 2" xfId="25117" hidden="1"/>
    <cellStyle name="Гиперссылка 2" xfId="25122" hidden="1"/>
    <cellStyle name="Гиперссылка 2" xfId="25123" hidden="1"/>
    <cellStyle name="Гиперссылка 2" xfId="25119" hidden="1"/>
    <cellStyle name="Гиперссылка 2" xfId="25118" hidden="1"/>
    <cellStyle name="Гиперссылка 2" xfId="25121" hidden="1"/>
    <cellStyle name="Гиперссылка 2" xfId="25120" hidden="1"/>
    <cellStyle name="Гиперссылка 2" xfId="25125" hidden="1"/>
    <cellStyle name="Гиперссылка 2" xfId="25124" hidden="1"/>
    <cellStyle name="Гиперссылка 2" xfId="25126" hidden="1"/>
    <cellStyle name="Гиперссылка 2" xfId="25127" hidden="1"/>
    <cellStyle name="Гиперссылка 2" xfId="25132" hidden="1"/>
    <cellStyle name="Гиперссылка 2" xfId="25133" hidden="1"/>
    <cellStyle name="Гиперссылка 2" xfId="25129" hidden="1"/>
    <cellStyle name="Гиперссылка 2" xfId="25128" hidden="1"/>
    <cellStyle name="Гиперссылка 2" xfId="25131" hidden="1"/>
    <cellStyle name="Гиперссылка 2" xfId="25130" hidden="1"/>
    <cellStyle name="Гиперссылка 2" xfId="25135" hidden="1"/>
    <cellStyle name="Гиперссылка 2" xfId="25134" hidden="1"/>
    <cellStyle name="Гиперссылка 2" xfId="23889" hidden="1"/>
    <cellStyle name="Гиперссылка 2" xfId="23623" hidden="1"/>
    <cellStyle name="Гиперссылка 2" xfId="24666" hidden="1"/>
    <cellStyle name="Гиперссылка 2" xfId="23665" hidden="1"/>
    <cellStyle name="Гиперссылка 2" xfId="24851" hidden="1"/>
    <cellStyle name="Гиперссылка 2" xfId="25102" hidden="1"/>
    <cellStyle name="Гиперссылка 2" xfId="24333" hidden="1"/>
    <cellStyle name="Гиперссылка 2" xfId="24295" hidden="1"/>
    <cellStyle name="Гиперссылка 2" xfId="25156" hidden="1"/>
    <cellStyle name="Гиперссылка 2" xfId="25155" hidden="1"/>
    <cellStyle name="Гиперссылка 2" xfId="25161" hidden="1"/>
    <cellStyle name="Гиперссылка 2" xfId="25162" hidden="1"/>
    <cellStyle name="Гиперссылка 2" xfId="25167" hidden="1"/>
    <cellStyle name="Гиперссылка 2" xfId="25168" hidden="1"/>
    <cellStyle name="Гиперссылка 2" xfId="25164" hidden="1"/>
    <cellStyle name="Гиперссылка 2" xfId="25163" hidden="1"/>
    <cellStyle name="Гиперссылка 2" xfId="25166" hidden="1"/>
    <cellStyle name="Гиперссылка 2" xfId="25165" hidden="1"/>
    <cellStyle name="Гиперссылка 2" xfId="25170" hidden="1"/>
    <cellStyle name="Гиперссылка 2" xfId="25169" hidden="1"/>
    <cellStyle name="Гиперссылка 2" xfId="25171" hidden="1"/>
    <cellStyle name="Гиперссылка 2" xfId="25172" hidden="1"/>
    <cellStyle name="Гиперссылка 2" xfId="25177" hidden="1"/>
    <cellStyle name="Гиперссылка 2" xfId="25178" hidden="1"/>
    <cellStyle name="Гиперссылка 2" xfId="25174" hidden="1"/>
    <cellStyle name="Гиперссылка 2" xfId="25173" hidden="1"/>
    <cellStyle name="Гиперссылка 2" xfId="25176" hidden="1"/>
    <cellStyle name="Гиперссылка 2" xfId="25175" hidden="1"/>
    <cellStyle name="Гиперссылка 2" xfId="25180" hidden="1"/>
    <cellStyle name="Гиперссылка 2" xfId="25179" hidden="1"/>
    <cellStyle name="Гиперссылка 2" xfId="25181" hidden="1"/>
    <cellStyle name="Гиперссылка 2" xfId="25182" hidden="1"/>
    <cellStyle name="Гиперссылка 2" xfId="25187" hidden="1"/>
    <cellStyle name="Гиперссылка 2" xfId="25188" hidden="1"/>
    <cellStyle name="Гиперссылка 2" xfId="25184" hidden="1"/>
    <cellStyle name="Гиперссылка 2" xfId="25183" hidden="1"/>
    <cellStyle name="Гиперссылка 2" xfId="25186" hidden="1"/>
    <cellStyle name="Гиперссылка 2" xfId="25185" hidden="1"/>
    <cellStyle name="Гиперссылка 2" xfId="25190" hidden="1"/>
    <cellStyle name="Гиперссылка 2" xfId="25189" hidden="1"/>
    <cellStyle name="Гиперссылка 2" xfId="23704" hidden="1"/>
    <cellStyle name="Гиперссылка 2" xfId="24220" hidden="1"/>
    <cellStyle name="Гиперссылка 2" xfId="24209" hidden="1"/>
    <cellStyle name="Гиперссылка 2" xfId="24932" hidden="1"/>
    <cellStyle name="Гиперссылка 2" xfId="25143" hidden="1"/>
    <cellStyle name="Гиперссылка 2" xfId="25159" hidden="1"/>
    <cellStyle name="Гиперссылка 2" xfId="23850" hidden="1"/>
    <cellStyle name="Гиперссылка 2" xfId="25138" hidden="1"/>
    <cellStyle name="Гиперссылка 2" xfId="25204" hidden="1"/>
    <cellStyle name="Гиперссылка 2" xfId="25203" hidden="1"/>
    <cellStyle name="Гиперссылка 2" xfId="25208" hidden="1"/>
    <cellStyle name="Гиперссылка 2" xfId="25209" hidden="1"/>
    <cellStyle name="Гиперссылка 2" xfId="25214" hidden="1"/>
    <cellStyle name="Гиперссылка 2" xfId="25215" hidden="1"/>
    <cellStyle name="Гиперссылка 2" xfId="25211" hidden="1"/>
    <cellStyle name="Гиперссылка 2" xfId="25210" hidden="1"/>
    <cellStyle name="Гиперссылка 2" xfId="25213" hidden="1"/>
    <cellStyle name="Гиперссылка 2" xfId="25212" hidden="1"/>
    <cellStyle name="Гиперссылка 2" xfId="25217" hidden="1"/>
    <cellStyle name="Гиперссылка 2" xfId="25216" hidden="1"/>
    <cellStyle name="Гиперссылка 2" xfId="25220" hidden="1"/>
    <cellStyle name="Гиперссылка 2" xfId="25221" hidden="1"/>
    <cellStyle name="Гиперссылка 2" xfId="25226" hidden="1"/>
    <cellStyle name="Гиперссылка 2" xfId="25227" hidden="1"/>
    <cellStyle name="Гиперссылка 2" xfId="25223" hidden="1"/>
    <cellStyle name="Гиперссылка 2" xfId="25222" hidden="1"/>
    <cellStyle name="Гиперссылка 2" xfId="25225" hidden="1"/>
    <cellStyle name="Гиперссылка 2" xfId="25224" hidden="1"/>
    <cellStyle name="Гиперссылка 2" xfId="25229" hidden="1"/>
    <cellStyle name="Гиперссылка 2" xfId="25228" hidden="1"/>
    <cellStyle name="Гиперссылка 2" xfId="25230" hidden="1"/>
    <cellStyle name="Гиперссылка 2" xfId="25231" hidden="1"/>
    <cellStyle name="Гиперссылка 2" xfId="25236" hidden="1"/>
    <cellStyle name="Гиперссылка 2" xfId="25237" hidden="1"/>
    <cellStyle name="Гиперссылка 2" xfId="25233" hidden="1"/>
    <cellStyle name="Гиперссылка 2" xfId="25232" hidden="1"/>
    <cellStyle name="Гиперссылка 2" xfId="25235" hidden="1"/>
    <cellStyle name="Гиперссылка 2" xfId="25234" hidden="1"/>
    <cellStyle name="Гиперссылка 2" xfId="25239" hidden="1"/>
    <cellStyle name="Гиперссылка 2" xfId="25238" hidden="1"/>
    <cellStyle name="Гиперссылка 2" xfId="25139" hidden="1"/>
    <cellStyle name="Гиперссылка 2" xfId="24745" hidden="1"/>
    <cellStyle name="Гиперссылка 2" xfId="8827" hidden="1"/>
    <cellStyle name="Гиперссылка 2" xfId="24047" hidden="1"/>
    <cellStyle name="Гиперссылка 2" xfId="25194" hidden="1"/>
    <cellStyle name="Гиперссылка 2" xfId="25206" hidden="1"/>
    <cellStyle name="Гиперссылка 2" xfId="24803" hidden="1"/>
    <cellStyle name="Гиперссылка 2" xfId="25192" hidden="1"/>
    <cellStyle name="Гиперссылка 2" xfId="25251" hidden="1"/>
    <cellStyle name="Гиперссылка 2" xfId="25250" hidden="1"/>
    <cellStyle name="Гиперссылка 2" xfId="25258" hidden="1"/>
    <cellStyle name="Гиперссылка 2" xfId="25259" hidden="1"/>
    <cellStyle name="Гиперссылка 2" xfId="25264" hidden="1"/>
    <cellStyle name="Гиперссылка 2" xfId="25265" hidden="1"/>
    <cellStyle name="Гиперссылка 2" xfId="25261" hidden="1"/>
    <cellStyle name="Гиперссылка 2" xfId="25260" hidden="1"/>
    <cellStyle name="Гиперссылка 2" xfId="25263" hidden="1"/>
    <cellStyle name="Гиперссылка 2" xfId="25262" hidden="1"/>
    <cellStyle name="Гиперссылка 2" xfId="25267" hidden="1"/>
    <cellStyle name="Гиперссылка 2" xfId="25266" hidden="1"/>
    <cellStyle name="Гиперссылка 2" xfId="25268" hidden="1"/>
    <cellStyle name="Гиперссылка 2" xfId="25269" hidden="1"/>
    <cellStyle name="Гиперссылка 2" xfId="25274" hidden="1"/>
    <cellStyle name="Гиперссылка 2" xfId="25275" hidden="1"/>
    <cellStyle name="Гиперссылка 2" xfId="25271" hidden="1"/>
    <cellStyle name="Гиперссылка 2" xfId="25270" hidden="1"/>
    <cellStyle name="Гиперссылка 2" xfId="25273" hidden="1"/>
    <cellStyle name="Гиперссылка 2" xfId="25272" hidden="1"/>
    <cellStyle name="Гиперссылка 2" xfId="25277" hidden="1"/>
    <cellStyle name="Гиперссылка 2" xfId="25276" hidden="1"/>
    <cellStyle name="Гиперссылка 2" xfId="25278" hidden="1"/>
    <cellStyle name="Гиперссылка 2" xfId="25279" hidden="1"/>
    <cellStyle name="Гиперссылка 2" xfId="25284" hidden="1"/>
    <cellStyle name="Гиперссылка 2" xfId="25285" hidden="1"/>
    <cellStyle name="Гиперссылка 2" xfId="25281" hidden="1"/>
    <cellStyle name="Гиперссылка 2" xfId="25280" hidden="1"/>
    <cellStyle name="Гиперссылка 2" xfId="25283" hidden="1"/>
    <cellStyle name="Гиперссылка 2" xfId="25282" hidden="1"/>
    <cellStyle name="Гиперссылка 2" xfId="25287" hidden="1"/>
    <cellStyle name="Гиперссылка 2" xfId="25286" hidden="1"/>
    <cellStyle name="Гиперссылка 2" xfId="25193" hidden="1"/>
    <cellStyle name="Гиперссылка 2" xfId="23887" hidden="1"/>
    <cellStyle name="Гиперссылка 2" xfId="23620" hidden="1"/>
    <cellStyle name="Гиперссылка 2" xfId="9653" hidden="1"/>
    <cellStyle name="Гиперссылка 2" xfId="25243" hidden="1"/>
    <cellStyle name="Гиперссылка 2" xfId="25256" hidden="1"/>
    <cellStyle name="Гиперссылка 2" xfId="24879" hidden="1"/>
    <cellStyle name="Гиперссылка 2" xfId="25240" hidden="1"/>
    <cellStyle name="Гиперссылка 2" xfId="25300" hidden="1"/>
    <cellStyle name="Гиперссылка 2" xfId="25299" hidden="1"/>
    <cellStyle name="Гиперссылка 2" xfId="25304" hidden="1"/>
    <cellStyle name="Гиперссылка 2" xfId="25305" hidden="1"/>
    <cellStyle name="Гиперссылка 2" xfId="25310" hidden="1"/>
    <cellStyle name="Гиперссылка 2" xfId="25311" hidden="1"/>
    <cellStyle name="Гиперссылка 2" xfId="25307" hidden="1"/>
    <cellStyle name="Гиперссылка 2" xfId="25306" hidden="1"/>
    <cellStyle name="Гиперссылка 2" xfId="25309" hidden="1"/>
    <cellStyle name="Гиперссылка 2" xfId="25308" hidden="1"/>
    <cellStyle name="Гиперссылка 2" xfId="25313" hidden="1"/>
    <cellStyle name="Гиперссылка 2" xfId="25312" hidden="1"/>
    <cellStyle name="Гиперссылка 2" xfId="25315" hidden="1"/>
    <cellStyle name="Гиперссылка 2" xfId="25316" hidden="1"/>
    <cellStyle name="Гиперссылка 2" xfId="25321" hidden="1"/>
    <cellStyle name="Гиперссылка 2" xfId="25322" hidden="1"/>
    <cellStyle name="Гиперссылка 2" xfId="25318" hidden="1"/>
    <cellStyle name="Гиперссылка 2" xfId="25317" hidden="1"/>
    <cellStyle name="Гиперссылка 2" xfId="25320" hidden="1"/>
    <cellStyle name="Гиперссылка 2" xfId="25319" hidden="1"/>
    <cellStyle name="Гиперссылка 2" xfId="25324" hidden="1"/>
    <cellStyle name="Гиперссылка 2" xfId="25323" hidden="1"/>
    <cellStyle name="Гиперссылка 2" xfId="25325" hidden="1"/>
    <cellStyle name="Гиперссылка 2" xfId="25326" hidden="1"/>
    <cellStyle name="Гиперссылка 2" xfId="25331" hidden="1"/>
    <cellStyle name="Гиперссылка 2" xfId="25332" hidden="1"/>
    <cellStyle name="Гиперссылка 2" xfId="25328" hidden="1"/>
    <cellStyle name="Гиперссылка 2" xfId="25327" hidden="1"/>
    <cellStyle name="Гиперссылка 2" xfId="25330" hidden="1"/>
    <cellStyle name="Гиперссылка 2" xfId="25329" hidden="1"/>
    <cellStyle name="Гиперссылка 2" xfId="25334" hidden="1"/>
    <cellStyle name="Гиперссылка 2" xfId="25333" hidden="1"/>
    <cellStyle name="Гиперссылка 2" xfId="25241" hidden="1"/>
    <cellStyle name="Гиперссылка 2" xfId="24798" hidden="1"/>
    <cellStyle name="Гиперссылка 2" xfId="24113" hidden="1"/>
    <cellStyle name="Гиперссылка 2" xfId="24052" hidden="1"/>
    <cellStyle name="Гиперссылка 2" xfId="25291" hidden="1"/>
    <cellStyle name="Гиперссылка 2" xfId="25303" hidden="1"/>
    <cellStyle name="Гиперссылка 2" xfId="25097" hidden="1"/>
    <cellStyle name="Гиперссылка 2" xfId="25289" hidden="1"/>
    <cellStyle name="Гиперссылка 2" xfId="25343" hidden="1"/>
    <cellStyle name="Гиперссылка 2" xfId="25342" hidden="1"/>
    <cellStyle name="Гиперссылка 2" xfId="25347" hidden="1"/>
    <cellStyle name="Гиперссылка 2" xfId="25348" hidden="1"/>
    <cellStyle name="Гиперссылка 2" xfId="25353" hidden="1"/>
    <cellStyle name="Гиперссылка 2" xfId="25354" hidden="1"/>
    <cellStyle name="Гиперссылка 2" xfId="25350" hidden="1"/>
    <cellStyle name="Гиперссылка 2" xfId="25349" hidden="1"/>
    <cellStyle name="Гиперссылка 2" xfId="25352" hidden="1"/>
    <cellStyle name="Гиперссылка 2" xfId="25351" hidden="1"/>
    <cellStyle name="Гиперссылка 2" xfId="25356" hidden="1"/>
    <cellStyle name="Гиперссылка 2" xfId="25355" hidden="1"/>
    <cellStyle name="Гиперссылка 2" xfId="25357" hidden="1"/>
    <cellStyle name="Гиперссылка 2" xfId="25358" hidden="1"/>
    <cellStyle name="Гиперссылка 2" xfId="25363" hidden="1"/>
    <cellStyle name="Гиперссылка 2" xfId="25364" hidden="1"/>
    <cellStyle name="Гиперссылка 2" xfId="25360" hidden="1"/>
    <cellStyle name="Гиперссылка 2" xfId="25359" hidden="1"/>
    <cellStyle name="Гиперссылка 2" xfId="25362" hidden="1"/>
    <cellStyle name="Гиперссылка 2" xfId="25361" hidden="1"/>
    <cellStyle name="Гиперссылка 2" xfId="25366" hidden="1"/>
    <cellStyle name="Гиперссылка 2" xfId="25365" hidden="1"/>
    <cellStyle name="Гиперссылка 2" xfId="25367" hidden="1"/>
    <cellStyle name="Гиперссылка 2" xfId="25368" hidden="1"/>
    <cellStyle name="Гиперссылка 2" xfId="25373" hidden="1"/>
    <cellStyle name="Гиперссылка 2" xfId="25374" hidden="1"/>
    <cellStyle name="Гиперссылка 2" xfId="25370" hidden="1"/>
    <cellStyle name="Гиперссылка 2" xfId="25369" hidden="1"/>
    <cellStyle name="Гиперссылка 2" xfId="25372" hidden="1"/>
    <cellStyle name="Гиперссылка 2" xfId="25371" hidden="1"/>
    <cellStyle name="Гиперссылка 2" xfId="25376" hidden="1"/>
    <cellStyle name="Гиперссылка 2" xfId="25375" hidden="1"/>
    <cellStyle name="Гиперссылка 2" xfId="25290" hidden="1"/>
    <cellStyle name="Гиперссылка 2" xfId="24674" hidden="1"/>
    <cellStyle name="Гиперссылка 2" xfId="25140" hidden="1"/>
    <cellStyle name="Гиперссылка 2" xfId="23901" hidden="1"/>
    <cellStyle name="Гиперссылка 2" xfId="25336" hidden="1"/>
    <cellStyle name="Гиперссылка 2" xfId="25346" hidden="1"/>
    <cellStyle name="Гиперссылка 2" xfId="25149" hidden="1"/>
    <cellStyle name="Гиперссылка 2" xfId="25335" hidden="1"/>
    <cellStyle name="Гиперссылка 2" xfId="25378" hidden="1"/>
    <cellStyle name="Гиперссылка 2" xfId="25377" hidden="1"/>
    <cellStyle name="Гиперссылка 2" xfId="25379" hidden="1"/>
    <cellStyle name="Гиперссылка 2" xfId="25380" hidden="1"/>
    <cellStyle name="Гиперссылка 2" xfId="25385" hidden="1"/>
    <cellStyle name="Гиперссылка 2" xfId="25386" hidden="1"/>
    <cellStyle name="Гиперссылка 2" xfId="25382" hidden="1"/>
    <cellStyle name="Гиперссылка 2" xfId="25381" hidden="1"/>
    <cellStyle name="Гиперссылка 2" xfId="25384" hidden="1"/>
    <cellStyle name="Гиперссылка 2" xfId="25383" hidden="1"/>
    <cellStyle name="Гиперссылка 2" xfId="25388" hidden="1"/>
    <cellStyle name="Гиперссылка 2" xfId="25387" hidden="1"/>
    <cellStyle name="Гиперссылка 2" xfId="25389" hidden="1"/>
    <cellStyle name="Гиперссылка 2" xfId="25390" hidden="1"/>
    <cellStyle name="Гиперссылка 2" xfId="25395" hidden="1"/>
    <cellStyle name="Гиперссылка 2" xfId="25396" hidden="1"/>
    <cellStyle name="Гиперссылка 2" xfId="25392" hidden="1"/>
    <cellStyle name="Гиперссылка 2" xfId="25391" hidden="1"/>
    <cellStyle name="Гиперссылка 2" xfId="25394" hidden="1"/>
    <cellStyle name="Гиперссылка 2" xfId="25393" hidden="1"/>
    <cellStyle name="Гиперссылка 2" xfId="25398" hidden="1"/>
    <cellStyle name="Гиперссылка 2" xfId="25397" hidden="1"/>
    <cellStyle name="Гиперссылка 2" xfId="25399" hidden="1"/>
    <cellStyle name="Гиперссылка 2" xfId="25400" hidden="1"/>
    <cellStyle name="Гиперссылка 2" xfId="25405" hidden="1"/>
    <cellStyle name="Гиперссылка 2" xfId="25406" hidden="1"/>
    <cellStyle name="Гиперссылка 2" xfId="25402" hidden="1"/>
    <cellStyle name="Гиперссылка 2" xfId="25401" hidden="1"/>
    <cellStyle name="Гиперссылка 2" xfId="25404" hidden="1"/>
    <cellStyle name="Гиперссылка 2" xfId="25403" hidden="1"/>
    <cellStyle name="Гиперссылка 2" xfId="25408" hidden="1"/>
    <cellStyle name="Гиперссылка 2" xfId="25407" hidden="1"/>
    <cellStyle name="Гиперссылка 2" xfId="24039" hidden="1"/>
    <cellStyle name="Гиперссылка 2" xfId="23667" hidden="1"/>
    <cellStyle name="Гиперссылка 2" xfId="25205" hidden="1"/>
    <cellStyle name="Гиперссылка 2" xfId="23662" hidden="1"/>
    <cellStyle name="Гиперссылка 2" xfId="23669" hidden="1"/>
    <cellStyle name="Гиперссылка 2" xfId="23622" hidden="1"/>
    <cellStyle name="Гиперссылка 2" xfId="24986" hidden="1"/>
    <cellStyle name="Гиперссылка 2" xfId="24040" hidden="1"/>
    <cellStyle name="Гиперссылка 2" xfId="24809" hidden="1"/>
    <cellStyle name="Гиперссылка 2" xfId="24361" hidden="1"/>
    <cellStyle name="Гиперссылка 2" xfId="25296" hidden="1"/>
    <cellStyle name="Гиперссылка 2" xfId="25199" hidden="1"/>
    <cellStyle name="Гиперссылка 2" xfId="24978" hidden="1"/>
    <cellStyle name="Гиперссылка 2" xfId="23556" hidden="1"/>
    <cellStyle name="Гиперссылка 2" xfId="25154" hidden="1"/>
    <cellStyle name="Гиперссылка 2" xfId="25248" hidden="1"/>
    <cellStyle name="Гиперссылка 2" xfId="23736" hidden="1"/>
    <cellStyle name="Гиперссылка 2" xfId="23547" hidden="1"/>
    <cellStyle name="Гиперссылка 2" xfId="24117" hidden="1"/>
    <cellStyle name="Гиперссылка 2" xfId="24210" hidden="1"/>
    <cellStyle name="Гиперссылка 2" xfId="23565" hidden="1"/>
    <cellStyle name="Гиперссылка 2" xfId="24867" hidden="1"/>
    <cellStyle name="Гиперссылка 2" xfId="23687" hidden="1"/>
    <cellStyle name="Гиперссылка 2" xfId="23561" hidden="1"/>
    <cellStyle name="Гиперссылка 2" xfId="24794" hidden="1"/>
    <cellStyle name="Гиперссылка 2" xfId="23588" hidden="1"/>
    <cellStyle name="Гиперссылка 2" xfId="24793" hidden="1"/>
    <cellStyle name="Гиперссылка 2" xfId="24099" hidden="1"/>
    <cellStyle name="Гиперссылка 2" xfId="24372" hidden="1"/>
    <cellStyle name="Гиперссылка 2" xfId="23656" hidden="1"/>
    <cellStyle name="Гиперссылка 2" xfId="24564" hidden="1"/>
    <cellStyle name="Гиперссылка 2" xfId="24490" hidden="1"/>
    <cellStyle name="Гиперссылка 2" xfId="23944" hidden="1"/>
    <cellStyle name="Гиперссылка 2" xfId="24350" hidden="1"/>
    <cellStyle name="Гиперссылка 2" xfId="24364" hidden="1"/>
    <cellStyle name="Гиперссылка 2" xfId="24799" hidden="1"/>
    <cellStyle name="Гиперссылка 2" xfId="23562" hidden="1"/>
    <cellStyle name="Гиперссылка 2" xfId="23651" hidden="1"/>
    <cellStyle name="Гиперссылка 2" xfId="23644" hidden="1"/>
    <cellStyle name="Гиперссылка 2" xfId="23957" hidden="1"/>
    <cellStyle name="Гиперссылка 2" xfId="24291" hidden="1"/>
    <cellStyle name="Гиперссылка 2" xfId="23824" hidden="1"/>
    <cellStyle name="Гиперссылка 2" xfId="24110" hidden="1"/>
    <cellStyle name="Гиперссылка 2" xfId="23871" hidden="1"/>
    <cellStyle name="Гиперссылка 2" xfId="24820" hidden="1"/>
    <cellStyle name="Гиперссылка 2" xfId="23664" hidden="1"/>
    <cellStyle name="Гиперссылка 2" xfId="25244" hidden="1"/>
    <cellStyle name="Гиперссылка 2" xfId="25293" hidden="1"/>
    <cellStyle name="Гиперссылка 2" xfId="23615" hidden="1"/>
    <cellStyle name="Гиперссылка 2" xfId="8836" hidden="1"/>
    <cellStyle name="Гиперссылка 2" xfId="23671" hidden="1"/>
    <cellStyle name="Гиперссылка 2" xfId="24064" hidden="1"/>
    <cellStyle name="Гиперссылка 2" xfId="24876" hidden="1"/>
    <cellStyle name="Гиперссылка 2" xfId="24347" hidden="1"/>
    <cellStyle name="Гиперссылка 2" xfId="23670" hidden="1"/>
    <cellStyle name="Гиперссылка 2" xfId="24940" hidden="1"/>
    <cellStyle name="Гиперссылка 2" xfId="24915" hidden="1"/>
    <cellStyle name="Гиперссылка 2" xfId="23856" hidden="1"/>
    <cellStyle name="Гиперссылка 2" xfId="23717" hidden="1"/>
    <cellStyle name="Гиперссылка 2" xfId="24345" hidden="1"/>
    <cellStyle name="Гиперссылка 2" xfId="25257" hidden="1"/>
    <cellStyle name="Гиперссылка 2" xfId="25160" hidden="1"/>
    <cellStyle name="Гиперссылка 2" xfId="24488" hidden="1"/>
    <cellStyle name="Гиперссылка 2" xfId="24242" hidden="1"/>
    <cellStyle name="Гиперссылка 2" xfId="25245" hidden="1"/>
    <cellStyle name="Гиперссылка 2" xfId="25338" hidden="1"/>
    <cellStyle name="Гиперссылка 2" xfId="25099" hidden="1"/>
    <cellStyle name="Гиперссылка 2" xfId="25151" hidden="1"/>
    <cellStyle name="Гиперссылка 2" xfId="23745" hidden="1"/>
    <cellStyle name="Гиперссылка 2" xfId="8946" hidden="1"/>
    <cellStyle name="Гиперссылка 2" xfId="24873" hidden="1"/>
    <cellStyle name="Гиперссылка 2" xfId="24275" hidden="1"/>
    <cellStyle name="Гиперссылка 2" xfId="25158" hidden="1"/>
    <cellStyle name="Гиперссылка 2" xfId="24919" hidden="1"/>
    <cellStyle name="Гиперссылка 2" xfId="24669" hidden="1"/>
    <cellStyle name="Гиперссылка 2" xfId="23632" hidden="1"/>
    <cellStyle name="Гиперссылка 2" xfId="25254" hidden="1"/>
    <cellStyle name="Гиперссылка 2" xfId="23860" hidden="1"/>
    <cellStyle name="Гиперссылка 2" xfId="25255" hidden="1"/>
    <cellStyle name="Гиперссылка 2" xfId="25301" hidden="1"/>
    <cellStyle name="Гиперссылка 2" xfId="24274" hidden="1"/>
    <cellStyle name="Гиперссылка 2" xfId="24988" hidden="1"/>
    <cellStyle name="Гиперссылка 2" xfId="25200" hidden="1"/>
    <cellStyle name="Гиперссылка 2" xfId="24435" hidden="1"/>
    <cellStyle name="Гиперссылка 2" xfId="23970" hidden="1"/>
    <cellStyle name="Гиперссылка 2" xfId="24151" hidden="1"/>
    <cellStyle name="Гиперссылка 2" xfId="24349" hidden="1"/>
    <cellStyle name="Гиперссылка 2" xfId="23907" hidden="1"/>
    <cellStyle name="Гиперссылка 2" xfId="23630" hidden="1"/>
    <cellStyle name="Гиперссылка 2" xfId="24815" hidden="1"/>
    <cellStyle name="Гиперссылка 2" xfId="23682" hidden="1"/>
    <cellStyle name="Гиперссылка 2" xfId="24264" hidden="1"/>
    <cellStyle name="Гиперссылка 2" xfId="23650" hidden="1"/>
    <cellStyle name="Гиперссылка 2" xfId="24568" hidden="1"/>
    <cellStyle name="Гиперссылка 2" xfId="25218" hidden="1"/>
    <cellStyle name="Гиперссылка 2" xfId="24447" hidden="1"/>
    <cellStyle name="Гиперссылка 2" xfId="23940" hidden="1"/>
    <cellStyle name="Гиперссылка 2" xfId="25115" hidden="1"/>
    <cellStyle name="Гиперссылка 2" xfId="23580" hidden="1"/>
    <cellStyle name="Гиперссылка 2" xfId="24369" hidden="1"/>
    <cellStyle name="Гиперссылка 2" xfId="23610" hidden="1"/>
    <cellStyle name="Гиперссылка 2" xfId="23564" hidden="1"/>
    <cellStyle name="Гиперссылка 2" xfId="24219" hidden="1"/>
    <cellStyle name="Гиперссылка 2" xfId="24855" hidden="1"/>
    <cellStyle name="Гиперссылка 2" xfId="25023" hidden="1"/>
    <cellStyle name="Гиперссылка 2" xfId="24753" hidden="1"/>
    <cellStyle name="Гиперссылка 2" xfId="8768" hidden="1"/>
    <cellStyle name="Гиперссылка 2" xfId="23842" hidden="1"/>
    <cellStyle name="Гиперссылка 2" xfId="23825" hidden="1"/>
    <cellStyle name="Гиперссылка 2" xfId="24757" hidden="1"/>
    <cellStyle name="Гиперссылка 2" xfId="23725" hidden="1"/>
    <cellStyle name="Гиперссылка 2" xfId="24375" hidden="1"/>
    <cellStyle name="Гиперссылка 2" xfId="23881" hidden="1"/>
    <cellStyle name="Гиперссылка 2" xfId="23554" hidden="1"/>
    <cellStyle name="Гиперссылка 2" xfId="23695" hidden="1"/>
    <cellStyle name="Гиперссылка 2" xfId="23720" hidden="1"/>
    <cellStyle name="Гиперссылка 2" xfId="23852" hidden="1"/>
    <cellStyle name="Гиперссылка 2" xfId="24365" hidden="1"/>
    <cellStyle name="Гиперссылка 2" xfId="24499" hidden="1"/>
    <cellStyle name="Гиперссылка 2" xfId="23984" hidden="1"/>
    <cellStyle name="Гиперссылка 2" xfId="24868" hidden="1"/>
    <cellStyle name="Гиперссылка 2" xfId="24921" hidden="1"/>
    <cellStyle name="Гиперссылка 2" xfId="24882" hidden="1"/>
    <cellStyle name="Гиперссылка 2" xfId="24100" hidden="1"/>
    <cellStyle name="Гиперссылка 2" xfId="24211" hidden="1"/>
    <cellStyle name="Гиперссылка 2" xfId="23770" hidden="1"/>
    <cellStyle name="Гиперссылка 2" xfId="25202" hidden="1"/>
    <cellStyle name="Гиперссылка 2" xfId="24856" hidden="1"/>
    <cellStyle name="Гиперссылка 2" xfId="23683" hidden="1"/>
    <cellStyle name="Гиперссылка 2" xfId="24749" hidden="1"/>
    <cellStyle name="Гиперссылка 2" xfId="23955" hidden="1"/>
    <cellStyle name="Гиперссылка 2" xfId="24294" hidden="1"/>
    <cellStyle name="Гиперссылка 2" xfId="24939" hidden="1"/>
    <cellStyle name="Гиперссылка 2" xfId="24756" hidden="1"/>
    <cellStyle name="Гиперссылка 2" xfId="25294" hidden="1"/>
    <cellStyle name="Гиперссылка 2" xfId="25025" hidden="1"/>
    <cellStyle name="Гиперссылка 2" xfId="25150" hidden="1"/>
    <cellStyle name="Гиперссылка 2" xfId="25197" hidden="1"/>
    <cellStyle name="Гиперссылка 2" xfId="24916" hidden="1"/>
    <cellStyle name="Гиперссылка 2" xfId="24614" hidden="1"/>
    <cellStyle name="Гиперссылка 2" xfId="23933" hidden="1"/>
    <cellStyle name="Гиперссылка 2" xfId="23616" hidden="1"/>
    <cellStyle name="Гиперссылка 2" xfId="23748" hidden="1"/>
    <cellStyle name="Гиперссылка 2" xfId="24271" hidden="1"/>
    <cellStyle name="Гиперссылка 2" xfId="24817" hidden="1"/>
    <cellStyle name="Гиперссылка 2" xfId="9162" hidden="1"/>
    <cellStyle name="Гиперссылка 2" xfId="24218" hidden="1"/>
    <cellStyle name="Гиперссылка 2" xfId="23804" hidden="1"/>
    <cellStyle name="Гиперссылка 2" xfId="24625" hidden="1"/>
    <cellStyle name="Гиперссылка 2" xfId="24024" hidden="1"/>
    <cellStyle name="Гиперссылка 2" xfId="8787" hidden="1"/>
    <cellStyle name="Гиперссылка 2" xfId="24511" hidden="1"/>
    <cellStyle name="Гиперссылка 2" xfId="23874" hidden="1"/>
    <cellStyle name="Гиперссылка 2" xfId="24137" hidden="1"/>
    <cellStyle name="Гиперссылка 2" xfId="25026" hidden="1"/>
    <cellStyle name="Гиперссылка 2" xfId="23939" hidden="1"/>
    <cellStyle name="Гиперссылка 2" xfId="23577" hidden="1"/>
    <cellStyle name="Гиперссылка 2" xfId="23640" hidden="1"/>
    <cellStyle name="Гиперссылка 2" xfId="23816" hidden="1"/>
    <cellStyle name="Гиперссылка 2" xfId="23822" hidden="1"/>
    <cellStyle name="Гиперссылка 2" xfId="23903" hidden="1"/>
    <cellStyle name="Гиперссылка 2" xfId="25137" hidden="1"/>
    <cellStyle name="Гиперссылка 2" xfId="24922" hidden="1"/>
    <cellStyle name="Гиперссылка 2" xfId="24880" hidden="1"/>
    <cellStyle name="Гиперссылка 2" xfId="24555" hidden="1"/>
    <cellStyle name="Гиперссылка 2" xfId="25147" hidden="1"/>
    <cellStyle name="Гиперссылка 2" xfId="23641" hidden="1"/>
    <cellStyle name="Гиперссылка 2" xfId="23969" hidden="1"/>
    <cellStyle name="Гиперссылка 2" xfId="24546" hidden="1"/>
    <cellStyle name="Гиперссылка 2" xfId="24982" hidden="1"/>
    <cellStyle name="Гиперссылка 2" xfId="25246" hidden="1"/>
    <cellStyle name="Гиперссылка 2" xfId="25152" hidden="1"/>
    <cellStyle name="Гиперссылка 2" xfId="23657" hidden="1"/>
    <cellStyle name="Гиперссылка 2" xfId="24559" hidden="1"/>
    <cellStyle name="Гиперссылка 2" xfId="23654" hidden="1"/>
    <cellStyle name="Гиперссылка 2" xfId="8808" hidden="1"/>
    <cellStyle name="Гиперссылка 2" xfId="23988" hidden="1"/>
    <cellStyle name="Гиперссылка 2" xfId="24107" hidden="1"/>
    <cellStyle name="Гиперссылка 2" xfId="23655" hidden="1"/>
    <cellStyle name="Гиперссылка 2" xfId="24049" hidden="1"/>
    <cellStyle name="Гиперссылка 2" xfId="24437" hidden="1"/>
    <cellStyle name="Гиперссылка 2" xfId="24629" hidden="1"/>
    <cellStyle name="Гиперссылка 2" xfId="25339" hidden="1"/>
    <cellStyle name="Гиперссылка 2" xfId="25247" hidden="1"/>
    <cellStyle name="Гиперссылка 2" xfId="24191" hidden="1"/>
    <cellStyle name="Гиперссылка 2" xfId="24286" hidden="1"/>
    <cellStyle name="Гиперссылка 2" xfId="23950" hidden="1"/>
    <cellStyle name="Гиперссылка 2" xfId="24875" hidden="1"/>
    <cellStyle name="Гиперссылка 2" xfId="24231" hidden="1"/>
    <cellStyle name="Гиперссылка 2" xfId="23943" hidden="1"/>
    <cellStyle name="Гиперссылка 2" xfId="24028" hidden="1"/>
    <cellStyle name="Гиперссылка 2" xfId="23697" hidden="1"/>
    <cellStyle name="Гиперссылка 2" xfId="23676" hidden="1"/>
    <cellStyle name="Гиперссылка 2" xfId="24979" hidden="1"/>
    <cellStyle name="Гиперссылка 2" xfId="23807" hidden="1"/>
    <cellStyle name="Гиперссылка 2" xfId="23548" hidden="1"/>
    <cellStyle name="Гиперссылка 2" xfId="24416" hidden="1"/>
    <cellStyle name="Гиперссылка 2" xfId="23914" hidden="1"/>
    <cellStyle name="Гиперссылка 2" xfId="24612" hidden="1"/>
    <cellStyle name="Гиперссылка 2" xfId="24116" hidden="1"/>
    <cellStyle name="Гиперссылка 2" xfId="23739" hidden="1"/>
    <cellStyle name="Гиперссылка 2" xfId="24105" hidden="1"/>
    <cellStyle name="Гиперссылка 2" xfId="24334" hidden="1"/>
    <cellStyle name="Гиперссылка 2" xfId="24357" hidden="1"/>
    <cellStyle name="Гиперссылка 2" xfId="25295" hidden="1"/>
    <cellStyle name="Гиперссылка 2" xfId="23803" hidden="1"/>
    <cellStyle name="Гиперссылка 2" xfId="24360" hidden="1"/>
    <cellStyle name="Гиперссылка 2" xfId="25298" hidden="1"/>
    <cellStyle name="Гиперссылка 2" xfId="24608" hidden="1"/>
    <cellStyle name="Гиперссылка 2" xfId="24557" hidden="1"/>
    <cellStyle name="Гиперссылка 2" xfId="25314" hidden="1"/>
    <cellStyle name="Гиперссылка 2" xfId="25219" hidden="1"/>
    <cellStyle name="Гиперссылка 2" xfId="24207" hidden="1"/>
    <cellStyle name="Гиперссылка 2" xfId="8757" hidden="1"/>
    <cellStyle name="Гиперссылка 2" xfId="24748" hidden="1"/>
    <cellStyle name="Гиперссылка 2" xfId="23718" hidden="1"/>
    <cellStyle name="Гиперссылка 2" xfId="24924" hidden="1"/>
    <cellStyle name="Гиперссылка 2" xfId="24623" hidden="1"/>
    <cellStyle name="Гиперссылка 2" xfId="24359" hidden="1"/>
    <cellStyle name="Гиперссылка 2" xfId="24440" hidden="1"/>
    <cellStyle name="Гиперссылка 2" xfId="9418" hidden="1"/>
    <cellStyle name="Гиперссылка 2" xfId="24861" hidden="1"/>
    <cellStyle name="Гиперссылка 2" xfId="24362" hidden="1"/>
    <cellStyle name="Гиперссылка 2" xfId="25340" hidden="1"/>
    <cellStyle name="Гиперссылка 2" xfId="24485" hidden="1"/>
    <cellStyle name="Гиперссылка 2" xfId="24795" hidden="1"/>
    <cellStyle name="Гиперссылка 2" xfId="24613" hidden="1"/>
    <cellStyle name="Гиперссылка 2" xfId="23866" hidden="1"/>
    <cellStyle name="Гиперссылка 2" xfId="25153" hidden="1"/>
    <cellStyle name="Гиперссылка 2" xfId="25201" hidden="1"/>
    <cellStyle name="Гиперссылка 2" xfId="24022" hidden="1"/>
    <cellStyle name="Гиперссылка 2" xfId="23737" hidden="1"/>
    <cellStyle name="Гиперссылка 2" xfId="23684" hidden="1"/>
    <cellStyle name="Гиперссылка 2" xfId="24858" hidden="1"/>
    <cellStyle name="Гиперссылка 2" xfId="24802" hidden="1"/>
    <cellStyle name="Гиперссылка 2" xfId="24812" hidden="1"/>
    <cellStyle name="Гиперссылка 2" xfId="24801" hidden="1"/>
    <cellStyle name="Гиперссылка 2" xfId="23696" hidden="1"/>
    <cellStyle name="Гиперссылка 2" xfId="24058" hidden="1"/>
    <cellStyle name="Гиперссылка 2" xfId="23584" hidden="1"/>
    <cellStyle name="Гиперссылка 2" xfId="25249" hidden="1"/>
    <cellStyle name="Гиперссылка 2" xfId="25292" hidden="1"/>
    <cellStyle name="Гиперссылка 2" xfId="8839" hidden="1"/>
    <cellStyle name="Гиперссылка 2" xfId="23974" hidden="1"/>
    <cellStyle name="Гиперссылка 2" xfId="25345" hidden="1"/>
    <cellStyle name="Гиперссылка 2" xfId="24863" hidden="1"/>
    <cellStyle name="Гиперссылка 2" xfId="25253" hidden="1"/>
    <cellStyle name="Гиперссылка 2" xfId="24204" hidden="1"/>
    <cellStyle name="Гиперссылка 2" xfId="25412" hidden="1"/>
    <cellStyle name="Гиперссылка 2" xfId="25411" hidden="1"/>
    <cellStyle name="Гиперссылка 2" xfId="25418" hidden="1"/>
    <cellStyle name="Гиперссылка 2" xfId="25419" hidden="1"/>
    <cellStyle name="Гиперссылка 2" xfId="25424" hidden="1"/>
    <cellStyle name="Гиперссылка 2" xfId="25425" hidden="1"/>
    <cellStyle name="Гиперссылка 2" xfId="25421" hidden="1"/>
    <cellStyle name="Гиперссылка 2" xfId="25420" hidden="1"/>
    <cellStyle name="Гиперссылка 2" xfId="25423" hidden="1"/>
    <cellStyle name="Гиперссылка 2" xfId="25422" hidden="1"/>
    <cellStyle name="Гиперссылка 2" xfId="25427" hidden="1"/>
    <cellStyle name="Гиперссылка 2" xfId="25426" hidden="1"/>
    <cellStyle name="Гиперссылка 2" xfId="25428" hidden="1"/>
    <cellStyle name="Гиперссылка 2" xfId="25429" hidden="1"/>
    <cellStyle name="Гиперссылка 2" xfId="25434" hidden="1"/>
    <cellStyle name="Гиперссылка 2" xfId="25435" hidden="1"/>
    <cellStyle name="Гиперссылка 2" xfId="25431" hidden="1"/>
    <cellStyle name="Гиперссылка 2" xfId="25430" hidden="1"/>
    <cellStyle name="Гиперссылка 2" xfId="25433" hidden="1"/>
    <cellStyle name="Гиперссылка 2" xfId="25432" hidden="1"/>
    <cellStyle name="Гиперссылка 2" xfId="25437" hidden="1"/>
    <cellStyle name="Гиперссылка 2" xfId="25436" hidden="1"/>
    <cellStyle name="Гиперссылка 2" xfId="25438" hidden="1"/>
    <cellStyle name="Гиперссылка 2" xfId="25439" hidden="1"/>
    <cellStyle name="Гиперссылка 2" xfId="25444" hidden="1"/>
    <cellStyle name="Гиперссылка 2" xfId="25445" hidden="1"/>
    <cellStyle name="Гиперссылка 2" xfId="25441" hidden="1"/>
    <cellStyle name="Гиперссылка 2" xfId="25440" hidden="1"/>
    <cellStyle name="Гиперссылка 2" xfId="25443" hidden="1"/>
    <cellStyle name="Гиперссылка 2" xfId="25442" hidden="1"/>
    <cellStyle name="Гиперссылка 2" xfId="25447" hidden="1"/>
    <cellStyle name="Гиперссылка 2" xfId="25446" hidden="1"/>
    <cellStyle name="Гиперссылка 2" xfId="24050" hidden="1"/>
    <cellStyle name="Гиперссылка 2" xfId="24035" hidden="1"/>
    <cellStyle name="Гиперссылка 2" xfId="25021" hidden="1"/>
    <cellStyle name="Гиперссылка 2" xfId="23981" hidden="1"/>
    <cellStyle name="Гиперссылка 2" xfId="25191" hidden="1"/>
    <cellStyle name="Гиперссылка 2" xfId="25414" hidden="1"/>
    <cellStyle name="Гиперссылка 2" xfId="24371" hidden="1"/>
    <cellStyle name="Гиперссылка 2" xfId="24106" hidden="1"/>
    <cellStyle name="Гиперссылка 2" xfId="25459" hidden="1"/>
    <cellStyle name="Гиперссылка 2" xfId="25458" hidden="1"/>
    <cellStyle name="Гиперссылка 2" xfId="25461" hidden="1"/>
    <cellStyle name="Гиперссылка 2" xfId="25462" hidden="1"/>
    <cellStyle name="Гиперссылка 2" xfId="25467" hidden="1"/>
    <cellStyle name="Гиперссылка 2" xfId="25468" hidden="1"/>
    <cellStyle name="Гиперссылка 2" xfId="25464" hidden="1"/>
    <cellStyle name="Гиперссылка 2" xfId="25463" hidden="1"/>
    <cellStyle name="Гиперссылка 2" xfId="25466" hidden="1"/>
    <cellStyle name="Гиперссылка 2" xfId="25465" hidden="1"/>
    <cellStyle name="Гиперссылка 2" xfId="25470" hidden="1"/>
    <cellStyle name="Гиперссылка 2" xfId="25469" hidden="1"/>
    <cellStyle name="Гиперссылка 2" xfId="25471" hidden="1"/>
    <cellStyle name="Гиперссылка 2" xfId="25472" hidden="1"/>
    <cellStyle name="Гиперссылка 2" xfId="25477" hidden="1"/>
    <cellStyle name="Гиперссылка 2" xfId="25478" hidden="1"/>
    <cellStyle name="Гиперссылка 2" xfId="25474" hidden="1"/>
    <cellStyle name="Гиперссылка 2" xfId="25473" hidden="1"/>
    <cellStyle name="Гиперссылка 2" xfId="25476" hidden="1"/>
    <cellStyle name="Гиперссылка 2" xfId="25475" hidden="1"/>
    <cellStyle name="Гиперссылка 2" xfId="25480" hidden="1"/>
    <cellStyle name="Гиперссылка 2" xfId="25479" hidden="1"/>
    <cellStyle name="Гиперссылка 2" xfId="25481" hidden="1"/>
    <cellStyle name="Гиперссылка 2" xfId="25482" hidden="1"/>
    <cellStyle name="Гиперссылка 2" xfId="25487" hidden="1"/>
    <cellStyle name="Гиперссылка 2" xfId="25488" hidden="1"/>
    <cellStyle name="Гиперссылка 2" xfId="25484" hidden="1"/>
    <cellStyle name="Гиперссылка 2" xfId="25483" hidden="1"/>
    <cellStyle name="Гиперссылка 2" xfId="25486" hidden="1"/>
    <cellStyle name="Гиперссылка 2" xfId="25485" hidden="1"/>
    <cellStyle name="Гиперссылка 2" xfId="25490" hidden="1"/>
    <cellStyle name="Гиперссылка 2" xfId="25489" hidden="1"/>
    <cellStyle name="Гиперссылка 2" xfId="23672" hidden="1"/>
    <cellStyle name="Гиперссылка 2" xfId="24573" hidden="1"/>
    <cellStyle name="Гиперссылка 2" xfId="24055" hidden="1"/>
    <cellStyle name="Гиперссылка 2" xfId="25252" hidden="1"/>
    <cellStyle name="Гиперссылка 2" xfId="25453" hidden="1"/>
    <cellStyle name="Гиперссылка 2" xfId="25460" hidden="1"/>
    <cellStyle name="Гиперссылка 2" xfId="24486" hidden="1"/>
    <cellStyle name="Гиперссылка 2" xfId="25449" hidden="1"/>
    <cellStyle name="Гиперссылка 2" xfId="25502" hidden="1"/>
    <cellStyle name="Гиперссылка 2" xfId="25501" hidden="1"/>
    <cellStyle name="Гиперссылка 2" xfId="25505" hidden="1"/>
    <cellStyle name="Гиперссылка 2" xfId="25506" hidden="1"/>
    <cellStyle name="Гиперссылка 2" xfId="25511" hidden="1"/>
    <cellStyle name="Гиперссылка 2" xfId="25512" hidden="1"/>
    <cellStyle name="Гиперссылка 2" xfId="25508" hidden="1"/>
    <cellStyle name="Гиперссылка 2" xfId="25507" hidden="1"/>
    <cellStyle name="Гиперссылка 2" xfId="25510" hidden="1"/>
    <cellStyle name="Гиперссылка 2" xfId="25509" hidden="1"/>
    <cellStyle name="Гиперссылка 2" xfId="25514" hidden="1"/>
    <cellStyle name="Гиперссылка 2" xfId="25513" hidden="1"/>
    <cellStyle name="Гиперссылка 2" xfId="25515" hidden="1"/>
    <cellStyle name="Гиперссылка 2" xfId="25516" hidden="1"/>
    <cellStyle name="Гиперссылка 2" xfId="25521" hidden="1"/>
    <cellStyle name="Гиперссылка 2" xfId="25522" hidden="1"/>
    <cellStyle name="Гиперссылка 2" xfId="25518" hidden="1"/>
    <cellStyle name="Гиперссылка 2" xfId="25517" hidden="1"/>
    <cellStyle name="Гиперссылка 2" xfId="25520" hidden="1"/>
    <cellStyle name="Гиперссылка 2" xfId="25519" hidden="1"/>
    <cellStyle name="Гиперссылка 2" xfId="25524" hidden="1"/>
    <cellStyle name="Гиперссылка 2" xfId="25523" hidden="1"/>
    <cellStyle name="Гиперссылка 2" xfId="25525" hidden="1"/>
    <cellStyle name="Гиперссылка 2" xfId="25526" hidden="1"/>
    <cellStyle name="Гиперссылка 2" xfId="25531" hidden="1"/>
    <cellStyle name="Гиперссылка 2" xfId="25532" hidden="1"/>
    <cellStyle name="Гиперссылка 2" xfId="25528" hidden="1"/>
    <cellStyle name="Гиперссылка 2" xfId="25527" hidden="1"/>
    <cellStyle name="Гиперссылка 2" xfId="25530" hidden="1"/>
    <cellStyle name="Гиперссылка 2" xfId="25529" hidden="1"/>
    <cellStyle name="Гиперссылка 2" xfId="25534" hidden="1"/>
    <cellStyle name="Гиперссылка 2" xfId="25533" hidden="1"/>
    <cellStyle name="Гиперссылка 2" xfId="25450" hidden="1"/>
    <cellStyle name="Гиперссылка 2" xfId="25098" hidden="1"/>
    <cellStyle name="Гиперссылка 2" xfId="23557" hidden="1"/>
    <cellStyle name="Гиперссылка 2" xfId="24506" hidden="1"/>
    <cellStyle name="Гиперссылка 2" xfId="25495" hidden="1"/>
    <cellStyle name="Гиперссылка 2" xfId="25503" hidden="1"/>
    <cellStyle name="Гиперссылка 2" xfId="25148" hidden="1"/>
    <cellStyle name="Гиперссылка 2" xfId="25491" hidden="1"/>
    <cellStyle name="Гиперссылка 2" xfId="25544" hidden="1"/>
    <cellStyle name="Гиперссылка 2" xfId="25543" hidden="1"/>
    <cellStyle name="Гиперссылка 2" xfId="25547" hidden="1"/>
    <cellStyle name="Гиперссылка 2" xfId="25548" hidden="1"/>
    <cellStyle name="Гиперссылка 2" xfId="25553" hidden="1"/>
    <cellStyle name="Гиперссылка 2" xfId="25554" hidden="1"/>
    <cellStyle name="Гиперссылка 2" xfId="25550" hidden="1"/>
    <cellStyle name="Гиперссылка 2" xfId="25549" hidden="1"/>
    <cellStyle name="Гиперссылка 2" xfId="25552" hidden="1"/>
    <cellStyle name="Гиперссылка 2" xfId="25551" hidden="1"/>
    <cellStyle name="Гиперссылка 2" xfId="25556" hidden="1"/>
    <cellStyle name="Гиперссылка 2" xfId="25555" hidden="1"/>
    <cellStyle name="Гиперссылка 2" xfId="25557" hidden="1"/>
    <cellStyle name="Гиперссылка 2" xfId="25558" hidden="1"/>
    <cellStyle name="Гиперссылка 2" xfId="25563" hidden="1"/>
    <cellStyle name="Гиперссылка 2" xfId="25564" hidden="1"/>
    <cellStyle name="Гиперссылка 2" xfId="25560" hidden="1"/>
    <cellStyle name="Гиперссылка 2" xfId="25559" hidden="1"/>
    <cellStyle name="Гиперссылка 2" xfId="25562" hidden="1"/>
    <cellStyle name="Гиперссылка 2" xfId="25561" hidden="1"/>
    <cellStyle name="Гиперссылка 2" xfId="25566" hidden="1"/>
    <cellStyle name="Гиперссылка 2" xfId="25565" hidden="1"/>
    <cellStyle name="Гиперссылка 2" xfId="25567" hidden="1"/>
    <cellStyle name="Гиперссылка 2" xfId="25568" hidden="1"/>
    <cellStyle name="Гиперссылка 2" xfId="25573" hidden="1"/>
    <cellStyle name="Гиперссылка 2" xfId="25574" hidden="1"/>
    <cellStyle name="Гиперссылка 2" xfId="25570" hidden="1"/>
    <cellStyle name="Гиперссылка 2" xfId="25569" hidden="1"/>
    <cellStyle name="Гиперссылка 2" xfId="25572" hidden="1"/>
    <cellStyle name="Гиперссылка 2" xfId="25571" hidden="1"/>
    <cellStyle name="Гиперссылка 2" xfId="25576" hidden="1"/>
    <cellStyle name="Гиперссылка 2" xfId="25575" hidden="1"/>
    <cellStyle name="Гиперссылка 2" xfId="25492" hidden="1"/>
    <cellStyle name="Гиперссылка 2" xfId="24146" hidden="1"/>
    <cellStyle name="Гиперссылка 2" xfId="23829" hidden="1"/>
    <cellStyle name="Гиперссылка 2" xfId="24182" hidden="1"/>
    <cellStyle name="Гиперссылка 2" xfId="25539" hidden="1"/>
    <cellStyle name="Гиперссылка 2" xfId="25545" hidden="1"/>
    <cellStyle name="Гиперссылка 2" xfId="25207" hidden="1"/>
    <cellStyle name="Гиперссылка 2" xfId="25536" hidden="1"/>
    <cellStyle name="Гиперссылка 2" xfId="25585" hidden="1"/>
    <cellStyle name="Гиперссылка 2" xfId="25584" hidden="1"/>
    <cellStyle name="Гиперссылка 2" xfId="25587" hidden="1"/>
    <cellStyle name="Гиперссылка 2" xfId="25588" hidden="1"/>
    <cellStyle name="Гиперссылка 2" xfId="25593" hidden="1"/>
    <cellStyle name="Гиперссылка 2" xfId="25594" hidden="1"/>
    <cellStyle name="Гиперссылка 2" xfId="25590" hidden="1"/>
    <cellStyle name="Гиперссылка 2" xfId="25589" hidden="1"/>
    <cellStyle name="Гиперссылка 2" xfId="25592" hidden="1"/>
    <cellStyle name="Гиперссылка 2" xfId="25591" hidden="1"/>
    <cellStyle name="Гиперссылка 2" xfId="25596" hidden="1"/>
    <cellStyle name="Гиперссылка 2" xfId="25595" hidden="1"/>
    <cellStyle name="Гиперссылка 2" xfId="25597" hidden="1"/>
    <cellStyle name="Гиперссылка 2" xfId="25598" hidden="1"/>
    <cellStyle name="Гиперссылка 2" xfId="25603" hidden="1"/>
    <cellStyle name="Гиперссылка 2" xfId="25604" hidden="1"/>
    <cellStyle name="Гиперссылка 2" xfId="25600" hidden="1"/>
    <cellStyle name="Гиперссылка 2" xfId="25599" hidden="1"/>
    <cellStyle name="Гиперссылка 2" xfId="25602" hidden="1"/>
    <cellStyle name="Гиперссылка 2" xfId="25601" hidden="1"/>
    <cellStyle name="Гиперссылка 2" xfId="25606" hidden="1"/>
    <cellStyle name="Гиперссылка 2" xfId="25605" hidden="1"/>
    <cellStyle name="Гиперссылка 2" xfId="25607" hidden="1"/>
    <cellStyle name="Гиперссылка 2" xfId="25608" hidden="1"/>
    <cellStyle name="Гиперссылка 2" xfId="25613" hidden="1"/>
    <cellStyle name="Гиперссылка 2" xfId="25614" hidden="1"/>
    <cellStyle name="Гиперссылка 2" xfId="25610" hidden="1"/>
    <cellStyle name="Гиперссылка 2" xfId="25609" hidden="1"/>
    <cellStyle name="Гиперссылка 2" xfId="25612" hidden="1"/>
    <cellStyle name="Гиперссылка 2" xfId="25611" hidden="1"/>
    <cellStyle name="Гиперссылка 2" xfId="25616" hidden="1"/>
    <cellStyle name="Гиперссылка 2" xfId="25615" hidden="1"/>
    <cellStyle name="Гиперссылка 2" xfId="25537" hidden="1"/>
    <cellStyle name="Гиперссылка 2" xfId="25144" hidden="1"/>
    <cellStyle name="Гиперссылка 2" xfId="23767" hidden="1"/>
    <cellStyle name="Гиперссылка 2" xfId="24129" hidden="1"/>
    <cellStyle name="Гиперссылка 2" xfId="25580" hidden="1"/>
    <cellStyle name="Гиперссылка 2" xfId="25586" hidden="1"/>
    <cellStyle name="Гиперссылка 2" xfId="25409" hidden="1"/>
    <cellStyle name="Гиперссылка 2" xfId="25577" hidden="1"/>
    <cellStyle name="Гиперссылка 2" xfId="25623" hidden="1"/>
    <cellStyle name="Гиперссылка 2" xfId="25622" hidden="1"/>
    <cellStyle name="Гиперссылка 2" xfId="25626" hidden="1"/>
    <cellStyle name="Гиперссылка 2" xfId="25627" hidden="1"/>
    <cellStyle name="Гиперссылка 2" xfId="25632" hidden="1"/>
    <cellStyle name="Гиперссылка 2" xfId="25633" hidden="1"/>
    <cellStyle name="Гиперссылка 2" xfId="25629" hidden="1"/>
    <cellStyle name="Гиперссылка 2" xfId="25628" hidden="1"/>
    <cellStyle name="Гиперссылка 2" xfId="25631" hidden="1"/>
    <cellStyle name="Гиперссылка 2" xfId="25630" hidden="1"/>
    <cellStyle name="Гиперссылка 2" xfId="25635" hidden="1"/>
    <cellStyle name="Гиперссылка 2" xfId="25634" hidden="1"/>
    <cellStyle name="Гиперссылка 2" xfId="25636" hidden="1"/>
    <cellStyle name="Гиперссылка 2" xfId="25637" hidden="1"/>
    <cellStyle name="Гиперссылка 2" xfId="25642" hidden="1"/>
    <cellStyle name="Гиперссылка 2" xfId="25643" hidden="1"/>
    <cellStyle name="Гиперссылка 2" xfId="25639" hidden="1"/>
    <cellStyle name="Гиперссылка 2" xfId="25638" hidden="1"/>
    <cellStyle name="Гиперссылка 2" xfId="25641" hidden="1"/>
    <cellStyle name="Гиперссылка 2" xfId="25640" hidden="1"/>
    <cellStyle name="Гиперссылка 2" xfId="25645" hidden="1"/>
    <cellStyle name="Гиперссылка 2" xfId="25644" hidden="1"/>
    <cellStyle name="Гиперссылка 2" xfId="25646" hidden="1"/>
    <cellStyle name="Гиперссылка 2" xfId="25647" hidden="1"/>
    <cellStyle name="Гиперссылка 2" xfId="25652" hidden="1"/>
    <cellStyle name="Гиперссылка 2" xfId="25653" hidden="1"/>
    <cellStyle name="Гиперссылка 2" xfId="25649" hidden="1"/>
    <cellStyle name="Гиперссылка 2" xfId="25648" hidden="1"/>
    <cellStyle name="Гиперссылка 2" xfId="25651" hidden="1"/>
    <cellStyle name="Гиперссылка 2" xfId="25650" hidden="1"/>
    <cellStyle name="Гиперссылка 2" xfId="25655" hidden="1"/>
    <cellStyle name="Гиперссылка 2" xfId="25654" hidden="1"/>
    <cellStyle name="Гиперссылка 2" xfId="25578" hidden="1"/>
    <cellStyle name="Гиперссылка 2" xfId="25028" hidden="1"/>
    <cellStyle name="Гиперссылка 2" xfId="25452" hidden="1"/>
    <cellStyle name="Гиперссылка 2" xfId="23877" hidden="1"/>
    <cellStyle name="Гиперссылка 2" xfId="25620" hidden="1"/>
    <cellStyle name="Гиперссылка 2" xfId="25624" hidden="1"/>
    <cellStyle name="Гиперссылка 2" xfId="25457" hidden="1"/>
    <cellStyle name="Гиперссылка 2" xfId="25618" hidden="1"/>
    <cellStyle name="Гиперссылка 2" xfId="25657" hidden="1"/>
    <cellStyle name="Гиперссылка 2" xfId="25656" hidden="1"/>
    <cellStyle name="Гиперссылка 2" xfId="25658" hidden="1"/>
    <cellStyle name="Гиперссылка 2" xfId="25659" hidden="1"/>
    <cellStyle name="Гиперссылка 2" xfId="25664" hidden="1"/>
    <cellStyle name="Гиперссылка 2" xfId="25665" hidden="1"/>
    <cellStyle name="Гиперссылка 2" xfId="25661" hidden="1"/>
    <cellStyle name="Гиперссылка 2" xfId="25660" hidden="1"/>
    <cellStyle name="Гиперссылка 2" xfId="25663" hidden="1"/>
    <cellStyle name="Гиперссылка 2" xfId="25662" hidden="1"/>
    <cellStyle name="Гиперссылка 2" xfId="25667" hidden="1"/>
    <cellStyle name="Гиперссылка 2" xfId="25666" hidden="1"/>
    <cellStyle name="Гиперссылка 2" xfId="25668" hidden="1"/>
    <cellStyle name="Гиперссылка 2" xfId="25669" hidden="1"/>
    <cellStyle name="Гиперссылка 2" xfId="25674" hidden="1"/>
    <cellStyle name="Гиперссылка 2" xfId="25675" hidden="1"/>
    <cellStyle name="Гиперссылка 2" xfId="25671" hidden="1"/>
    <cellStyle name="Гиперссылка 2" xfId="25670" hidden="1"/>
    <cellStyle name="Гиперссылка 2" xfId="25673" hidden="1"/>
    <cellStyle name="Гиперссылка 2" xfId="25672" hidden="1"/>
    <cellStyle name="Гиперссылка 2" xfId="25677" hidden="1"/>
    <cellStyle name="Гиперссылка 2" xfId="25676" hidden="1"/>
    <cellStyle name="Гиперссылка 2" xfId="25678" hidden="1"/>
    <cellStyle name="Гиперссылка 2" xfId="25679" hidden="1"/>
    <cellStyle name="Гиперссылка 2" xfId="25684" hidden="1"/>
    <cellStyle name="Гиперссылка 2" xfId="25685" hidden="1"/>
    <cellStyle name="Гиперссылка 2" xfId="25681" hidden="1"/>
    <cellStyle name="Гиперссылка 2" xfId="25680" hidden="1"/>
    <cellStyle name="Гиперссылка 2" xfId="25683" hidden="1"/>
    <cellStyle name="Гиперссылка 2" xfId="25682" hidden="1"/>
    <cellStyle name="Гиперссылка 2" xfId="25687" hidden="1"/>
    <cellStyle name="Гиперссылка 2" xfId="25686" hidden="1"/>
    <cellStyle name="Гиперссылка 2" xfId="25104" hidden="1"/>
    <cellStyle name="Гиперссылка 2" xfId="23942" hidden="1"/>
    <cellStyle name="Гиперссылка 2" xfId="24444" hidden="1"/>
    <cellStyle name="Гиперссылка 2" xfId="24412" hidden="1"/>
    <cellStyle name="Гиперссылка 2" xfId="25500" hidden="1"/>
    <cellStyle name="Гиперссылка 2" xfId="24789" hidden="1"/>
    <cellStyle name="Гиперссылка 2" xfId="23597" hidden="1"/>
    <cellStyle name="Гиперссылка 2" xfId="24852" hidden="1"/>
    <cellStyle name="Гиперссылка 2" xfId="24133" hidden="1"/>
    <cellStyle name="Гиперссылка 2" xfId="24877" hidden="1"/>
    <cellStyle name="Гиперссылка 2" xfId="25451" hidden="1"/>
    <cellStyle name="Гиперссылка 2" xfId="24061" hidden="1"/>
    <cellStyle name="Гиперссылка 2" xfId="23647" hidden="1"/>
    <cellStyle name="Гиперссылка 2" xfId="25103" hidden="1"/>
    <cellStyle name="Гиперссылка 2" xfId="23612" hidden="1"/>
    <cellStyle name="Гиперссылка 2" xfId="8848" hidden="1"/>
    <cellStyle name="Гиперссылка 2" xfId="24754" hidden="1"/>
    <cellStyle name="Гиперссылка 2" xfId="23731" hidden="1"/>
    <cellStyle name="Гиперссылка 2" xfId="25157" hidden="1"/>
    <cellStyle name="Гиперссылка 2" xfId="25344" hidden="1"/>
    <cellStyle name="Гиперссылка 2" xfId="25583" hidden="1"/>
    <cellStyle name="Гиперссылка 2" xfId="25498" hidden="1"/>
    <cellStyle name="Гиперссылка 2" xfId="23935" hidden="1"/>
    <cellStyle name="Гиперссылка 2" xfId="23645" hidden="1"/>
    <cellStyle name="Гиперссылка 2" xfId="25494" hidden="1"/>
    <cellStyle name="Гиперссылка 2" xfId="25579" hidden="1"/>
    <cellStyle name="Гиперссылка 2" xfId="24206" hidden="1"/>
    <cellStyle name="Гиперссылка 2" xfId="25288" hidden="1"/>
    <cellStyle name="Гиперссылка 2" xfId="23868" hidden="1"/>
    <cellStyle name="Гиперссылка 2" xfId="8754" hidden="1"/>
    <cellStyle name="Гиперссылка 2" xfId="24881" hidden="1"/>
    <cellStyle name="Гиперссылка 2" xfId="24746" hidden="1"/>
    <cellStyle name="Гиперссылка 2" xfId="23589" hidden="1"/>
    <cellStyle name="Гиперссылка 2" xfId="9421" hidden="1"/>
    <cellStyle name="Гиперссылка 2" xfId="24021" hidden="1"/>
    <cellStyle name="Гиперссылка 2" xfId="24370" hidden="1"/>
    <cellStyle name="Гиперссылка 2" xfId="25413" hidden="1"/>
    <cellStyle name="Гиперссылка 2" xfId="23600" hidden="1"/>
    <cellStyle name="Гиперссылка 2" xfId="24144" hidden="1"/>
    <cellStyle name="Гиперссылка 2" xfId="25455" hidden="1"/>
    <cellStyle name="Гиперссылка 2" xfId="24192" hidden="1"/>
    <cellStyle name="Гиперссылка 2" xfId="25417" hidden="1"/>
    <cellStyle name="Гиперссылка 2" xfId="25497" hidden="1"/>
    <cellStyle name="Гиперссылка 2" xfId="25415" hidden="1"/>
    <cellStyle name="Гиперссылка 2" xfId="23602" hidden="1"/>
    <cellStyle name="Гиперссылка 2" xfId="25302" hidden="1"/>
    <cellStyle name="Гиперссылка 2" xfId="25142" hidden="1"/>
    <cellStyle name="Гиперссылка 2" xfId="24491" hidden="1"/>
    <cellStyle name="Гиперссылка 2" xfId="25145" hidden="1"/>
    <cellStyle name="Гиперссылка 2" xfId="8778" hidden="1"/>
    <cellStyle name="Гиперссылка 2" xfId="24551" hidden="1"/>
    <cellStyle name="Гиперссылка 2" xfId="25141" hidden="1"/>
    <cellStyle name="Гиперссылка 2" xfId="25619" hidden="1"/>
    <cellStyle name="Гиперссылка 2" xfId="25538" hidden="1"/>
    <cellStyle name="Гиперссылка 2" xfId="23730" hidden="1"/>
    <cellStyle name="Гиперссылка 2" xfId="23865" hidden="1"/>
    <cellStyle name="Гиперссылка 2" xfId="24807" hidden="1"/>
    <cellStyle name="Гиперссылка 2" xfId="23844" hidden="1"/>
    <cellStyle name="Гиперссылка 2" xfId="25499" hidden="1"/>
    <cellStyle name="Гиперссылка 2" xfId="24411" hidden="1"/>
    <cellStyle name="Гиперссылка 2" xfId="24870" hidden="1"/>
    <cellStyle name="Гиперссылка 2" xfId="25198" hidden="1"/>
    <cellStyle name="Гиперссылка 2" xfId="23987" hidden="1"/>
    <cellStyle name="Гиперссылка 2" xfId="24860" hidden="1"/>
    <cellStyle name="Гиперссылка 2" xfId="24752" hidden="1"/>
    <cellStyle name="Гиперссылка 2" xfId="9170" hidden="1"/>
    <cellStyle name="Гиперссылка 2" xfId="25242" hidden="1"/>
    <cellStyle name="Гиперссылка 2" xfId="24027" hidden="1"/>
    <cellStyle name="Гиперссылка 2" xfId="24292" hidden="1"/>
    <cellStyle name="Гиперссылка 2" xfId="24936" hidden="1"/>
    <cellStyle name="Гиперссылка 2" xfId="24974" hidden="1"/>
    <cellStyle name="Гиперссылка 2" xfId="25542" hidden="1"/>
    <cellStyle name="Гиперссылка 2" xfId="25416" hidden="1"/>
    <cellStyle name="Гиперссылка 2" xfId="24373" hidden="1"/>
    <cellStyle name="Гиперссылка 2" xfId="25625" hidden="1"/>
    <cellStyle name="Гиперссылка 2" xfId="25410" hidden="1"/>
    <cellStyle name="Гиперссылка 2" xfId="25504" hidden="1"/>
    <cellStyle name="Гиперссылка 2" xfId="25546" hidden="1"/>
    <cellStyle name="Гиперссылка 2" xfId="23715" hidden="1"/>
    <cellStyle name="Гиперссылка 2" xfId="25146" hidden="1"/>
    <cellStyle name="Гиперссылка 2" xfId="25456" hidden="1"/>
    <cellStyle name="Гиперссылка 2" xfId="24060" hidden="1"/>
    <cellStyle name="Гиперссылка 2" xfId="23560" hidden="1"/>
    <cellStyle name="Гиперссылка 2" xfId="24297" hidden="1"/>
    <cellStyle name="Гиперссылка 2" xfId="23961" hidden="1"/>
    <cellStyle name="Гиперссылка 2" xfId="8951" hidden="1"/>
    <cellStyle name="Гиперссылка 2" xfId="23558" hidden="1"/>
    <cellStyle name="Гиперссылка 2" xfId="23977" hidden="1"/>
    <cellStyle name="Гиперссылка 2" xfId="25195" hidden="1"/>
    <cellStyle name="Гиперссылка 2" xfId="23599" hidden="1"/>
    <cellStyle name="Гиперссылка 2" xfId="25493" hidden="1"/>
    <cellStyle name="Гиперссылка 2" xfId="24023" hidden="1"/>
    <cellStyle name="Гиперссылка 2" xfId="24138" hidden="1"/>
    <cellStyle name="Гиперссылка 2" xfId="24617" hidden="1"/>
    <cellStyle name="Гиперссылка 2" xfId="24221" hidden="1"/>
    <cellStyle name="Гиперссылка 2" xfId="9670" hidden="1"/>
    <cellStyle name="Гиперссылка 2" xfId="25297" hidden="1"/>
    <cellStyle name="Гиперссылка 2" xfId="24410" hidden="1"/>
    <cellStyle name="Гиперссылка 2" xfId="25136" hidden="1"/>
    <cellStyle name="Гиперссылка 2" xfId="24859" hidden="1"/>
    <cellStyle name="Гиперссылка 2" xfId="25581" hidden="1"/>
    <cellStyle name="Гиперссылка 2" xfId="25496" hidden="1"/>
    <cellStyle name="Гиперссылка 2" xfId="25341" hidden="1"/>
    <cellStyle name="Гиперссылка 2" xfId="24679" hidden="1"/>
    <cellStyle name="Гиперссылка 2" xfId="25535" hidden="1"/>
    <cellStyle name="Гиперссылка 2" xfId="25617" hidden="1"/>
    <cellStyle name="Гиперссылка 2" xfId="23741" hidden="1"/>
    <cellStyle name="Гиперссылка 2" xfId="25448" hidden="1"/>
    <cellStyle name="Гиперссылка 2" xfId="24198" hidden="1"/>
    <cellStyle name="Гиперссылка 2" xfId="24301" hidden="1"/>
    <cellStyle name="Гиперссылка 2" xfId="25196" hidden="1"/>
    <cellStyle name="Гиперссылка 2" xfId="24634" hidden="1"/>
    <cellStyle name="Гиперссылка 2" xfId="25540" hidden="1"/>
    <cellStyle name="Гиперссылка 2" xfId="25454" hidden="1"/>
    <cellStyle name="Гиперссылка 2" xfId="25337" hidden="1"/>
    <cellStyle name="Гиперссылка 2" xfId="24194" hidden="1"/>
    <cellStyle name="Гиперссылка 2" xfId="25621" hidden="1"/>
    <cellStyle name="Гиперссылка 2" xfId="8824" hidden="1"/>
    <cellStyle name="Гиперссылка 2" xfId="25541" hidden="1"/>
    <cellStyle name="Гиперссылка 2" xfId="25582" hidden="1"/>
    <cellStyle name="Гиперссылка 2" xfId="25801" hidden="1"/>
    <cellStyle name="Гиперссылка 2" xfId="25802" hidden="1"/>
    <cellStyle name="Гиперссылка 2" xfId="25812" hidden="1"/>
    <cellStyle name="Гиперссылка 2" xfId="25813" hidden="1"/>
    <cellStyle name="Гиперссылка 2" xfId="25806" hidden="1"/>
    <cellStyle name="Гиперссылка 2" xfId="25803" hidden="1"/>
    <cellStyle name="Гиперссылка 2" xfId="25811" hidden="1"/>
    <cellStyle name="Гиперссылка 2" xfId="25810" hidden="1"/>
    <cellStyle name="Гиперссылка 2" xfId="25818" hidden="1"/>
    <cellStyle name="Гиперссылка 2" xfId="25817" hidden="1"/>
    <cellStyle name="Гиперссылка 2" xfId="25820" hidden="1"/>
    <cellStyle name="Гиперссылка 2" xfId="25821" hidden="1"/>
    <cellStyle name="Гиперссылка 2" xfId="25826" hidden="1"/>
    <cellStyle name="Гиперссылка 2" xfId="25827" hidden="1"/>
    <cellStyle name="Гиперссылка 2" xfId="25823" hidden="1"/>
    <cellStyle name="Гиперссылка 2" xfId="25822" hidden="1"/>
    <cellStyle name="Гиперссылка 2" xfId="25825" hidden="1"/>
    <cellStyle name="Гиперссылка 2" xfId="25824" hidden="1"/>
    <cellStyle name="Гиперссылка 2" xfId="25829" hidden="1"/>
    <cellStyle name="Гиперссылка 2" xfId="25828" hidden="1"/>
    <cellStyle name="Гиперссылка 2" xfId="25831" hidden="1"/>
    <cellStyle name="Гиперссылка 2" xfId="25832" hidden="1"/>
    <cellStyle name="Гиперссылка 2" xfId="25837" hidden="1"/>
    <cellStyle name="Гиперссылка 2" xfId="25838" hidden="1"/>
    <cellStyle name="Гиперссылка 2" xfId="25834" hidden="1"/>
    <cellStyle name="Гиперссылка 2" xfId="25833" hidden="1"/>
    <cellStyle name="Гиперссылка 2" xfId="25836" hidden="1"/>
    <cellStyle name="Гиперссылка 2" xfId="25835" hidden="1"/>
    <cellStyle name="Гиперссылка 2" xfId="25840" hidden="1"/>
    <cellStyle name="Гиперссылка 2" xfId="25839" hidden="1"/>
    <cellStyle name="Гиперссылка 2" xfId="25841" hidden="1"/>
    <cellStyle name="Гиперссылка 2" xfId="25842" hidden="1"/>
    <cellStyle name="Гиперссылка 2" xfId="25847" hidden="1"/>
    <cellStyle name="Гиперссылка 2" xfId="25848" hidden="1"/>
    <cellStyle name="Гиперссылка 2" xfId="25844" hidden="1"/>
    <cellStyle name="Гиперссылка 2" xfId="25843" hidden="1"/>
    <cellStyle name="Гиперссылка 2" xfId="25846" hidden="1"/>
    <cellStyle name="Гиперссылка 2" xfId="25845" hidden="1"/>
    <cellStyle name="Гиперссылка 2" xfId="25850" hidden="1"/>
    <cellStyle name="Гиперссылка 2" xfId="25849" hidden="1"/>
    <cellStyle name="Гиперссылка 2" xfId="25855" hidden="1"/>
    <cellStyle name="Гиперссылка 2" xfId="25856" hidden="1"/>
    <cellStyle name="Гиперссылка 2" xfId="25873" hidden="1"/>
    <cellStyle name="Гиперссылка 2" xfId="25874" hidden="1"/>
    <cellStyle name="Гиперссылка 2" xfId="25860" hidden="1"/>
    <cellStyle name="Гиперссылка 2" xfId="25857" hidden="1"/>
    <cellStyle name="Гиперссылка 2" xfId="25870" hidden="1"/>
    <cellStyle name="Гиперссылка 2" xfId="25869" hidden="1"/>
    <cellStyle name="Гиперссылка 2" xfId="25884" hidden="1"/>
    <cellStyle name="Гиперссылка 2" xfId="25883" hidden="1"/>
    <cellStyle name="Гиперссылка 2" xfId="25886" hidden="1"/>
    <cellStyle name="Гиперссылка 2" xfId="25887" hidden="1"/>
    <cellStyle name="Гиперссылка 2" xfId="25892" hidden="1"/>
    <cellStyle name="Гиперссылка 2" xfId="25893" hidden="1"/>
    <cellStyle name="Гиперссылка 2" xfId="25889" hidden="1"/>
    <cellStyle name="Гиперссылка 2" xfId="25888" hidden="1"/>
    <cellStyle name="Гиперссылка 2" xfId="25891" hidden="1"/>
    <cellStyle name="Гиперссылка 2" xfId="25890" hidden="1"/>
    <cellStyle name="Гиперссылка 2" xfId="25895" hidden="1"/>
    <cellStyle name="Гиперссылка 2" xfId="25894" hidden="1"/>
    <cellStyle name="Гиперссылка 2" xfId="25896" hidden="1"/>
    <cellStyle name="Гиперссылка 2" xfId="25897" hidden="1"/>
    <cellStyle name="Гиперссылка 2" xfId="25902" hidden="1"/>
    <cellStyle name="Гиперссылка 2" xfId="25903" hidden="1"/>
    <cellStyle name="Гиперссылка 2" xfId="25899" hidden="1"/>
    <cellStyle name="Гиперссылка 2" xfId="25898" hidden="1"/>
    <cellStyle name="Гиперссылка 2" xfId="25901" hidden="1"/>
    <cellStyle name="Гиперссылка 2" xfId="25900" hidden="1"/>
    <cellStyle name="Гиперссылка 2" xfId="25905" hidden="1"/>
    <cellStyle name="Гиперссылка 2" xfId="25904" hidden="1"/>
    <cellStyle name="Гиперссылка 2" xfId="25906" hidden="1"/>
    <cellStyle name="Гиперссылка 2" xfId="25907" hidden="1"/>
    <cellStyle name="Гиперссылка 2" xfId="25912" hidden="1"/>
    <cellStyle name="Гиперссылка 2" xfId="25913" hidden="1"/>
    <cellStyle name="Гиперссылка 2" xfId="25909" hidden="1"/>
    <cellStyle name="Гиперссылка 2" xfId="25908" hidden="1"/>
    <cellStyle name="Гиперссылка 2" xfId="25911" hidden="1"/>
    <cellStyle name="Гиперссылка 2" xfId="25910" hidden="1"/>
    <cellStyle name="Гиперссылка 2" xfId="25915" hidden="1"/>
    <cellStyle name="Гиперссылка 2" xfId="25914" hidden="1"/>
    <cellStyle name="Гиперссылка 2" xfId="25872" hidden="1"/>
    <cellStyle name="Гиперссылка 2" xfId="25865" hidden="1"/>
    <cellStyle name="Гиперссылка 2" xfId="25875" hidden="1"/>
    <cellStyle name="Гиперссылка 2" xfId="25859" hidden="1"/>
    <cellStyle name="Гиперссылка 2" xfId="25879" hidden="1"/>
    <cellStyle name="Гиперссылка 2" xfId="25885" hidden="1"/>
    <cellStyle name="Гиперссылка 2" xfId="25867" hidden="1"/>
    <cellStyle name="Гиперссылка 2" xfId="25876" hidden="1"/>
    <cellStyle name="Гиперссылка 2" xfId="25924" hidden="1"/>
    <cellStyle name="Гиперссылка 2" xfId="25923" hidden="1"/>
    <cellStyle name="Гиперссылка 2" xfId="25926" hidden="1"/>
    <cellStyle name="Гиперссылка 2" xfId="25927" hidden="1"/>
    <cellStyle name="Гиперссылка 2" xfId="25932" hidden="1"/>
    <cellStyle name="Гиперссылка 2" xfId="25933" hidden="1"/>
    <cellStyle name="Гиперссылка 2" xfId="25929" hidden="1"/>
    <cellStyle name="Гиперссылка 2" xfId="25928" hidden="1"/>
    <cellStyle name="Гиперссылка 2" xfId="25931" hidden="1"/>
    <cellStyle name="Гиперссылка 2" xfId="25930" hidden="1"/>
    <cellStyle name="Гиперссылка 2" xfId="25935" hidden="1"/>
    <cellStyle name="Гиперссылка 2" xfId="25934" hidden="1"/>
    <cellStyle name="Гиперссылка 2" xfId="25936" hidden="1"/>
    <cellStyle name="Гиперссылка 2" xfId="25937" hidden="1"/>
    <cellStyle name="Гиперссылка 2" xfId="25942" hidden="1"/>
    <cellStyle name="Гиперссылка 2" xfId="25943" hidden="1"/>
    <cellStyle name="Гиперссылка 2" xfId="25939" hidden="1"/>
    <cellStyle name="Гиперссылка 2" xfId="25938" hidden="1"/>
    <cellStyle name="Гиперссылка 2" xfId="25941" hidden="1"/>
    <cellStyle name="Гиперссылка 2" xfId="25940" hidden="1"/>
    <cellStyle name="Гиперссылка 2" xfId="25945" hidden="1"/>
    <cellStyle name="Гиперссылка 2" xfId="25944" hidden="1"/>
    <cellStyle name="Гиперссылка 2" xfId="25946" hidden="1"/>
    <cellStyle name="Гиперссылка 2" xfId="25947" hidden="1"/>
    <cellStyle name="Гиперссылка 2" xfId="25952" hidden="1"/>
    <cellStyle name="Гиперссылка 2" xfId="25953" hidden="1"/>
    <cellStyle name="Гиперссылка 2" xfId="25949" hidden="1"/>
    <cellStyle name="Гиперссылка 2" xfId="25948" hidden="1"/>
    <cellStyle name="Гиперссылка 2" xfId="25951" hidden="1"/>
    <cellStyle name="Гиперссылка 2" xfId="25950" hidden="1"/>
    <cellStyle name="Гиперссылка 2" xfId="25955" hidden="1"/>
    <cellStyle name="Гиперссылка 2" xfId="25954" hidden="1"/>
    <cellStyle name="Гиперссылка 2" xfId="25877" hidden="1"/>
    <cellStyle name="Гиперссылка 2" xfId="25788" hidden="1"/>
    <cellStyle name="Гиперссылка 2" xfId="25789" hidden="1"/>
    <cellStyle name="Гиперссылка 2" xfId="25861" hidden="1"/>
    <cellStyle name="Гиперссылка 2" xfId="25919" hidden="1"/>
    <cellStyle name="Гиперссылка 2" xfId="25925" hidden="1"/>
    <cellStyle name="Гиперссылка 2" xfId="25871" hidden="1"/>
    <cellStyle name="Гиперссылка 2" xfId="25916" hidden="1"/>
    <cellStyle name="Гиперссылка 2" xfId="25964" hidden="1"/>
    <cellStyle name="Гиперссылка 2" xfId="25963" hidden="1"/>
    <cellStyle name="Гиперссылка 2" xfId="25966" hidden="1"/>
    <cellStyle name="Гиперссылка 2" xfId="25967" hidden="1"/>
    <cellStyle name="Гиперссылка 2" xfId="25972" hidden="1"/>
    <cellStyle name="Гиперссылка 2" xfId="25973" hidden="1"/>
    <cellStyle name="Гиперссылка 2" xfId="25969" hidden="1"/>
    <cellStyle name="Гиперссылка 2" xfId="25968" hidden="1"/>
    <cellStyle name="Гиперссылка 2" xfId="25971" hidden="1"/>
    <cellStyle name="Гиперссылка 2" xfId="25970" hidden="1"/>
    <cellStyle name="Гиперссылка 2" xfId="25975" hidden="1"/>
    <cellStyle name="Гиперссылка 2" xfId="25974" hidden="1"/>
    <cellStyle name="Гиперссылка 2" xfId="25976" hidden="1"/>
    <cellStyle name="Гиперссылка 2" xfId="25977" hidden="1"/>
    <cellStyle name="Гиперссылка 2" xfId="25982" hidden="1"/>
    <cellStyle name="Гиперссылка 2" xfId="25983" hidden="1"/>
    <cellStyle name="Гиперссылка 2" xfId="25979" hidden="1"/>
    <cellStyle name="Гиперссылка 2" xfId="25978" hidden="1"/>
    <cellStyle name="Гиперссылка 2" xfId="25981" hidden="1"/>
    <cellStyle name="Гиперссылка 2" xfId="25980" hidden="1"/>
    <cellStyle name="Гиперссылка 2" xfId="25985" hidden="1"/>
    <cellStyle name="Гиперссылка 2" xfId="25984" hidden="1"/>
    <cellStyle name="Гиперссылка 2" xfId="25986" hidden="1"/>
    <cellStyle name="Гиперссылка 2" xfId="25987" hidden="1"/>
    <cellStyle name="Гиперссылка 2" xfId="25992" hidden="1"/>
    <cellStyle name="Гиперссылка 2" xfId="25993" hidden="1"/>
    <cellStyle name="Гиперссылка 2" xfId="25989" hidden="1"/>
    <cellStyle name="Гиперссылка 2" xfId="25988" hidden="1"/>
    <cellStyle name="Гиперссылка 2" xfId="25991" hidden="1"/>
    <cellStyle name="Гиперссылка 2" xfId="25990" hidden="1"/>
    <cellStyle name="Гиперссылка 2" xfId="25995" hidden="1"/>
    <cellStyle name="Гиперссылка 2" xfId="25994" hidden="1"/>
    <cellStyle name="Гиперссылка 2" xfId="25917" hidden="1"/>
    <cellStyle name="Гиперссылка 2" xfId="25790" hidden="1"/>
    <cellStyle name="Гиперссылка 2" xfId="25863" hidden="1"/>
    <cellStyle name="Гиперссылка 2" xfId="25791" hidden="1"/>
    <cellStyle name="Гиперссылка 2" xfId="25959" hidden="1"/>
    <cellStyle name="Гиперссылка 2" xfId="25965" hidden="1"/>
    <cellStyle name="Гиперссылка 2" xfId="25866" hidden="1"/>
    <cellStyle name="Гиперссылка 2" xfId="25956" hidden="1"/>
    <cellStyle name="Гиперссылка 2" xfId="26004" hidden="1"/>
    <cellStyle name="Гиперссылка 2" xfId="26003" hidden="1"/>
    <cellStyle name="Гиперссылка 2" xfId="26006" hidden="1"/>
    <cellStyle name="Гиперссылка 2" xfId="26007" hidden="1"/>
    <cellStyle name="Гиперссылка 2" xfId="26012" hidden="1"/>
    <cellStyle name="Гиперссылка 2" xfId="26013" hidden="1"/>
    <cellStyle name="Гиперссылка 2" xfId="26009" hidden="1"/>
    <cellStyle name="Гиперссылка 2" xfId="26008" hidden="1"/>
    <cellStyle name="Гиперссылка 2" xfId="26011" hidden="1"/>
    <cellStyle name="Гиперссылка 2" xfId="26010" hidden="1"/>
    <cellStyle name="Гиперссылка 2" xfId="26015" hidden="1"/>
    <cellStyle name="Гиперссылка 2" xfId="26014" hidden="1"/>
    <cellStyle name="Гиперссылка 2" xfId="26016" hidden="1"/>
    <cellStyle name="Гиперссылка 2" xfId="26017" hidden="1"/>
    <cellStyle name="Гиперссылка 2" xfId="26022" hidden="1"/>
    <cellStyle name="Гиперссылка 2" xfId="26023" hidden="1"/>
    <cellStyle name="Гиперссылка 2" xfId="26019" hidden="1"/>
    <cellStyle name="Гиперссылка 2" xfId="26018" hidden="1"/>
    <cellStyle name="Гиперссылка 2" xfId="26021" hidden="1"/>
    <cellStyle name="Гиперссылка 2" xfId="26020" hidden="1"/>
    <cellStyle name="Гиперссылка 2" xfId="26025" hidden="1"/>
    <cellStyle name="Гиперссылка 2" xfId="26024" hidden="1"/>
    <cellStyle name="Гиперссылка 2" xfId="26026" hidden="1"/>
    <cellStyle name="Гиперссылка 2" xfId="26027" hidden="1"/>
    <cellStyle name="Гиперссылка 2" xfId="26032" hidden="1"/>
    <cellStyle name="Гиперссылка 2" xfId="26033" hidden="1"/>
    <cellStyle name="Гиперссылка 2" xfId="26029" hidden="1"/>
    <cellStyle name="Гиперссылка 2" xfId="26028" hidden="1"/>
    <cellStyle name="Гиперссылка 2" xfId="26031" hidden="1"/>
    <cellStyle name="Гиперссылка 2" xfId="26030" hidden="1"/>
    <cellStyle name="Гиперссылка 2" xfId="26035" hidden="1"/>
    <cellStyle name="Гиперссылка 2" xfId="26034" hidden="1"/>
    <cellStyle name="Гиперссылка 2" xfId="25957" hidden="1"/>
    <cellStyle name="Гиперссылка 2" xfId="25864" hidden="1"/>
    <cellStyle name="Гиперссылка 2" xfId="25853" hidden="1"/>
    <cellStyle name="Гиперссылка 2" xfId="25862" hidden="1"/>
    <cellStyle name="Гиперссылка 2" xfId="25999" hidden="1"/>
    <cellStyle name="Гиперссылка 2" xfId="26005" hidden="1"/>
    <cellStyle name="Гиперссылка 2" xfId="25852" hidden="1"/>
    <cellStyle name="Гиперссылка 2" xfId="25996" hidden="1"/>
    <cellStyle name="Гиперссылка 2" xfId="26043" hidden="1"/>
    <cellStyle name="Гиперссылка 2" xfId="26042" hidden="1"/>
    <cellStyle name="Гиперссылка 2" xfId="26045" hidden="1"/>
    <cellStyle name="Гиперссылка 2" xfId="26046" hidden="1"/>
    <cellStyle name="Гиперссылка 2" xfId="26051" hidden="1"/>
    <cellStyle name="Гиперссылка 2" xfId="26052" hidden="1"/>
    <cellStyle name="Гиперссылка 2" xfId="26048" hidden="1"/>
    <cellStyle name="Гиперссылка 2" xfId="26047" hidden="1"/>
    <cellStyle name="Гиперссылка 2" xfId="26050" hidden="1"/>
    <cellStyle name="Гиперссылка 2" xfId="26049" hidden="1"/>
    <cellStyle name="Гиперссылка 2" xfId="26054" hidden="1"/>
    <cellStyle name="Гиперссылка 2" xfId="26053" hidden="1"/>
    <cellStyle name="Гиперссылка 2" xfId="26055" hidden="1"/>
    <cellStyle name="Гиперссылка 2" xfId="26056" hidden="1"/>
    <cellStyle name="Гиперссылка 2" xfId="26061" hidden="1"/>
    <cellStyle name="Гиперссылка 2" xfId="26062" hidden="1"/>
    <cellStyle name="Гиперссылка 2" xfId="26058" hidden="1"/>
    <cellStyle name="Гиперссылка 2" xfId="26057" hidden="1"/>
    <cellStyle name="Гиперссылка 2" xfId="26060" hidden="1"/>
    <cellStyle name="Гиперссылка 2" xfId="26059" hidden="1"/>
    <cellStyle name="Гиперссылка 2" xfId="26064" hidden="1"/>
    <cellStyle name="Гиперссылка 2" xfId="26063" hidden="1"/>
    <cellStyle name="Гиперссылка 2" xfId="26065" hidden="1"/>
    <cellStyle name="Гиперссылка 2" xfId="26066" hidden="1"/>
    <cellStyle name="Гиперссылка 2" xfId="26071" hidden="1"/>
    <cellStyle name="Гиперссылка 2" xfId="26072" hidden="1"/>
    <cellStyle name="Гиперссылка 2" xfId="26068" hidden="1"/>
    <cellStyle name="Гиперссылка 2" xfId="26067" hidden="1"/>
    <cellStyle name="Гиперссылка 2" xfId="26070" hidden="1"/>
    <cellStyle name="Гиперссылка 2" xfId="26069" hidden="1"/>
    <cellStyle name="Гиперссылка 2" xfId="26074" hidden="1"/>
    <cellStyle name="Гиперссылка 2" xfId="26073" hidden="1"/>
    <cellStyle name="Гиперссылка 2" xfId="25997" hidden="1"/>
    <cellStyle name="Гиперссылка 2" xfId="25868" hidden="1"/>
    <cellStyle name="Гиперссылка 2" xfId="25878" hidden="1"/>
    <cellStyle name="Гиперссылка 2" xfId="25854" hidden="1"/>
    <cellStyle name="Гиперссылка 2" xfId="26039" hidden="1"/>
    <cellStyle name="Гиперссылка 2" xfId="26044" hidden="1"/>
    <cellStyle name="Гиперссылка 2" xfId="25881" hidden="1"/>
    <cellStyle name="Гиперссылка 2" xfId="26036" hidden="1"/>
    <cellStyle name="Гиперссылка 2" xfId="26081" hidden="1"/>
    <cellStyle name="Гиперссылка 2" xfId="26080" hidden="1"/>
    <cellStyle name="Гиперссылка 2" xfId="26083" hidden="1"/>
    <cellStyle name="Гиперссылка 2" xfId="26084" hidden="1"/>
    <cellStyle name="Гиперссылка 2" xfId="26089" hidden="1"/>
    <cellStyle name="Гиперссылка 2" xfId="26090" hidden="1"/>
    <cellStyle name="Гиперссылка 2" xfId="26086" hidden="1"/>
    <cellStyle name="Гиперссылка 2" xfId="26085" hidden="1"/>
    <cellStyle name="Гиперссылка 2" xfId="26088" hidden="1"/>
    <cellStyle name="Гиперссылка 2" xfId="26087" hidden="1"/>
    <cellStyle name="Гиперссылка 2" xfId="26092" hidden="1"/>
    <cellStyle name="Гиперссылка 2" xfId="26091" hidden="1"/>
    <cellStyle name="Гиперссылка 2" xfId="26093" hidden="1"/>
    <cellStyle name="Гиперссылка 2" xfId="26094" hidden="1"/>
    <cellStyle name="Гиперссылка 2" xfId="26099" hidden="1"/>
    <cellStyle name="Гиперссылка 2" xfId="26100" hidden="1"/>
    <cellStyle name="Гиперссылка 2" xfId="26096" hidden="1"/>
    <cellStyle name="Гиперссылка 2" xfId="26095" hidden="1"/>
    <cellStyle name="Гиперссылка 2" xfId="26098" hidden="1"/>
    <cellStyle name="Гиперссылка 2" xfId="26097" hidden="1"/>
    <cellStyle name="Гиперссылка 2" xfId="26102" hidden="1"/>
    <cellStyle name="Гиперссылка 2" xfId="26101" hidden="1"/>
    <cellStyle name="Гиперссылка 2" xfId="26103" hidden="1"/>
    <cellStyle name="Гиперссылка 2" xfId="26104" hidden="1"/>
    <cellStyle name="Гиперссылка 2" xfId="26109" hidden="1"/>
    <cellStyle name="Гиперссылка 2" xfId="26110" hidden="1"/>
    <cellStyle name="Гиперссылка 2" xfId="26106" hidden="1"/>
    <cellStyle name="Гиперссылка 2" xfId="26105" hidden="1"/>
    <cellStyle name="Гиперссылка 2" xfId="26108" hidden="1"/>
    <cellStyle name="Гиперссылка 2" xfId="26107" hidden="1"/>
    <cellStyle name="Гиперссылка 2" xfId="26112" hidden="1"/>
    <cellStyle name="Гиперссылка 2" xfId="26111" hidden="1"/>
    <cellStyle name="Гиперссылка 2" xfId="26037" hidden="1"/>
    <cellStyle name="Гиперссылка 2" xfId="25792" hidden="1"/>
    <cellStyle name="Гиперссылка 2" xfId="25918" hidden="1"/>
    <cellStyle name="Гиперссылка 2" xfId="25858" hidden="1"/>
    <cellStyle name="Гиперссылка 2" xfId="26078" hidden="1"/>
    <cellStyle name="Гиперссылка 2" xfId="26082" hidden="1"/>
    <cellStyle name="Гиперссылка 2" xfId="25921" hidden="1"/>
    <cellStyle name="Гиперссылка 2" xfId="26075" hidden="1"/>
    <cellStyle name="Гиперссылка 2" xfId="26119" hidden="1"/>
    <cellStyle name="Гиперссылка 2" xfId="26118" hidden="1"/>
    <cellStyle name="Гиперссылка 2" xfId="26121" hidden="1"/>
    <cellStyle name="Гиперссылка 2" xfId="26122" hidden="1"/>
    <cellStyle name="Гиперссылка 2" xfId="26127" hidden="1"/>
    <cellStyle name="Гиперссылка 2" xfId="26128" hidden="1"/>
    <cellStyle name="Гиперссылка 2" xfId="26124" hidden="1"/>
    <cellStyle name="Гиперссылка 2" xfId="26123" hidden="1"/>
    <cellStyle name="Гиперссылка 2" xfId="26126" hidden="1"/>
    <cellStyle name="Гиперссылка 2" xfId="26125" hidden="1"/>
    <cellStyle name="Гиперссылка 2" xfId="26130" hidden="1"/>
    <cellStyle name="Гиперссылка 2" xfId="26129" hidden="1"/>
    <cellStyle name="Гиперссылка 2" xfId="26131" hidden="1"/>
    <cellStyle name="Гиперссылка 2" xfId="26132" hidden="1"/>
    <cellStyle name="Гиперссылка 2" xfId="26137" hidden="1"/>
    <cellStyle name="Гиперссылка 2" xfId="26138" hidden="1"/>
    <cellStyle name="Гиперссылка 2" xfId="26134" hidden="1"/>
    <cellStyle name="Гиперссылка 2" xfId="26133" hidden="1"/>
    <cellStyle name="Гиперссылка 2" xfId="26136" hidden="1"/>
    <cellStyle name="Гиперссылка 2" xfId="26135" hidden="1"/>
    <cellStyle name="Гиперссылка 2" xfId="26140" hidden="1"/>
    <cellStyle name="Гиперссылка 2" xfId="26139" hidden="1"/>
    <cellStyle name="Гиперссылка 2" xfId="26141" hidden="1"/>
    <cellStyle name="Гиперссылка 2" xfId="26142" hidden="1"/>
    <cellStyle name="Гиперссылка 2" xfId="26147" hidden="1"/>
    <cellStyle name="Гиперссылка 2" xfId="26148" hidden="1"/>
    <cellStyle name="Гиперссылка 2" xfId="26144" hidden="1"/>
    <cellStyle name="Гиперссылка 2" xfId="26143" hidden="1"/>
    <cellStyle name="Гиперссылка 2" xfId="26146" hidden="1"/>
    <cellStyle name="Гиперссылка 2" xfId="26145" hidden="1"/>
    <cellStyle name="Гиперссылка 2" xfId="26150" hidden="1"/>
    <cellStyle name="Гиперссылка 2" xfId="26149" hidden="1"/>
    <cellStyle name="Гиперссылка 2" xfId="26076" hidden="1"/>
    <cellStyle name="Гиперссылка 2" xfId="25851" hidden="1"/>
    <cellStyle name="Гиперссылка 2" xfId="25958" hidden="1"/>
    <cellStyle name="Гиперссылка 2" xfId="25882" hidden="1"/>
    <cellStyle name="Гиперссылка 2" xfId="26116" hidden="1"/>
    <cellStyle name="Гиперссылка 2" xfId="26120" hidden="1"/>
    <cellStyle name="Гиперссылка 2" xfId="25961" hidden="1"/>
    <cellStyle name="Гиперссылка 2" xfId="26113" hidden="1"/>
    <cellStyle name="Гиперссылка 2" xfId="26155" hidden="1"/>
    <cellStyle name="Гиперссылка 2" xfId="26154" hidden="1"/>
    <cellStyle name="Гиперссылка 2" xfId="26157" hidden="1"/>
    <cellStyle name="Гиперссылка 2" xfId="26158" hidden="1"/>
    <cellStyle name="Гиперссылка 2" xfId="26163" hidden="1"/>
    <cellStyle name="Гиперссылка 2" xfId="26164" hidden="1"/>
    <cellStyle name="Гиперссылка 2" xfId="26160" hidden="1"/>
    <cellStyle name="Гиперссылка 2" xfId="26159" hidden="1"/>
    <cellStyle name="Гиперссылка 2" xfId="26162" hidden="1"/>
    <cellStyle name="Гиперссылка 2" xfId="26161" hidden="1"/>
    <cellStyle name="Гиперссылка 2" xfId="26166" hidden="1"/>
    <cellStyle name="Гиперссылка 2" xfId="26165" hidden="1"/>
    <cellStyle name="Гиперссылка 2" xfId="26167" hidden="1"/>
    <cellStyle name="Гиперссылка 2" xfId="26168" hidden="1"/>
    <cellStyle name="Гиперссылка 2" xfId="26173" hidden="1"/>
    <cellStyle name="Гиперссылка 2" xfId="26174" hidden="1"/>
    <cellStyle name="Гиперссылка 2" xfId="26170" hidden="1"/>
    <cellStyle name="Гиперссылка 2" xfId="26169" hidden="1"/>
    <cellStyle name="Гиперссылка 2" xfId="26172" hidden="1"/>
    <cellStyle name="Гиперссылка 2" xfId="26171" hidden="1"/>
    <cellStyle name="Гиперссылка 2" xfId="26176" hidden="1"/>
    <cellStyle name="Гиперссылка 2" xfId="26175" hidden="1"/>
    <cellStyle name="Гиперссылка 2" xfId="26177" hidden="1"/>
    <cellStyle name="Гиперссылка 2" xfId="26178" hidden="1"/>
    <cellStyle name="Гиперссылка 2" xfId="26183" hidden="1"/>
    <cellStyle name="Гиперссылка 2" xfId="26184" hidden="1"/>
    <cellStyle name="Гиперссылка 2" xfId="26180" hidden="1"/>
    <cellStyle name="Гиперссылка 2" xfId="26179" hidden="1"/>
    <cellStyle name="Гиперссылка 2" xfId="26182" hidden="1"/>
    <cellStyle name="Гиперссылка 2" xfId="26181" hidden="1"/>
    <cellStyle name="Гиперссылка 2" xfId="26186" hidden="1"/>
    <cellStyle name="Гиперссылка 2" xfId="26185" hidden="1"/>
    <cellStyle name="Гиперссылка 2" xfId="26114" hidden="1"/>
    <cellStyle name="Гиперссылка 2" xfId="25880" hidden="1"/>
    <cellStyle name="Гиперссылка 2" xfId="25998" hidden="1"/>
    <cellStyle name="Гиперссылка 2" xfId="25922" hidden="1"/>
    <cellStyle name="Гиперссылка 2" xfId="26153" hidden="1"/>
    <cellStyle name="Гиперссылка 2" xfId="26156" hidden="1"/>
    <cellStyle name="Гиперссылка 2" xfId="26001" hidden="1"/>
    <cellStyle name="Гиперссылка 2" xfId="26151" hidden="1"/>
    <cellStyle name="Гиперссылка 2" xfId="26191" hidden="1"/>
    <cellStyle name="Гиперссылка 2" xfId="26190" hidden="1"/>
    <cellStyle name="Гиперссылка 2" xfId="26193" hidden="1"/>
    <cellStyle name="Гиперссылка 2" xfId="26194" hidden="1"/>
    <cellStyle name="Гиперссылка 2" xfId="26199" hidden="1"/>
    <cellStyle name="Гиперссылка 2" xfId="26200" hidden="1"/>
    <cellStyle name="Гиперссылка 2" xfId="26196" hidden="1"/>
    <cellStyle name="Гиперссылка 2" xfId="26195" hidden="1"/>
    <cellStyle name="Гиперссылка 2" xfId="26198" hidden="1"/>
    <cellStyle name="Гиперссылка 2" xfId="26197" hidden="1"/>
    <cellStyle name="Гиперссылка 2" xfId="26202" hidden="1"/>
    <cellStyle name="Гиперссылка 2" xfId="26201" hidden="1"/>
    <cellStyle name="Гиперссылка 2" xfId="26203" hidden="1"/>
    <cellStyle name="Гиперссылка 2" xfId="26204" hidden="1"/>
    <cellStyle name="Гиперссылка 2" xfId="26209" hidden="1"/>
    <cellStyle name="Гиперссылка 2" xfId="26210" hidden="1"/>
    <cellStyle name="Гиперссылка 2" xfId="26206" hidden="1"/>
    <cellStyle name="Гиперссылка 2" xfId="26205" hidden="1"/>
    <cellStyle name="Гиперссылка 2" xfId="26208" hidden="1"/>
    <cellStyle name="Гиперссылка 2" xfId="26207" hidden="1"/>
    <cellStyle name="Гиперссылка 2" xfId="26212" hidden="1"/>
    <cellStyle name="Гиперссылка 2" xfId="26211" hidden="1"/>
    <cellStyle name="Гиперссылка 2" xfId="26213" hidden="1"/>
    <cellStyle name="Гиперссылка 2" xfId="26214" hidden="1"/>
    <cellStyle name="Гиперссылка 2" xfId="26219" hidden="1"/>
    <cellStyle name="Гиперссылка 2" xfId="26220" hidden="1"/>
    <cellStyle name="Гиперссылка 2" xfId="26216" hidden="1"/>
    <cellStyle name="Гиперссылка 2" xfId="26215" hidden="1"/>
    <cellStyle name="Гиперссылка 2" xfId="26218" hidden="1"/>
    <cellStyle name="Гиперссылка 2" xfId="26217" hidden="1"/>
    <cellStyle name="Гиперссылка 2" xfId="26222" hidden="1"/>
    <cellStyle name="Гиперссылка 2" xfId="26221" hidden="1"/>
    <cellStyle name="Гиперссылка 2" xfId="26152" hidden="1"/>
    <cellStyle name="Гиперссылка 2" xfId="25920" hidden="1"/>
    <cellStyle name="Гиперссылка 2" xfId="26038" hidden="1"/>
    <cellStyle name="Гиперссылка 2" xfId="25962" hidden="1"/>
    <cellStyle name="Гиперссылка 2" xfId="26189" hidden="1"/>
    <cellStyle name="Гиперссылка 2" xfId="26192" hidden="1"/>
    <cellStyle name="Гиперссылка 2" xfId="26040" hidden="1"/>
    <cellStyle name="Гиперссылка 2" xfId="26187" hidden="1"/>
    <cellStyle name="Гиперссылка 2" xfId="26227" hidden="1"/>
    <cellStyle name="Гиперссылка 2" xfId="26226" hidden="1"/>
    <cellStyle name="Гиперссылка 2" xfId="26229" hidden="1"/>
    <cellStyle name="Гиперссылка 2" xfId="26230" hidden="1"/>
    <cellStyle name="Гиперссылка 2" xfId="26235" hidden="1"/>
    <cellStyle name="Гиперссылка 2" xfId="26236" hidden="1"/>
    <cellStyle name="Гиперссылка 2" xfId="26232" hidden="1"/>
    <cellStyle name="Гиперссылка 2" xfId="26231" hidden="1"/>
    <cellStyle name="Гиперссылка 2" xfId="26234" hidden="1"/>
    <cellStyle name="Гиперссылка 2" xfId="26233" hidden="1"/>
    <cellStyle name="Гиперссылка 2" xfId="26238" hidden="1"/>
    <cellStyle name="Гиперссылка 2" xfId="26237" hidden="1"/>
    <cellStyle name="Гиперссылка 2" xfId="26239" hidden="1"/>
    <cellStyle name="Гиперссылка 2" xfId="26240" hidden="1"/>
    <cellStyle name="Гиперссылка 2" xfId="26245" hidden="1"/>
    <cellStyle name="Гиперссылка 2" xfId="26246" hidden="1"/>
    <cellStyle name="Гиперссылка 2" xfId="26242" hidden="1"/>
    <cellStyle name="Гиперссылка 2" xfId="26241" hidden="1"/>
    <cellStyle name="Гиперссылка 2" xfId="26244" hidden="1"/>
    <cellStyle name="Гиперссылка 2" xfId="26243" hidden="1"/>
    <cellStyle name="Гиперссылка 2" xfId="26248" hidden="1"/>
    <cellStyle name="Гиперссылка 2" xfId="26247" hidden="1"/>
    <cellStyle name="Гиперссылка 2" xfId="26249" hidden="1"/>
    <cellStyle name="Гиперссылка 2" xfId="26250" hidden="1"/>
    <cellStyle name="Гиперссылка 2" xfId="26255" hidden="1"/>
    <cellStyle name="Гиперссылка 2" xfId="26256" hidden="1"/>
    <cellStyle name="Гиперссылка 2" xfId="26252" hidden="1"/>
    <cellStyle name="Гиперссылка 2" xfId="26251" hidden="1"/>
    <cellStyle name="Гиперссылка 2" xfId="26254" hidden="1"/>
    <cellStyle name="Гиперссылка 2" xfId="26253" hidden="1"/>
    <cellStyle name="Гиперссылка 2" xfId="26258" hidden="1"/>
    <cellStyle name="Гиперссылка 2" xfId="26257" hidden="1"/>
    <cellStyle name="Гиперссылка 2" xfId="26188" hidden="1"/>
    <cellStyle name="Гиперссылка 2" xfId="25960" hidden="1"/>
    <cellStyle name="Гиперссылка 2" xfId="26077" hidden="1"/>
    <cellStyle name="Гиперссылка 2" xfId="26002" hidden="1"/>
    <cellStyle name="Гиперссылка 2" xfId="26225" hidden="1"/>
    <cellStyle name="Гиперссылка 2" xfId="26228" hidden="1"/>
    <cellStyle name="Гиперссылка 2" xfId="26079" hidden="1"/>
    <cellStyle name="Гиперссылка 2" xfId="26223" hidden="1"/>
    <cellStyle name="Гиперссылка 2" xfId="26262" hidden="1"/>
    <cellStyle name="Гиперссылка 2" xfId="26261" hidden="1"/>
    <cellStyle name="Гиперссылка 2" xfId="26264" hidden="1"/>
    <cellStyle name="Гиперссылка 2" xfId="26265" hidden="1"/>
    <cellStyle name="Гиперссылка 2" xfId="26270" hidden="1"/>
    <cellStyle name="Гиперссылка 2" xfId="26271" hidden="1"/>
    <cellStyle name="Гиперссылка 2" xfId="26267" hidden="1"/>
    <cellStyle name="Гиперссылка 2" xfId="26266" hidden="1"/>
    <cellStyle name="Гиперссылка 2" xfId="26269" hidden="1"/>
    <cellStyle name="Гиперссылка 2" xfId="26268" hidden="1"/>
    <cellStyle name="Гиперссылка 2" xfId="26273" hidden="1"/>
    <cellStyle name="Гиперссылка 2" xfId="26272" hidden="1"/>
    <cellStyle name="Гиперссылка 2" xfId="26274" hidden="1"/>
    <cellStyle name="Гиперссылка 2" xfId="26275" hidden="1"/>
    <cellStyle name="Гиперссылка 2" xfId="26280" hidden="1"/>
    <cellStyle name="Гиперссылка 2" xfId="26281" hidden="1"/>
    <cellStyle name="Гиперссылка 2" xfId="26277" hidden="1"/>
    <cellStyle name="Гиперссылка 2" xfId="26276" hidden="1"/>
    <cellStyle name="Гиперссылка 2" xfId="26279" hidden="1"/>
    <cellStyle name="Гиперссылка 2" xfId="26278" hidden="1"/>
    <cellStyle name="Гиперссылка 2" xfId="26283" hidden="1"/>
    <cellStyle name="Гиперссылка 2" xfId="26282" hidden="1"/>
    <cellStyle name="Гиперссылка 2" xfId="26284" hidden="1"/>
    <cellStyle name="Гиперссылка 2" xfId="26285" hidden="1"/>
    <cellStyle name="Гиперссылка 2" xfId="26290" hidden="1"/>
    <cellStyle name="Гиперссылка 2" xfId="26291" hidden="1"/>
    <cellStyle name="Гиперссылка 2" xfId="26287" hidden="1"/>
    <cellStyle name="Гиперссылка 2" xfId="26286" hidden="1"/>
    <cellStyle name="Гиперссылка 2" xfId="26289" hidden="1"/>
    <cellStyle name="Гиперссылка 2" xfId="26288" hidden="1"/>
    <cellStyle name="Гиперссылка 2" xfId="26293" hidden="1"/>
    <cellStyle name="Гиперссылка 2" xfId="26292" hidden="1"/>
    <cellStyle name="Гиперссылка 2" xfId="26224" hidden="1"/>
    <cellStyle name="Гиперссылка 2" xfId="26000" hidden="1"/>
    <cellStyle name="Гиперссылка 2" xfId="26115" hidden="1"/>
    <cellStyle name="Гиперссылка 2" xfId="26041" hidden="1"/>
    <cellStyle name="Гиперссылка 2" xfId="26260" hidden="1"/>
    <cellStyle name="Гиперссылка 2" xfId="26263" hidden="1"/>
    <cellStyle name="Гиперссылка 2" xfId="26117" hidden="1"/>
    <cellStyle name="Гиперссылка 2" xfId="26259" hidden="1"/>
    <cellStyle name="Гиперссылка 2" xfId="26295" hidden="1"/>
    <cellStyle name="Гиперссылка 2" xfId="26294" hidden="1"/>
    <cellStyle name="Гиперссылка 2" xfId="26296" hidden="1"/>
    <cellStyle name="Гиперссылка 2" xfId="26297" hidden="1"/>
    <cellStyle name="Гиперссылка 2" xfId="26302" hidden="1"/>
    <cellStyle name="Гиперссылка 2" xfId="26303" hidden="1"/>
    <cellStyle name="Гиперссылка 2" xfId="26299" hidden="1"/>
    <cellStyle name="Гиперссылка 2" xfId="26298" hidden="1"/>
    <cellStyle name="Гиперссылка 2" xfId="26301" hidden="1"/>
    <cellStyle name="Гиперссылка 2" xfId="26300" hidden="1"/>
    <cellStyle name="Гиперссылка 2" xfId="26305" hidden="1"/>
    <cellStyle name="Гиперссылка 2" xfId="26304" hidden="1"/>
    <cellStyle name="Гиперссылка 2" xfId="26306" hidden="1"/>
    <cellStyle name="Гиперссылка 2" xfId="26307" hidden="1"/>
    <cellStyle name="Гиперссылка 2" xfId="26312" hidden="1"/>
    <cellStyle name="Гиперссылка 2" xfId="26313" hidden="1"/>
    <cellStyle name="Гиперссылка 2" xfId="26309" hidden="1"/>
    <cellStyle name="Гиперссылка 2" xfId="26308" hidden="1"/>
    <cellStyle name="Гиперссылка 2" xfId="26311" hidden="1"/>
    <cellStyle name="Гиперссылка 2" xfId="26310" hidden="1"/>
    <cellStyle name="Гиперссылка 2" xfId="26315" hidden="1"/>
    <cellStyle name="Гиперссылка 2" xfId="26314" hidden="1"/>
    <cellStyle name="Гиперссылка 2" xfId="26316" hidden="1"/>
    <cellStyle name="Гиперссылка 2" xfId="26317" hidden="1"/>
    <cellStyle name="Гиперссылка 2" xfId="26322" hidden="1"/>
    <cellStyle name="Гиперссылка 2" xfId="26323" hidden="1"/>
    <cellStyle name="Гиперссылка 2" xfId="26319" hidden="1"/>
    <cellStyle name="Гиперссылка 2" xfId="26318" hidden="1"/>
    <cellStyle name="Гиперссылка 2" xfId="26321" hidden="1"/>
    <cellStyle name="Гиперссылка 2" xfId="26320" hidden="1"/>
    <cellStyle name="Гиперссылка 2" xfId="26325" hidden="1"/>
    <cellStyle name="Гиперссылка 2" xfId="26324" hidden="1"/>
    <cellStyle name="Гиперссылка 2" xfId="26383" hidden="1"/>
    <cellStyle name="Гиперссылка 2" xfId="26384" hidden="1"/>
    <cellStyle name="Гиперссылка 2" xfId="26488" hidden="1"/>
    <cellStyle name="Гиперссылка 2" xfId="26489" hidden="1"/>
    <cellStyle name="Гиперссылка 2" xfId="26427" hidden="1"/>
    <cellStyle name="Гиперссылка 2" xfId="26387" hidden="1"/>
    <cellStyle name="Гиперссылка 2" xfId="26473" hidden="1"/>
    <cellStyle name="Гиперссылка 2" xfId="26472" hidden="1"/>
    <cellStyle name="Гиперссылка 2" xfId="26534" hidden="1"/>
    <cellStyle name="Гиперссылка 2" xfId="26533" hidden="1"/>
    <cellStyle name="Гиперссылка 2" xfId="26547" hidden="1"/>
    <cellStyle name="Гиперссылка 2" xfId="26548" hidden="1"/>
    <cellStyle name="Гиперссылка 2" xfId="26554" hidden="1"/>
    <cellStyle name="Гиперссылка 2" xfId="26555" hidden="1"/>
    <cellStyle name="Гиперссылка 2" xfId="26551" hidden="1"/>
    <cellStyle name="Гиперссылка 2" xfId="26550" hidden="1"/>
    <cellStyle name="Гиперссылка 2" xfId="26553" hidden="1"/>
    <cellStyle name="Гиперссылка 2" xfId="26552" hidden="1"/>
    <cellStyle name="Гиперссылка 2" xfId="26557" hidden="1"/>
    <cellStyle name="Гиперссылка 2" xfId="26556" hidden="1"/>
    <cellStyle name="Гиперссылка 2" xfId="26558" hidden="1"/>
    <cellStyle name="Гиперссылка 2" xfId="26559" hidden="1"/>
    <cellStyle name="Гиперссылка 2" xfId="26564" hidden="1"/>
    <cellStyle name="Гиперссылка 2" xfId="26565" hidden="1"/>
    <cellStyle name="Гиперссылка 2" xfId="26561" hidden="1"/>
    <cellStyle name="Гиперссылка 2" xfId="26560" hidden="1"/>
    <cellStyle name="Гиперссылка 2" xfId="26563" hidden="1"/>
    <cellStyle name="Гиперссылка 2" xfId="26562" hidden="1"/>
    <cellStyle name="Гиперссылка 2" xfId="26567" hidden="1"/>
    <cellStyle name="Гиперссылка 2" xfId="26566" hidden="1"/>
    <cellStyle name="Гиперссылка 2" xfId="26568" hidden="1"/>
    <cellStyle name="Гиперссылка 2" xfId="26569" hidden="1"/>
    <cellStyle name="Гиперссылка 2" xfId="26574" hidden="1"/>
    <cellStyle name="Гиперссылка 2" xfId="26575" hidden="1"/>
    <cellStyle name="Гиперссылка 2" xfId="26571" hidden="1"/>
    <cellStyle name="Гиперссылка 2" xfId="26570" hidden="1"/>
    <cellStyle name="Гиперссылка 2" xfId="26573" hidden="1"/>
    <cellStyle name="Гиперссылка 2" xfId="26572" hidden="1"/>
    <cellStyle name="Гиперссылка 2" xfId="26577" hidden="1"/>
    <cellStyle name="Гиперссылка 2" xfId="26576" hidden="1"/>
    <cellStyle name="Гиперссылка 2" xfId="26612" hidden="1"/>
    <cellStyle name="Гиперссылка 2" xfId="26613" hidden="1"/>
    <cellStyle name="Гиперссылка 2" xfId="26701" hidden="1"/>
    <cellStyle name="Гиперссылка 2" xfId="26702" hidden="1"/>
    <cellStyle name="Гиперссылка 2" xfId="26658" hidden="1"/>
    <cellStyle name="Гиперссылка 2" xfId="26615" hidden="1"/>
    <cellStyle name="Гиперссылка 2" xfId="26690" hidden="1"/>
    <cellStyle name="Гиперссылка 2" xfId="26689" hidden="1"/>
    <cellStyle name="Гиперссылка 2" xfId="26755" hidden="1"/>
    <cellStyle name="Гиперссылка 2" xfId="26754" hidden="1"/>
    <cellStyle name="Гиперссылка 2" xfId="26768" hidden="1"/>
    <cellStyle name="Гиперссылка 2" xfId="26769" hidden="1"/>
    <cellStyle name="Гиперссылка 2" xfId="26774" hidden="1"/>
    <cellStyle name="Гиперссылка 2" xfId="26775" hidden="1"/>
    <cellStyle name="Гиперссылка 2" xfId="26771" hidden="1"/>
    <cellStyle name="Гиперссылка 2" xfId="26770" hidden="1"/>
    <cellStyle name="Гиперссылка 2" xfId="26773" hidden="1"/>
    <cellStyle name="Гиперссылка 2" xfId="26772" hidden="1"/>
    <cellStyle name="Гиперссылка 2" xfId="26777" hidden="1"/>
    <cellStyle name="Гиперссылка 2" xfId="26776" hidden="1"/>
    <cellStyle name="Гиперссылка 2" xfId="26779" hidden="1"/>
    <cellStyle name="Гиперссылка 2" xfId="26780" hidden="1"/>
    <cellStyle name="Гиперссылка 2" xfId="26785" hidden="1"/>
    <cellStyle name="Гиперссылка 2" xfId="26786" hidden="1"/>
    <cellStyle name="Гиперссылка 2" xfId="26782" hidden="1"/>
    <cellStyle name="Гиперссылка 2" xfId="26781" hidden="1"/>
    <cellStyle name="Гиперссылка 2" xfId="26784" hidden="1"/>
    <cellStyle name="Гиперссылка 2" xfId="26783" hidden="1"/>
    <cellStyle name="Гиперссылка 2" xfId="26788" hidden="1"/>
    <cellStyle name="Гиперссылка 2" xfId="26787" hidden="1"/>
    <cellStyle name="Гиперссылка 2" xfId="26789" hidden="1"/>
    <cellStyle name="Гиперссылка 2" xfId="26790" hidden="1"/>
    <cellStyle name="Гиперссылка 2" xfId="26795" hidden="1"/>
    <cellStyle name="Гиперссылка 2" xfId="26796" hidden="1"/>
    <cellStyle name="Гиперссылка 2" xfId="26792" hidden="1"/>
    <cellStyle name="Гиперссылка 2" xfId="26791" hidden="1"/>
    <cellStyle name="Гиперссылка 2" xfId="26794" hidden="1"/>
    <cellStyle name="Гиперссылка 2" xfId="26793" hidden="1"/>
    <cellStyle name="Гиперссылка 2" xfId="26798" hidden="1"/>
    <cellStyle name="Гиперссылка 2" xfId="26797" hidden="1"/>
    <cellStyle name="Гиперссылка 2" xfId="26699" hidden="1"/>
    <cellStyle name="Гиперссылка 2" xfId="26672" hidden="1"/>
    <cellStyle name="Гиперссылка 2" xfId="26709" hidden="1"/>
    <cellStyle name="Гиперссылка 2" xfId="26617" hidden="1"/>
    <cellStyle name="Гиперссылка 2" xfId="26727" hidden="1"/>
    <cellStyle name="Гиперссылка 2" xfId="26762" hidden="1"/>
    <cellStyle name="Гиперссылка 2" xfId="26683" hidden="1"/>
    <cellStyle name="Гиперссылка 2" xfId="26716" hidden="1"/>
    <cellStyle name="Гиперссылка 2" xfId="26836" hidden="1"/>
    <cellStyle name="Гиперссылка 2" xfId="26835" hidden="1"/>
    <cellStyle name="Гиперссылка 2" xfId="26846" hidden="1"/>
    <cellStyle name="Гиперссылка 2" xfId="26847" hidden="1"/>
    <cellStyle name="Гиперссылка 2" xfId="26852" hidden="1"/>
    <cellStyle name="Гиперссылка 2" xfId="26853" hidden="1"/>
    <cellStyle name="Гиперссылка 2" xfId="26849" hidden="1"/>
    <cellStyle name="Гиперссылка 2" xfId="26848" hidden="1"/>
    <cellStyle name="Гиперссылка 2" xfId="26851" hidden="1"/>
    <cellStyle name="Гиперссылка 2" xfId="26850" hidden="1"/>
    <cellStyle name="Гиперссылка 2" xfId="26855" hidden="1"/>
    <cellStyle name="Гиперссылка 2" xfId="26854" hidden="1"/>
    <cellStyle name="Гиперссылка 2" xfId="26857" hidden="1"/>
    <cellStyle name="Гиперссылка 2" xfId="26858" hidden="1"/>
    <cellStyle name="Гиперссылка 2" xfId="26863" hidden="1"/>
    <cellStyle name="Гиперссылка 2" xfId="26864" hidden="1"/>
    <cellStyle name="Гиперссылка 2" xfId="26860" hidden="1"/>
    <cellStyle name="Гиперссылка 2" xfId="26859" hidden="1"/>
    <cellStyle name="Гиперссылка 2" xfId="26862" hidden="1"/>
    <cellStyle name="Гиперссылка 2" xfId="26861" hidden="1"/>
    <cellStyle name="Гиперссылка 2" xfId="26866" hidden="1"/>
    <cellStyle name="Гиперссылка 2" xfId="26865" hidden="1"/>
    <cellStyle name="Гиперссылка 2" xfId="26867" hidden="1"/>
    <cellStyle name="Гиперссылка 2" xfId="26868" hidden="1"/>
    <cellStyle name="Гиперссылка 2" xfId="26873" hidden="1"/>
    <cellStyle name="Гиперссылка 2" xfId="26874" hidden="1"/>
    <cellStyle name="Гиперссылка 2" xfId="26870" hidden="1"/>
    <cellStyle name="Гиперссылка 2" xfId="26869" hidden="1"/>
    <cellStyle name="Гиперссылка 2" xfId="26872" hidden="1"/>
    <cellStyle name="Гиперссылка 2" xfId="26871" hidden="1"/>
    <cellStyle name="Гиперссылка 2" xfId="26876" hidden="1"/>
    <cellStyle name="Гиперссылка 2" xfId="26875" hidden="1"/>
    <cellStyle name="Гиперссылка 2" xfId="26717" hidden="1"/>
    <cellStyle name="Гиперссылка 2" xfId="26347" hidden="1"/>
    <cellStyle name="Гиперссылка 2" xfId="26354" hidden="1"/>
    <cellStyle name="Гиперссылка 2" xfId="26659" hidden="1"/>
    <cellStyle name="Гиперссылка 2" xfId="26812" hidden="1"/>
    <cellStyle name="Гиперссылка 2" xfId="26844" hidden="1"/>
    <cellStyle name="Гиперссылка 2" xfId="26696" hidden="1"/>
    <cellStyle name="Гиперссылка 2" xfId="26804" hidden="1"/>
    <cellStyle name="Гиперссылка 2" xfId="26915" hidden="1"/>
    <cellStyle name="Гиперссылка 2" xfId="26914" hidden="1"/>
    <cellStyle name="Гиперссылка 2" xfId="26928" hidden="1"/>
    <cellStyle name="Гиперссылка 2" xfId="26929" hidden="1"/>
    <cellStyle name="Гиперссылка 2" xfId="26935" hidden="1"/>
    <cellStyle name="Гиперссылка 2" xfId="26936" hidden="1"/>
    <cellStyle name="Гиперссылка 2" xfId="26932" hidden="1"/>
    <cellStyle name="Гиперссылка 2" xfId="26931" hidden="1"/>
    <cellStyle name="Гиперссылка 2" xfId="26934" hidden="1"/>
    <cellStyle name="Гиперссылка 2" xfId="26933" hidden="1"/>
    <cellStyle name="Гиперссылка 2" xfId="26938" hidden="1"/>
    <cellStyle name="Гиперссылка 2" xfId="26937" hidden="1"/>
    <cellStyle name="Гиперссылка 2" xfId="26940" hidden="1"/>
    <cellStyle name="Гиперссылка 2" xfId="26941" hidden="1"/>
    <cellStyle name="Гиперссылка 2" xfId="26946" hidden="1"/>
    <cellStyle name="Гиперссылка 2" xfId="26947" hidden="1"/>
    <cellStyle name="Гиперссылка 2" xfId="26943" hidden="1"/>
    <cellStyle name="Гиперссылка 2" xfId="26942" hidden="1"/>
    <cellStyle name="Гиперссылка 2" xfId="26945" hidden="1"/>
    <cellStyle name="Гиперссылка 2" xfId="26944" hidden="1"/>
    <cellStyle name="Гиперссылка 2" xfId="26949" hidden="1"/>
    <cellStyle name="Гиперссылка 2" xfId="26948" hidden="1"/>
    <cellStyle name="Гиперссылка 2" xfId="26950" hidden="1"/>
    <cellStyle name="Гиперссылка 2" xfId="26951" hidden="1"/>
    <cellStyle name="Гиперссылка 2" xfId="26956" hidden="1"/>
    <cellStyle name="Гиперссылка 2" xfId="26957" hidden="1"/>
    <cellStyle name="Гиперссылка 2" xfId="26953" hidden="1"/>
    <cellStyle name="Гиперссылка 2" xfId="26952" hidden="1"/>
    <cellStyle name="Гиперссылка 2" xfId="26955" hidden="1"/>
    <cellStyle name="Гиперссылка 2" xfId="26954" hidden="1"/>
    <cellStyle name="Гиперссылка 2" xfId="26959" hidden="1"/>
    <cellStyle name="Гиперссылка 2" xfId="26958" hidden="1"/>
    <cellStyle name="Гиперссылка 2" xfId="26805" hidden="1"/>
    <cellStyle name="Гиперссылка 2" xfId="26358" hidden="1"/>
    <cellStyle name="Гиперссылка 2" xfId="26665" hidden="1"/>
    <cellStyle name="Гиперссылка 2" xfId="26362" hidden="1"/>
    <cellStyle name="Гиперссылка 2" xfId="26890" hidden="1"/>
    <cellStyle name="Гиперссылка 2" xfId="26922" hidden="1"/>
    <cellStyle name="Гиперссылка 2" xfId="26679" hidden="1"/>
    <cellStyle name="Гиперссылка 2" xfId="26880" hidden="1"/>
    <cellStyle name="Гиперссылка 2" xfId="26996" hidden="1"/>
    <cellStyle name="Гиперссылка 2" xfId="26995" hidden="1"/>
    <cellStyle name="Гиперссылка 2" xfId="27011" hidden="1"/>
    <cellStyle name="Гиперссылка 2" xfId="27012" hidden="1"/>
    <cellStyle name="Гиперссылка 2" xfId="27017" hidden="1"/>
    <cellStyle name="Гиперссылка 2" xfId="27018" hidden="1"/>
    <cellStyle name="Гиперссылка 2" xfId="27014" hidden="1"/>
    <cellStyle name="Гиперссылка 2" xfId="27013" hidden="1"/>
    <cellStyle name="Гиперссылка 2" xfId="27016" hidden="1"/>
    <cellStyle name="Гиперссылка 2" xfId="27015" hidden="1"/>
    <cellStyle name="Гиперссылка 2" xfId="27020" hidden="1"/>
    <cellStyle name="Гиперссылка 2" xfId="27019" hidden="1"/>
    <cellStyle name="Гиперссылка 2" xfId="27022" hidden="1"/>
    <cellStyle name="Гиперссылка 2" xfId="27023" hidden="1"/>
    <cellStyle name="Гиперссылка 2" xfId="27028" hidden="1"/>
    <cellStyle name="Гиперссылка 2" xfId="27029" hidden="1"/>
    <cellStyle name="Гиперссылка 2" xfId="27025" hidden="1"/>
    <cellStyle name="Гиперссылка 2" xfId="27024" hidden="1"/>
    <cellStyle name="Гиперссылка 2" xfId="27027" hidden="1"/>
    <cellStyle name="Гиперссылка 2" xfId="27026" hidden="1"/>
    <cellStyle name="Гиперссылка 2" xfId="27031" hidden="1"/>
    <cellStyle name="Гиперссылка 2" xfId="27030" hidden="1"/>
    <cellStyle name="Гиперссылка 2" xfId="27032" hidden="1"/>
    <cellStyle name="Гиперссылка 2" xfId="27033" hidden="1"/>
    <cellStyle name="Гиперссылка 2" xfId="27038" hidden="1"/>
    <cellStyle name="Гиперссылка 2" xfId="27039" hidden="1"/>
    <cellStyle name="Гиперссылка 2" xfId="27035" hidden="1"/>
    <cellStyle name="Гиперссылка 2" xfId="27034" hidden="1"/>
    <cellStyle name="Гиперссылка 2" xfId="27037" hidden="1"/>
    <cellStyle name="Гиперссылка 2" xfId="27036" hidden="1"/>
    <cellStyle name="Гиперссылка 2" xfId="27041" hidden="1"/>
    <cellStyle name="Гиперссылка 2" xfId="27040" hidden="1"/>
    <cellStyle name="Гиперссылка 2" xfId="26881" hidden="1"/>
    <cellStyle name="Гиперссылка 2" xfId="26670" hidden="1"/>
    <cellStyle name="Гиперссылка 2" xfId="26602" hidden="1"/>
    <cellStyle name="Гиперссылка 2" xfId="26664" hidden="1"/>
    <cellStyle name="Гиперссылка 2" xfId="26969" hidden="1"/>
    <cellStyle name="Гиперссылка 2" xfId="27004" hidden="1"/>
    <cellStyle name="Гиперссылка 2" xfId="26600" hidden="1"/>
    <cellStyle name="Гиперссылка 2" xfId="26962" hidden="1"/>
    <cellStyle name="Гиперссылка 2" xfId="27069" hidden="1"/>
    <cellStyle name="Гиперссылка 2" xfId="27068" hidden="1"/>
    <cellStyle name="Гиперссылка 2" xfId="27081" hidden="1"/>
    <cellStyle name="Гиперссылка 2" xfId="27082" hidden="1"/>
    <cellStyle name="Гиперссылка 2" xfId="27087" hidden="1"/>
    <cellStyle name="Гиперссылка 2" xfId="27088" hidden="1"/>
    <cellStyle name="Гиперссылка 2" xfId="27084" hidden="1"/>
    <cellStyle name="Гиперссылка 2" xfId="27083" hidden="1"/>
    <cellStyle name="Гиперссылка 2" xfId="27086" hidden="1"/>
    <cellStyle name="Гиперссылка 2" xfId="27085" hidden="1"/>
    <cellStyle name="Гиперссылка 2" xfId="27090" hidden="1"/>
    <cellStyle name="Гиперссылка 2" xfId="27089" hidden="1"/>
    <cellStyle name="Гиперссылка 2" xfId="27092" hidden="1"/>
    <cellStyle name="Гиперссылка 2" xfId="27093" hidden="1"/>
    <cellStyle name="Гиперссылка 2" xfId="27098" hidden="1"/>
    <cellStyle name="Гиперссылка 2" xfId="27099" hidden="1"/>
    <cellStyle name="Гиперссылка 2" xfId="27095" hidden="1"/>
    <cellStyle name="Гиперссылка 2" xfId="27094" hidden="1"/>
    <cellStyle name="Гиперссылка 2" xfId="27097" hidden="1"/>
    <cellStyle name="Гиперссылка 2" xfId="27096" hidden="1"/>
    <cellStyle name="Гиперссылка 2" xfId="27101" hidden="1"/>
    <cellStyle name="Гиперссылка 2" xfId="27100" hidden="1"/>
    <cellStyle name="Гиперссылка 2" xfId="27102" hidden="1"/>
    <cellStyle name="Гиперссылка 2" xfId="27103" hidden="1"/>
    <cellStyle name="Гиперссылка 2" xfId="27108" hidden="1"/>
    <cellStyle name="Гиперссылка 2" xfId="27109" hidden="1"/>
    <cellStyle name="Гиперссылка 2" xfId="27105" hidden="1"/>
    <cellStyle name="Гиперссылка 2" xfId="27104" hidden="1"/>
    <cellStyle name="Гиперссылка 2" xfId="27107" hidden="1"/>
    <cellStyle name="Гиперссылка 2" xfId="27106" hidden="1"/>
    <cellStyle name="Гиперссылка 2" xfId="27111" hidden="1"/>
    <cellStyle name="Гиперссылка 2" xfId="27110" hidden="1"/>
    <cellStyle name="Гиперссылка 2" xfId="26963" hidden="1"/>
    <cellStyle name="Гиперссылка 2" xfId="26684" hidden="1"/>
    <cellStyle name="Гиперссылка 2" xfId="26725" hidden="1"/>
    <cellStyle name="Гиперссылка 2" xfId="26606" hidden="1"/>
    <cellStyle name="Гиперссылка 2" xfId="27049" hidden="1"/>
    <cellStyle name="Гиперссылка 2" xfId="27075" hidden="1"/>
    <cellStyle name="Гиперссылка 2" xfId="26738" hidden="1"/>
    <cellStyle name="Гиперссылка 2" xfId="27044" hidden="1"/>
    <cellStyle name="Гиперссылка 2" xfId="27147" hidden="1"/>
    <cellStyle name="Гиперссылка 2" xfId="27146" hidden="1"/>
    <cellStyle name="Гиперссылка 2" xfId="27158" hidden="1"/>
    <cellStyle name="Гиперссылка 2" xfId="27159" hidden="1"/>
    <cellStyle name="Гиперссылка 2" xfId="27164" hidden="1"/>
    <cellStyle name="Гиперссылка 2" xfId="27165" hidden="1"/>
    <cellStyle name="Гиперссылка 2" xfId="27161" hidden="1"/>
    <cellStyle name="Гиперссылка 2" xfId="27160" hidden="1"/>
    <cellStyle name="Гиперссылка 2" xfId="27163" hidden="1"/>
    <cellStyle name="Гиперссылка 2" xfId="27162" hidden="1"/>
    <cellStyle name="Гиперссылка 2" xfId="27167" hidden="1"/>
    <cellStyle name="Гиперссылка 2" xfId="27166" hidden="1"/>
    <cellStyle name="Гиперссылка 2" xfId="27169" hidden="1"/>
    <cellStyle name="Гиперссылка 2" xfId="27170" hidden="1"/>
    <cellStyle name="Гиперссылка 2" xfId="27175" hidden="1"/>
    <cellStyle name="Гиперссылка 2" xfId="27176" hidden="1"/>
    <cellStyle name="Гиперссылка 2" xfId="27172" hidden="1"/>
    <cellStyle name="Гиперссылка 2" xfId="27171" hidden="1"/>
    <cellStyle name="Гиперссылка 2" xfId="27174" hidden="1"/>
    <cellStyle name="Гиперссылка 2" xfId="27173" hidden="1"/>
    <cellStyle name="Гиперссылка 2" xfId="27178" hidden="1"/>
    <cellStyle name="Гиперссылка 2" xfId="27177" hidden="1"/>
    <cellStyle name="Гиперссылка 2" xfId="27179" hidden="1"/>
    <cellStyle name="Гиперссылка 2" xfId="27180" hidden="1"/>
    <cellStyle name="Гиперссылка 2" xfId="27185" hidden="1"/>
    <cellStyle name="Гиперссылка 2" xfId="27186" hidden="1"/>
    <cellStyle name="Гиперссылка 2" xfId="27182" hidden="1"/>
    <cellStyle name="Гиперссылка 2" xfId="27181" hidden="1"/>
    <cellStyle name="Гиперссылка 2" xfId="27184" hidden="1"/>
    <cellStyle name="Гиперссылка 2" xfId="27183" hidden="1"/>
    <cellStyle name="Гиперссылка 2" xfId="27188" hidden="1"/>
    <cellStyle name="Гиперссылка 2" xfId="27187" hidden="1"/>
    <cellStyle name="Гиперссылка 2" xfId="27045" hidden="1"/>
    <cellStyle name="Гиперссылка 2" xfId="26366" hidden="1"/>
    <cellStyle name="Гиперссылка 2" xfId="26809" hidden="1"/>
    <cellStyle name="Гиперссылка 2" xfId="26616" hidden="1"/>
    <cellStyle name="Гиперссылка 2" xfId="27125" hidden="1"/>
    <cellStyle name="Гиперссылка 2" xfId="27155" hidden="1"/>
    <cellStyle name="Гиперссылка 2" xfId="26825" hidden="1"/>
    <cellStyle name="Гиперссылка 2" xfId="27114" hidden="1"/>
    <cellStyle name="Гиперссылка 2" xfId="27218" hidden="1"/>
    <cellStyle name="Гиперссылка 2" xfId="27217" hidden="1"/>
    <cellStyle name="Гиперссылка 2" xfId="27228" hidden="1"/>
    <cellStyle name="Гиперссылка 2" xfId="27229" hidden="1"/>
    <cellStyle name="Гиперссылка 2" xfId="27234" hidden="1"/>
    <cellStyle name="Гиперссылка 2" xfId="27235" hidden="1"/>
    <cellStyle name="Гиперссылка 2" xfId="27231" hidden="1"/>
    <cellStyle name="Гиперссылка 2" xfId="27230" hidden="1"/>
    <cellStyle name="Гиперссылка 2" xfId="27233" hidden="1"/>
    <cellStyle name="Гиперссылка 2" xfId="27232" hidden="1"/>
    <cellStyle name="Гиперссылка 2" xfId="27237" hidden="1"/>
    <cellStyle name="Гиперссылка 2" xfId="27236" hidden="1"/>
    <cellStyle name="Гиперссылка 2" xfId="27238" hidden="1"/>
    <cellStyle name="Гиперссылка 2" xfId="27239" hidden="1"/>
    <cellStyle name="Гиперссылка 2" xfId="27244" hidden="1"/>
    <cellStyle name="Гиперссылка 2" xfId="27245" hidden="1"/>
    <cellStyle name="Гиперссылка 2" xfId="27241" hidden="1"/>
    <cellStyle name="Гиперссылка 2" xfId="27240" hidden="1"/>
    <cellStyle name="Гиперссылка 2" xfId="27243" hidden="1"/>
    <cellStyle name="Гиперссылка 2" xfId="27242" hidden="1"/>
    <cellStyle name="Гиперссылка 2" xfId="27247" hidden="1"/>
    <cellStyle name="Гиперссылка 2" xfId="27246" hidden="1"/>
    <cellStyle name="Гиперссылка 2" xfId="27248" hidden="1"/>
    <cellStyle name="Гиперссылка 2" xfId="27249" hidden="1"/>
    <cellStyle name="Гиперссылка 2" xfId="27254" hidden="1"/>
    <cellStyle name="Гиперссылка 2" xfId="27255" hidden="1"/>
    <cellStyle name="Гиперссылка 2" xfId="27251" hidden="1"/>
    <cellStyle name="Гиперссылка 2" xfId="27250" hidden="1"/>
    <cellStyle name="Гиперссылка 2" xfId="27253" hidden="1"/>
    <cellStyle name="Гиперссылка 2" xfId="27252" hidden="1"/>
    <cellStyle name="Гиперссылка 2" xfId="27257" hidden="1"/>
    <cellStyle name="Гиперссылка 2" xfId="27256" hidden="1"/>
    <cellStyle name="Гиперссылка 2" xfId="27115" hidden="1"/>
    <cellStyle name="Гиперссылка 2" xfId="26594" hidden="1"/>
    <cellStyle name="Гиперссылка 2" xfId="26887" hidden="1"/>
    <cellStyle name="Гиперссылка 2" xfId="26745" hidden="1"/>
    <cellStyle name="Гиперссылка 2" xfId="27200" hidden="1"/>
    <cellStyle name="Гиперссылка 2" xfId="27224" hidden="1"/>
    <cellStyle name="Гиперссылка 2" xfId="26898" hidden="1"/>
    <cellStyle name="Гиперссылка 2" xfId="27193" hidden="1"/>
    <cellStyle name="Гиперссылка 2" xfId="27281" hidden="1"/>
    <cellStyle name="Гиперссылка 2" xfId="27280" hidden="1"/>
    <cellStyle name="Гиперссылка 2" xfId="27292" hidden="1"/>
    <cellStyle name="Гиперссылка 2" xfId="27293" hidden="1"/>
    <cellStyle name="Гиперссылка 2" xfId="27298" hidden="1"/>
    <cellStyle name="Гиперссылка 2" xfId="27299" hidden="1"/>
    <cellStyle name="Гиперссылка 2" xfId="27295" hidden="1"/>
    <cellStyle name="Гиперссылка 2" xfId="27294" hidden="1"/>
    <cellStyle name="Гиперссылка 2" xfId="27297" hidden="1"/>
    <cellStyle name="Гиперссылка 2" xfId="27296" hidden="1"/>
    <cellStyle name="Гиперссылка 2" xfId="27301" hidden="1"/>
    <cellStyle name="Гиперссылка 2" xfId="27300" hidden="1"/>
    <cellStyle name="Гиперссылка 2" xfId="27304" hidden="1"/>
    <cellStyle name="Гиперссылка 2" xfId="27305" hidden="1"/>
    <cellStyle name="Гиперссылка 2" xfId="27310" hidden="1"/>
    <cellStyle name="Гиперссылка 2" xfId="27311" hidden="1"/>
    <cellStyle name="Гиперссылка 2" xfId="27307" hidden="1"/>
    <cellStyle name="Гиперссылка 2" xfId="27306" hidden="1"/>
    <cellStyle name="Гиперссылка 2" xfId="27309" hidden="1"/>
    <cellStyle name="Гиперссылка 2" xfId="27308" hidden="1"/>
    <cellStyle name="Гиперссылка 2" xfId="27313" hidden="1"/>
    <cellStyle name="Гиперссылка 2" xfId="27312" hidden="1"/>
    <cellStyle name="Гиперссылка 2" xfId="27314" hidden="1"/>
    <cellStyle name="Гиперссылка 2" xfId="27315" hidden="1"/>
    <cellStyle name="Гиперссылка 2" xfId="27320" hidden="1"/>
    <cellStyle name="Гиперссылка 2" xfId="27321" hidden="1"/>
    <cellStyle name="Гиперссылка 2" xfId="27317" hidden="1"/>
    <cellStyle name="Гиперссылка 2" xfId="27316" hidden="1"/>
    <cellStyle name="Гиперссылка 2" xfId="27319" hidden="1"/>
    <cellStyle name="Гиперссылка 2" xfId="27318" hidden="1"/>
    <cellStyle name="Гиперссылка 2" xfId="27323" hidden="1"/>
    <cellStyle name="Гиперссылка 2" xfId="27322" hidden="1"/>
    <cellStyle name="Гиперссылка 2" xfId="27194" hidden="1"/>
    <cellStyle name="Гиперссылка 2" xfId="26733" hidden="1"/>
    <cellStyle name="Гиперссылка 2" xfId="26967" hidden="1"/>
    <cellStyle name="Гиперссылка 2" xfId="26827" hidden="1"/>
    <cellStyle name="Гиперссылка 2" xfId="27263" hidden="1"/>
    <cellStyle name="Гиперссылка 2" xfId="27287" hidden="1"/>
    <cellStyle name="Гиперссылка 2" xfId="26981" hidden="1"/>
    <cellStyle name="Гиперссылка 2" xfId="27259" hidden="1"/>
    <cellStyle name="Гиперссылка 2" xfId="27346" hidden="1"/>
    <cellStyle name="Гиперссылка 2" xfId="27345" hidden="1"/>
    <cellStyle name="Гиперссылка 2" xfId="27357" hidden="1"/>
    <cellStyle name="Гиперссылка 2" xfId="27358" hidden="1"/>
    <cellStyle name="Гиперссылка 2" xfId="27363" hidden="1"/>
    <cellStyle name="Гиперссылка 2" xfId="27364" hidden="1"/>
    <cellStyle name="Гиперссылка 2" xfId="27360" hidden="1"/>
    <cellStyle name="Гиперссылка 2" xfId="27359" hidden="1"/>
    <cellStyle name="Гиперссылка 2" xfId="27362" hidden="1"/>
    <cellStyle name="Гиперссылка 2" xfId="27361" hidden="1"/>
    <cellStyle name="Гиперссылка 2" xfId="27366" hidden="1"/>
    <cellStyle name="Гиперссылка 2" xfId="27365" hidden="1"/>
    <cellStyle name="Гиперссылка 2" xfId="27367" hidden="1"/>
    <cellStyle name="Гиперссылка 2" xfId="27368" hidden="1"/>
    <cellStyle name="Гиперссылка 2" xfId="27373" hidden="1"/>
    <cellStyle name="Гиперссылка 2" xfId="27374" hidden="1"/>
    <cellStyle name="Гиперссылка 2" xfId="27370" hidden="1"/>
    <cellStyle name="Гиперссылка 2" xfId="27369" hidden="1"/>
    <cellStyle name="Гиперссылка 2" xfId="27372" hidden="1"/>
    <cellStyle name="Гиперссылка 2" xfId="27371" hidden="1"/>
    <cellStyle name="Гиперссылка 2" xfId="27376" hidden="1"/>
    <cellStyle name="Гиперссылка 2" xfId="27375" hidden="1"/>
    <cellStyle name="Гиперссылка 2" xfId="27377" hidden="1"/>
    <cellStyle name="Гиперссылка 2" xfId="27378" hidden="1"/>
    <cellStyle name="Гиперссылка 2" xfId="27383" hidden="1"/>
    <cellStyle name="Гиперссылка 2" xfId="27384" hidden="1"/>
    <cellStyle name="Гиперссылка 2" xfId="27380" hidden="1"/>
    <cellStyle name="Гиперссылка 2" xfId="27379" hidden="1"/>
    <cellStyle name="Гиперссылка 2" xfId="27382" hidden="1"/>
    <cellStyle name="Гиперссылка 2" xfId="27381" hidden="1"/>
    <cellStyle name="Гиперссылка 2" xfId="27386" hidden="1"/>
    <cellStyle name="Гиперссылка 2" xfId="27385" hidden="1"/>
    <cellStyle name="Гиперссылка 2" xfId="27260" hidden="1"/>
    <cellStyle name="Гиперссылка 2" xfId="26817" hidden="1"/>
    <cellStyle name="Гиперссылка 2" xfId="27047" hidden="1"/>
    <cellStyle name="Гиперссылка 2" xfId="26904" hidden="1"/>
    <cellStyle name="Гиперссылка 2" xfId="27331" hidden="1"/>
    <cellStyle name="Гиперссылка 2" xfId="27353" hidden="1"/>
    <cellStyle name="Гиперссылка 2" xfId="27056" hidden="1"/>
    <cellStyle name="Гиперссылка 2" xfId="27327" hidden="1"/>
    <cellStyle name="Гиперссылка 2" xfId="27407" hidden="1"/>
    <cellStyle name="Гиперссылка 2" xfId="27406" hidden="1"/>
    <cellStyle name="Гиперссылка 2" xfId="27414" hidden="1"/>
    <cellStyle name="Гиперссылка 2" xfId="27415" hidden="1"/>
    <cellStyle name="Гиперссылка 2" xfId="27420" hidden="1"/>
    <cellStyle name="Гиперссылка 2" xfId="27421" hidden="1"/>
    <cellStyle name="Гиперссылка 2" xfId="27417" hidden="1"/>
    <cellStyle name="Гиперссылка 2" xfId="27416" hidden="1"/>
    <cellStyle name="Гиперссылка 2" xfId="27419" hidden="1"/>
    <cellStyle name="Гиперссылка 2" xfId="27418" hidden="1"/>
    <cellStyle name="Гиперссылка 2" xfId="27423" hidden="1"/>
    <cellStyle name="Гиперссылка 2" xfId="27422" hidden="1"/>
    <cellStyle name="Гиперссылка 2" xfId="27425" hidden="1"/>
    <cellStyle name="Гиперссылка 2" xfId="27426" hidden="1"/>
    <cellStyle name="Гиперссылка 2" xfId="27431" hidden="1"/>
    <cellStyle name="Гиперссылка 2" xfId="27432" hidden="1"/>
    <cellStyle name="Гиперссылка 2" xfId="27428" hidden="1"/>
    <cellStyle name="Гиперссылка 2" xfId="27427" hidden="1"/>
    <cellStyle name="Гиперссылка 2" xfId="27430" hidden="1"/>
    <cellStyle name="Гиперссылка 2" xfId="27429" hidden="1"/>
    <cellStyle name="Гиперссылка 2" xfId="27434" hidden="1"/>
    <cellStyle name="Гиперссылка 2" xfId="27433" hidden="1"/>
    <cellStyle name="Гиперссылка 2" xfId="27435" hidden="1"/>
    <cellStyle name="Гиперссылка 2" xfId="27436" hidden="1"/>
    <cellStyle name="Гиперссылка 2" xfId="27441" hidden="1"/>
    <cellStyle name="Гиперссылка 2" xfId="27442" hidden="1"/>
    <cellStyle name="Гиперссылка 2" xfId="27438" hidden="1"/>
    <cellStyle name="Гиперссылка 2" xfId="27437" hidden="1"/>
    <cellStyle name="Гиперссылка 2" xfId="27440" hidden="1"/>
    <cellStyle name="Гиперссылка 2" xfId="27439" hidden="1"/>
    <cellStyle name="Гиперссылка 2" xfId="27444" hidden="1"/>
    <cellStyle name="Гиперссылка 2" xfId="27443" hidden="1"/>
    <cellStyle name="Гиперссылка 2" xfId="27328" hidden="1"/>
    <cellStyle name="Гиперссылка 2" xfId="26893" hidden="1"/>
    <cellStyle name="Гиперссылка 2" xfId="27122" hidden="1"/>
    <cellStyle name="Гиперссылка 2" xfId="26987" hidden="1"/>
    <cellStyle name="Гиперссылка 2" xfId="27390" hidden="1"/>
    <cellStyle name="Гиперссылка 2" xfId="27412" hidden="1"/>
    <cellStyle name="Гиперссылка 2" xfId="27134" hidden="1"/>
    <cellStyle name="Гиперссылка 2" xfId="27388" hidden="1"/>
    <cellStyle name="Гиперссылка 2" xfId="27457" hidden="1"/>
    <cellStyle name="Гиперссылка 2" xfId="27456" hidden="1"/>
    <cellStyle name="Гиперссылка 2" xfId="27461" hidden="1"/>
    <cellStyle name="Гиперссылка 2" xfId="27462" hidden="1"/>
    <cellStyle name="Гиперссылка 2" xfId="27467" hidden="1"/>
    <cellStyle name="Гиперссылка 2" xfId="27468" hidden="1"/>
    <cellStyle name="Гиперссылка 2" xfId="27464" hidden="1"/>
    <cellStyle name="Гиперссылка 2" xfId="27463" hidden="1"/>
    <cellStyle name="Гиперссылка 2" xfId="27466" hidden="1"/>
    <cellStyle name="Гиперссылка 2" xfId="27465" hidden="1"/>
    <cellStyle name="Гиперссылка 2" xfId="27470" hidden="1"/>
    <cellStyle name="Гиперссылка 2" xfId="27469" hidden="1"/>
    <cellStyle name="Гиперссылка 2" xfId="27471" hidden="1"/>
    <cellStyle name="Гиперссылка 2" xfId="27472" hidden="1"/>
    <cellStyle name="Гиперссылка 2" xfId="27477" hidden="1"/>
    <cellStyle name="Гиперссылка 2" xfId="27478" hidden="1"/>
    <cellStyle name="Гиперссылка 2" xfId="27474" hidden="1"/>
    <cellStyle name="Гиперссылка 2" xfId="27473" hidden="1"/>
    <cellStyle name="Гиперссылка 2" xfId="27476" hidden="1"/>
    <cellStyle name="Гиперссылка 2" xfId="27475" hidden="1"/>
    <cellStyle name="Гиперссылка 2" xfId="27480" hidden="1"/>
    <cellStyle name="Гиперссылка 2" xfId="27479" hidden="1"/>
    <cellStyle name="Гиперссылка 2" xfId="27481" hidden="1"/>
    <cellStyle name="Гиперссылка 2" xfId="27482" hidden="1"/>
    <cellStyle name="Гиперссылка 2" xfId="27487" hidden="1"/>
    <cellStyle name="Гиперссылка 2" xfId="27488" hidden="1"/>
    <cellStyle name="Гиперссылка 2" xfId="27484" hidden="1"/>
    <cellStyle name="Гиперссылка 2" xfId="27483" hidden="1"/>
    <cellStyle name="Гиперссылка 2" xfId="27486" hidden="1"/>
    <cellStyle name="Гиперссылка 2" xfId="27485" hidden="1"/>
    <cellStyle name="Гиперссылка 2" xfId="27490" hidden="1"/>
    <cellStyle name="Гиперссылка 2" xfId="27489" hidden="1"/>
    <cellStyle name="Гиперссылка 2" xfId="27389" hidden="1"/>
    <cellStyle name="Гиперссылка 2" xfId="26975" hidden="1"/>
    <cellStyle name="Гиперссылка 2" xfId="27199" hidden="1"/>
    <cellStyle name="Гиперссылка 2" xfId="27062" hidden="1"/>
    <cellStyle name="Гиперссылка 2" xfId="27449" hidden="1"/>
    <cellStyle name="Гиперссылка 2" xfId="27460" hidden="1"/>
    <cellStyle name="Гиперссылка 2" xfId="27207" hidden="1"/>
    <cellStyle name="Гиперссылка 2" xfId="27446" hidden="1"/>
    <cellStyle name="Гиперссылка 2" xfId="27492" hidden="1"/>
    <cellStyle name="Гиперссылка 2" xfId="27491" hidden="1"/>
    <cellStyle name="Гиперссылка 2" xfId="27493" hidden="1"/>
    <cellStyle name="Гиперссылка 2" xfId="27494" hidden="1"/>
    <cellStyle name="Гиперссылка 2" xfId="27499" hidden="1"/>
    <cellStyle name="Гиперссылка 2" xfId="27500" hidden="1"/>
    <cellStyle name="Гиперссылка 2" xfId="27496" hidden="1"/>
    <cellStyle name="Гиперссылка 2" xfId="27495" hidden="1"/>
    <cellStyle name="Гиперссылка 2" xfId="27498" hidden="1"/>
    <cellStyle name="Гиперссылка 2" xfId="27497" hidden="1"/>
    <cellStyle name="Гиперссылка 2" xfId="27502" hidden="1"/>
    <cellStyle name="Гиперссылка 2" xfId="27501" hidden="1"/>
    <cellStyle name="Гиперссылка 2" xfId="27503" hidden="1"/>
    <cellStyle name="Гиперссылка 2" xfId="27504" hidden="1"/>
    <cellStyle name="Гиперссылка 2" xfId="27509" hidden="1"/>
    <cellStyle name="Гиперссылка 2" xfId="27510" hidden="1"/>
    <cellStyle name="Гиперссылка 2" xfId="27506" hidden="1"/>
    <cellStyle name="Гиперссылка 2" xfId="27505" hidden="1"/>
    <cellStyle name="Гиперссылка 2" xfId="27508" hidden="1"/>
    <cellStyle name="Гиперссылка 2" xfId="27507" hidden="1"/>
    <cellStyle name="Гиперссылка 2" xfId="27512" hidden="1"/>
    <cellStyle name="Гиперссылка 2" xfId="27511" hidden="1"/>
    <cellStyle name="Гиперссылка 2" xfId="27513" hidden="1"/>
    <cellStyle name="Гиперссылка 2" xfId="27514" hidden="1"/>
    <cellStyle name="Гиперссылка 2" xfId="27519" hidden="1"/>
    <cellStyle name="Гиперссылка 2" xfId="27520" hidden="1"/>
    <cellStyle name="Гиперссылка 2" xfId="27516" hidden="1"/>
    <cellStyle name="Гиперссылка 2" xfId="27515" hidden="1"/>
    <cellStyle name="Гиперссылка 2" xfId="27518" hidden="1"/>
    <cellStyle name="Гиперссылка 2" xfId="27517" hidden="1"/>
    <cellStyle name="Гиперссылка 2" xfId="27522" hidden="1"/>
    <cellStyle name="Гиперссылка 2" xfId="27521" hidden="1"/>
    <cellStyle name="Гиперссылка 2" xfId="26927" hidden="1"/>
    <cellStyle name="Гиперссылка 2" xfId="25738" hidden="1"/>
    <cellStyle name="Гиперссылка 2" xfId="27283" hidden="1"/>
    <cellStyle name="Гиперссылка 2" xfId="26353" hidden="1"/>
    <cellStyle name="Гиперссылка 2" xfId="27130" hidden="1"/>
    <cellStyle name="Гиперссылка 2" xfId="26599" hidden="1"/>
    <cellStyle name="Гиперссылка 2" xfId="26511" hidden="1"/>
    <cellStyle name="Гиперссылка 2" xfId="26502" hidden="1"/>
    <cellStyle name="Гиперссылка 2" xfId="26521" hidden="1"/>
    <cellStyle name="Гиперссылка 2" xfId="26345" hidden="1"/>
    <cellStyle name="Гиперссылка 2" xfId="27401" hidden="1"/>
    <cellStyle name="Гиперссылка 2" xfId="27273" hidden="1"/>
    <cellStyle name="Гиперссылка 2" xfId="26830" hidden="1"/>
    <cellStyle name="Гиперссылка 2" xfId="25781" hidden="1"/>
    <cellStyle name="Гиперссылка 2" xfId="27213" hidden="1"/>
    <cellStyle name="Гиперссылка 2" xfId="27342" hidden="1"/>
    <cellStyle name="Гиперссылка 2" xfId="26991" hidden="1"/>
    <cellStyle name="Гиперссылка 2" xfId="27066" hidden="1"/>
    <cellStyle name="Гиперссылка 2" xfId="27055" hidden="1"/>
    <cellStyle name="Гиперссылка 2" xfId="25732" hidden="1"/>
    <cellStyle name="Гиперссылка 2" xfId="25748" hidden="1"/>
    <cellStyle name="Гиперссылка 2" xfId="26588" hidden="1"/>
    <cellStyle name="Гиперссылка 2" xfId="26388" hidden="1"/>
    <cellStyle name="Гиперссылка 2" xfId="26385" hidden="1"/>
    <cellStyle name="Гиперссылка 2" xfId="26677" hidden="1"/>
    <cellStyle name="Гиперссылка 2" xfId="26692" hidden="1"/>
    <cellStyle name="Гиперссылка 2" xfId="26490" hidden="1"/>
    <cellStyle name="Гиперссылка 2" xfId="26493" hidden="1"/>
    <cellStyle name="Гиперссылка 2" xfId="26545" hidden="1"/>
    <cellStyle name="Гиперссылка 2" xfId="26374" hidden="1"/>
    <cellStyle name="Гиперссылка 2" xfId="26487" hidden="1"/>
    <cellStyle name="Гиперссылка 2" xfId="26437" hidden="1"/>
    <cellStyle name="Гиперссылка 2" xfId="26478" hidden="1"/>
    <cellStyle name="Гиперссылка 2" xfId="26447" hidden="1"/>
    <cellStyle name="Гиперссылка 2" xfId="26467" hidden="1"/>
    <cellStyle name="Гиперссылка 2" xfId="26529" hidden="1"/>
    <cellStyle name="Гиперссылка 2" xfId="26539" hidden="1"/>
    <cellStyle name="Гиперссылка 2" xfId="26328" hidden="1"/>
    <cellStyle name="Гиперссылка 2" xfId="26482" hidden="1"/>
    <cellStyle name="Гиперссылка 2" xfId="26523" hidden="1"/>
    <cellStyle name="Гиперссылка 2" xfId="25774" hidden="1"/>
    <cellStyle name="Гиперссылка 2" xfId="26610" hidden="1"/>
    <cellStyle name="Гиперссылка 2" xfId="26517" hidden="1"/>
    <cellStyle name="Гиперссылка 2" xfId="26456" hidden="1"/>
    <cellStyle name="Гиперссылка 2" xfId="26538" hidden="1"/>
    <cellStyle name="Гиперссылка 2" xfId="26808" hidden="1"/>
    <cellStyle name="Гиперссылка 2" xfId="27335" hidden="1"/>
    <cellStyle name="Гиперссылка 2" xfId="27395" hidden="1"/>
    <cellStyle name="Гиперссылка 2" xfId="26421" hidden="1"/>
    <cellStyle name="Гиперссылка 2" xfId="26649" hidden="1"/>
    <cellStyle name="Гиперссылка 2" xfId="27117" hidden="1"/>
    <cellStyle name="Гиперссылка 2" xfId="26966" hidden="1"/>
    <cellStyle name="Гиперссылка 2" xfId="26452" hidden="1"/>
    <cellStyle name="Гиперссылка 2" xfId="27006" hidden="1"/>
    <cellStyle name="Гиперссылка 2" xfId="26741" hidden="1"/>
    <cellStyle name="Гиперссылка 2" xfId="25754" hidden="1"/>
    <cellStyle name="Гиперссылка 2" xfId="26514" hidden="1"/>
    <cellStyle name="Гиперссылка 2" xfId="26498" hidden="1"/>
    <cellStyle name="Гиперссылка 2" xfId="26681" hidden="1"/>
    <cellStyle name="Гиперссылка 2" xfId="26764" hidden="1"/>
    <cellStyle name="Гиперссылка 2" xfId="27354" hidden="1"/>
    <cellStyle name="Гиперссылка 2" xfId="27225" hidden="1"/>
    <cellStyle name="Гиперссылка 2" xfId="26984" hidden="1"/>
    <cellStyle name="Гиперссылка 2" xfId="25755" hidden="1"/>
    <cellStyle name="Гиперссылка 2" xfId="27339" hidden="1"/>
    <cellStyle name="Гиперссылка 2" xfId="27452" hidden="1"/>
    <cellStyle name="Гиперссылка 2" xfId="27137" hidden="1"/>
    <cellStyle name="Гиперссылка 2" xfId="27209" hidden="1"/>
    <cellStyle name="Гиперссылка 2" xfId="26500" hidden="1"/>
    <cellStyle name="Гиперссылка 2" xfId="26580" hidden="1"/>
    <cellStyle name="Гиперссылка 2" xfId="26418" hidden="1"/>
    <cellStyle name="Гиперссылка 2" xfId="27001" hidden="1"/>
    <cellStyle name="Гиперссылка 2" xfId="27221" hidden="1"/>
    <cellStyle name="Гиперссылка 2" xfId="27072" hidden="1"/>
    <cellStyle name="Гиперссылка 2" xfId="26700" hidden="1"/>
    <cellStyle name="Гиперссылка 2" xfId="26759" hidden="1"/>
    <cellStyle name="Гиперссылка 2" xfId="27350" hidden="1"/>
    <cellStyle name="Гиперссылка 2" xfId="26416" hidden="1"/>
    <cellStyle name="Гиперссылка 2" xfId="27351" hidden="1"/>
    <cellStyle name="Гиперссылка 2" xfId="27410" hidden="1"/>
    <cellStyle name="Гиперссылка 2" xfId="26833" hidden="1"/>
    <cellStyle name="Гиперссылка 2" xfId="26820" hidden="1"/>
    <cellStyle name="Гиперссылка 2" xfId="27274" hidden="1"/>
    <cellStyle name="Гиперссылка 2" xfId="26396" hidden="1"/>
    <cellStyle name="Гиперссылка 2" xfId="26713" hidden="1"/>
    <cellStyle name="Гиперссылка 2" xfId="26584" hidden="1"/>
    <cellStyle name="Гиперссылка 2" xfId="27051" hidden="1"/>
    <cellStyle name="Гиперссылка 2" xfId="27046" hidden="1"/>
    <cellStyle name="Гиперссылка 2" xfId="26507" hidden="1"/>
    <cellStyle name="Гиперссылка 2" xfId="26512" hidden="1"/>
    <cellStyle name="Гиперссылка 2" xfId="26640" hidden="1"/>
    <cellStyle name="Гиперссылка 2" xfId="26581" hidden="1"/>
    <cellStyle name="Гиперссылка 2" xfId="26939" hidden="1"/>
    <cellStyle name="Гиперссылка 2" xfId="26778" hidden="1"/>
    <cellStyle name="Гиперссылка 2" xfId="27302" hidden="1"/>
    <cellStyle name="Гиперссылка 2" xfId="26607" hidden="1"/>
    <cellStyle name="Гиперссылка 2" xfId="27091" hidden="1"/>
    <cellStyle name="Гиперссылка 2" xfId="27168" hidden="1"/>
    <cellStyle name="Гиперссылка 2" xfId="25766" hidden="1"/>
    <cellStyle name="Гиперссылка 2" xfId="25763" hidden="1"/>
    <cellStyle name="Гиперссылка 2" xfId="27057" hidden="1"/>
    <cellStyle name="Гиперссылка 2" xfId="26982" hidden="1"/>
    <cellStyle name="Гиперссылка 2" xfId="25783" hidden="1"/>
    <cellStyle name="Гиперссылка 2" xfId="26465" hidden="1"/>
    <cellStyle name="Гиперссылка 2" xfId="26675" hidden="1"/>
    <cellStyle name="Гиперссылка 2" xfId="26739" hidden="1"/>
    <cellStyle name="Гиперссылка 2" xfId="26334" hidden="1"/>
    <cellStyle name="Гиперссылка 2" xfId="26361" hidden="1"/>
    <cellStyle name="Гиперссылка 2" xfId="26377" hidden="1"/>
    <cellStyle name="Гиперссылка 2" xfId="26380" hidden="1"/>
    <cellStyle name="Гиперссылка 2" xfId="26544" hidden="1"/>
    <cellStyle name="Гиперссылка 2" xfId="26486" hidden="1"/>
    <cellStyle name="Гиперссылка 2" xfId="26540" hidden="1"/>
    <cellStyle name="Гиперссылка 2" xfId="26480" hidden="1"/>
    <cellStyle name="Гиперссылка 2" xfId="26531" hidden="1"/>
    <cellStyle name="Гиперссылка 2" xfId="26370" hidden="1"/>
    <cellStyle name="Гиперссылка 2" xfId="26438" hidden="1"/>
    <cellStyle name="Гиперссылка 2" xfId="26470" hidden="1"/>
    <cellStyle name="Гиперссылка 2" xfId="26542" hidden="1"/>
    <cellStyle name="Гиперссылка 2" xfId="26442" hidden="1"/>
    <cellStyle name="Гиперссылка 2" xfId="26964" hidden="1"/>
    <cellStyle name="Гиперссылка 2" xfId="26628" hidden="1"/>
    <cellStyle name="Гиперссылка 2" xfId="26537" hidden="1"/>
    <cellStyle name="Гиперссылка 2" xfId="26459" hidden="1"/>
    <cellStyle name="Гиперссылка 2" xfId="26329" hidden="1"/>
    <cellStyle name="Гиперссылка 2" xfId="25756" hidden="1"/>
    <cellStyle name="Гиперссылка 2" xfId="27279" hidden="1"/>
    <cellStyle name="Гиперссылка 2" xfId="26676" hidden="1"/>
    <cellStyle name="Гиперссылка 2" xfId="25770" hidden="1"/>
    <cellStyle name="Гиперссылка 2" xfId="26369" hidden="1"/>
    <cellStyle name="Гиперссылка 2" xfId="27058" hidden="1"/>
    <cellStyle name="Гиперссылка 2" xfId="26899" hidden="1"/>
    <cellStyle name="Гиперссылка 2" xfId="26596" hidden="1"/>
    <cellStyle name="Гиперссылка 2" xfId="26663" hidden="1"/>
    <cellStyle name="Гиперссылка 2" xfId="27397" hidden="1"/>
    <cellStyle name="Гиперссылка 2" xfId="26408" hidden="1"/>
    <cellStyle name="Гиперссылка 2" xfId="27208" hidden="1"/>
    <cellStyle name="Гиперссылка 2" xfId="27271" hidden="1"/>
    <cellStyle name="Гиперссылка 2" xfId="26357" hidden="1"/>
    <cellStyle name="Гиперссылка 2" xfId="26707" hidden="1"/>
    <cellStyle name="Гиперссылка 2" xfId="26619" hidden="1"/>
    <cellStyle name="Гиперссылка 2" xfId="26352" hidden="1"/>
    <cellStyle name="Гиперссылка 2" xfId="26674" hidden="1"/>
    <cellStyle name="Гиперссылка 2" xfId="26406" hidden="1"/>
    <cellStyle name="Гиперссылка 2" xfId="26799" hidden="1"/>
    <cellStyle name="Гиперссылка 2" xfId="26468" hidden="1"/>
    <cellStyle name="Гиперссылка 2" xfId="26691" hidden="1"/>
    <cellStyle name="Гиперссылка 2" xfId="26626" hidden="1"/>
    <cellStyle name="Гиперссылка 2" xfId="26960" hidden="1"/>
    <cellStyle name="Гиперссылка 2" xfId="27042" hidden="1"/>
    <cellStyle name="Гиперссылка 2" xfId="26348" hidden="1"/>
    <cellStyle name="Гиперссылка 2" xfId="26883" hidden="1"/>
    <cellStyle name="Гиперссылка 2" xfId="26751" hidden="1"/>
    <cellStyle name="Гиперссылка 2" xfId="26506" hidden="1"/>
    <cellStyle name="Гиперссылка 2" xfId="26673" hidden="1"/>
    <cellStyle name="Гиперссылка 2" xfId="26652" hidden="1"/>
    <cellStyle name="Гиперссылка 2" xfId="25739" hidden="1"/>
    <cellStyle name="Гиперссылка 2" xfId="26591" hidden="1"/>
    <cellStyle name="Гиперссылка 2" xfId="26919" hidden="1"/>
    <cellStyle name="Гиперссылка 2" xfId="26412" hidden="1"/>
    <cellStyle name="Гиперссылка 2" xfId="26711" hidden="1"/>
    <cellStyle name="Гиперссылка 2" xfId="27192" hidden="1"/>
    <cellStyle name="Гиперссылка 2" xfId="27008" hidden="1"/>
    <cellStyle name="Гиперссылка 2" xfId="26597" hidden="1"/>
    <cellStyle name="Гиперссылка 2" xfId="26375" hidden="1"/>
    <cellStyle name="Гиперссылка 2" xfId="27203" hidden="1"/>
    <cellStyle name="Гиперссылка 2" xfId="26458" hidden="1"/>
    <cellStyle name="Гиперссылка 2" xfId="25750" hidden="1"/>
    <cellStyle name="Гиперссылка 2" xfId="26403" hidden="1"/>
    <cellStyle name="Гиперссылка 2" xfId="26632" hidden="1"/>
    <cellStyle name="Гиперссылка 2" xfId="27340" hidden="1"/>
    <cellStyle name="Гиперссылка 2" xfId="27210" hidden="1"/>
    <cellStyle name="Гиперссылка 2" xfId="25772" hidden="1"/>
    <cellStyle name="Гиперссылка 2" xfId="25733" hidden="1"/>
    <cellStyle name="Гиперссылка 2" xfId="25773" hidden="1"/>
    <cellStyle name="Гиперссылка 2" xfId="26902" hidden="1"/>
    <cellStyle name="Гиперссылка 2" xfId="25758" hidden="1"/>
    <cellStyle name="Гиперссылка 2" xfId="25753" hidden="1"/>
    <cellStyle name="Гиперссылка 2" xfId="25728" hidden="1"/>
    <cellStyle name="Гиперссылка 2" xfId="25768" hidden="1"/>
    <cellStyle name="Гиперссылка 2" xfId="26532" hidden="1"/>
    <cellStyle name="Гиперссылка 2" xfId="26471" hidden="1"/>
    <cellStyle name="Гиперссылка 2" xfId="27454" hidden="1"/>
    <cellStyle name="Гиперссылка 2" xfId="27341" hidden="1"/>
    <cellStyle name="Гиперссылка 2" xfId="26905" hidden="1"/>
    <cellStyle name="Гиперссылка 2" xfId="27063" hidden="1"/>
    <cellStyle name="Гиперссылка 2" xfId="26636" hidden="1"/>
    <cellStyle name="Гиперссылка 2" xfId="26746" hidden="1"/>
    <cellStyle name="Гиперссылка 2" xfId="27133" hidden="1"/>
    <cellStyle name="Гиперссылка 2" xfId="26349" hidden="1"/>
    <cellStyle name="Гиперссылка 2" xfId="26978" hidden="1"/>
    <cellStyle name="Гиперссылка 2" xfId="26824" hidden="1"/>
    <cellStyle name="Гиперссылка 2" xfId="26501" hidden="1"/>
    <cellStyle name="Гиперссылка 2" xfId="26439" hidden="1"/>
    <cellStyle name="Гиперссылка 2" xfId="25737" hidden="1"/>
    <cellStyle name="Гиперссылка 2" xfId="26687" hidden="1"/>
    <cellStyle name="Гиперссылка 2" xfId="26355" hidden="1"/>
    <cellStyle name="Гиперссылка 2" xfId="26688" hidden="1"/>
    <cellStyle name="Гиперссылка 2" xfId="26620" hidden="1"/>
    <cellStyle name="Гиперссылка 2" xfId="26579" hidden="1"/>
    <cellStyle name="Гиперссылка 2" xfId="25744" hidden="1"/>
    <cellStyle name="Гиперссылка 2" xfId="26593" hidden="1"/>
    <cellStyle name="Гиперссылка 2" xfId="26491" hidden="1"/>
    <cellStyle name="Гиперссылка 2" xfId="27079" hidden="1"/>
    <cellStyle name="Гиперссылка 2" xfId="27400" hidden="1"/>
    <cellStyle name="Гиперссылка 2" xfId="26976" hidden="1"/>
    <cellStyle name="Гиперссылка 2" xfId="26924" hidden="1"/>
    <cellStyle name="Гиперссылка 2" xfId="27405" hidden="1"/>
    <cellStyle name="Гиперссылка 2" xfId="26614" hidden="1"/>
    <cellStyle name="Гиперссылка 2" xfId="26761" hidden="1"/>
    <cellStyle name="Гиперссылка 2" xfId="27424" hidden="1"/>
    <cellStyle name="Гиперссылка 2" xfId="27303" hidden="1"/>
    <cellStyle name="Гиперссылка 2" xfId="26637" hidden="1"/>
    <cellStyle name="Гиперссылка 2" xfId="25736" hidden="1"/>
    <cellStyle name="Гиперссылка 2" xfId="26974" hidden="1"/>
    <cellStyle name="Гиперссылка 2" xfId="27127" hidden="1"/>
    <cellStyle name="Гиперссылка 2" xfId="26732" hidden="1"/>
    <cellStyle name="Гиперссылка 2" xfId="26816" hidden="1"/>
    <cellStyle name="Гиперссылка 2" xfId="26530" hidden="1"/>
    <cellStyle name="Гиперссылка 2" xfId="26332" hidden="1"/>
    <cellStyle name="Гиперссылка 2" xfId="26810" hidden="1"/>
    <cellStyle name="Гиперссылка 2" xfId="26695" hidden="1"/>
    <cellStyle name="Гиперссылка 2" xfId="26888" hidden="1"/>
    <cellStyle name="Гиперссылка 2" xfId="27455" hidden="1"/>
    <cellStyle name="Гиперссылка 2" xfId="26400" hidden="1"/>
    <cellStyle name="Гиперссылка 2" xfId="26618" hidden="1"/>
    <cellStyle name="Гиперссылка 2" xfId="27048" hidden="1"/>
    <cellStyle name="Гиперссылка 2" xfId="27123" hidden="1"/>
    <cellStyle name="Гиперссылка 2" xfId="27212" hidden="1"/>
    <cellStyle name="Гиперссылка 2" xfId="27275" hidden="1"/>
    <cellStyle name="Гиперссылка 2" xfId="27064" hidden="1"/>
    <cellStyle name="Гиперссылка 2" xfId="26907" hidden="1"/>
    <cellStyle name="Гиперссылка 2" xfId="26838" hidden="1"/>
    <cellStyle name="Гиперссылка 2" xfId="26655" hidden="1"/>
    <cellStyle name="Гиперссылка 2" xfId="26503" hidden="1"/>
    <cellStyle name="Гиперссылка 2" xfId="26697" hidden="1"/>
    <cellStyle name="Гиперссылка 2" xfId="26415" hidden="1"/>
    <cellStyle name="Гиперссылка 2" xfId="26405" hidden="1"/>
    <cellStyle name="Гиперссылка 2" xfId="26398" hidden="1"/>
    <cellStyle name="Гиперссылка 2" xfId="26625" hidden="1"/>
    <cellStyle name="Гиперссылка 2" xfId="27344" hidden="1"/>
    <cellStyle name="Гиперссылка 2" xfId="27394" hidden="1"/>
    <cellStyle name="Гиперссылка 2" xfId="26454" hidden="1"/>
    <cellStyle name="Гиперссылка 2" xfId="26822" hidden="1"/>
    <cellStyle name="Гиперссылка 2" xfId="27459" hidden="1"/>
    <cellStyle name="Гиперссылка 2" xfId="26351" hidden="1"/>
    <cellStyle name="Гиперссылка 2" xfId="27349" hidden="1"/>
    <cellStyle name="Гиперссылка 2" xfId="26993" hidden="1"/>
    <cellStyle name="Гиперссылка 2" xfId="27530" hidden="1"/>
    <cellStyle name="Гиперссылка 2" xfId="27529" hidden="1"/>
    <cellStyle name="Гиперссылка 2" xfId="27537" hidden="1"/>
    <cellStyle name="Гиперссылка 2" xfId="27538" hidden="1"/>
    <cellStyle name="Гиперссылка 2" xfId="27543" hidden="1"/>
    <cellStyle name="Гиперссылка 2" xfId="27544" hidden="1"/>
    <cellStyle name="Гиперссылка 2" xfId="27540" hidden="1"/>
    <cellStyle name="Гиперссылка 2" xfId="27539" hidden="1"/>
    <cellStyle name="Гиперссылка 2" xfId="27542" hidden="1"/>
    <cellStyle name="Гиперссылка 2" xfId="27541" hidden="1"/>
    <cellStyle name="Гиперссылка 2" xfId="27546" hidden="1"/>
    <cellStyle name="Гиперссылка 2" xfId="27545" hidden="1"/>
    <cellStyle name="Гиперссылка 2" xfId="27548" hidden="1"/>
    <cellStyle name="Гиперссылка 2" xfId="27549" hidden="1"/>
    <cellStyle name="Гиперссылка 2" xfId="27554" hidden="1"/>
    <cellStyle name="Гиперссылка 2" xfId="27555" hidden="1"/>
    <cellStyle name="Гиперссылка 2" xfId="27551" hidden="1"/>
    <cellStyle name="Гиперссылка 2" xfId="27550" hidden="1"/>
    <cellStyle name="Гиперссылка 2" xfId="27553" hidden="1"/>
    <cellStyle name="Гиперссылка 2" xfId="27552" hidden="1"/>
    <cellStyle name="Гиперссылка 2" xfId="27557" hidden="1"/>
    <cellStyle name="Гиперссылка 2" xfId="27556" hidden="1"/>
    <cellStyle name="Гиперссылка 2" xfId="27558" hidden="1"/>
    <cellStyle name="Гиперссылка 2" xfId="27559" hidden="1"/>
    <cellStyle name="Гиперссылка 2" xfId="27564" hidden="1"/>
    <cellStyle name="Гиперссылка 2" xfId="27565" hidden="1"/>
    <cellStyle name="Гиперссылка 2" xfId="27561" hidden="1"/>
    <cellStyle name="Гиперссылка 2" xfId="27560" hidden="1"/>
    <cellStyle name="Гиперссылка 2" xfId="27563" hidden="1"/>
    <cellStyle name="Гиперссылка 2" xfId="27562" hidden="1"/>
    <cellStyle name="Гиперссылка 2" xfId="27567" hidden="1"/>
    <cellStyle name="Гиперссылка 2" xfId="27566" hidden="1"/>
    <cellStyle name="Гиперссылка 2" xfId="26911" hidden="1"/>
    <cellStyle name="Гиперссылка 2" xfId="26592" hidden="1"/>
    <cellStyle name="Гиперссылка 2" xfId="26728" hidden="1"/>
    <cellStyle name="Гиперссылка 2" xfId="26724" hidden="1"/>
    <cellStyle name="Гиперссылка 2" xfId="27258" hidden="1"/>
    <cellStyle name="Гиперссылка 2" xfId="27534" hidden="1"/>
    <cellStyle name="Гиперссылка 2" xfId="26642" hidden="1"/>
    <cellStyle name="Гиперссылка 2" xfId="26821" hidden="1"/>
    <cellStyle name="Гиперссылка 2" xfId="27593" hidden="1"/>
    <cellStyle name="Гиперссылка 2" xfId="27592" hidden="1"/>
    <cellStyle name="Гиперссылка 2" xfId="27600" hidden="1"/>
    <cellStyle name="Гиперссылка 2" xfId="27601" hidden="1"/>
    <cellStyle name="Гиперссылка 2" xfId="27606" hidden="1"/>
    <cellStyle name="Гиперссылка 2" xfId="27607" hidden="1"/>
    <cellStyle name="Гиперссылка 2" xfId="27603" hidden="1"/>
    <cellStyle name="Гиперссылка 2" xfId="27602" hidden="1"/>
    <cellStyle name="Гиперссылка 2" xfId="27605" hidden="1"/>
    <cellStyle name="Гиперссылка 2" xfId="27604" hidden="1"/>
    <cellStyle name="Гиперссылка 2" xfId="27609" hidden="1"/>
    <cellStyle name="Гиперссылка 2" xfId="27608" hidden="1"/>
    <cellStyle name="Гиперссылка 2" xfId="27610" hidden="1"/>
    <cellStyle name="Гиперссылка 2" xfId="27611" hidden="1"/>
    <cellStyle name="Гиперссылка 2" xfId="27616" hidden="1"/>
    <cellStyle name="Гиперссылка 2" xfId="27617" hidden="1"/>
    <cellStyle name="Гиперссылка 2" xfId="27613" hidden="1"/>
    <cellStyle name="Гиперссылка 2" xfId="27612" hidden="1"/>
    <cellStyle name="Гиперссылка 2" xfId="27615" hidden="1"/>
    <cellStyle name="Гиперссылка 2" xfId="27614" hidden="1"/>
    <cellStyle name="Гиперссылка 2" xfId="27619" hidden="1"/>
    <cellStyle name="Гиперссылка 2" xfId="27618" hidden="1"/>
    <cellStyle name="Гиперссылка 2" xfId="27620" hidden="1"/>
    <cellStyle name="Гиперссылка 2" xfId="27621" hidden="1"/>
    <cellStyle name="Гиперссылка 2" xfId="27626" hidden="1"/>
    <cellStyle name="Гиперссылка 2" xfId="27627" hidden="1"/>
    <cellStyle name="Гиперссылка 2" xfId="27623" hidden="1"/>
    <cellStyle name="Гиперссылка 2" xfId="27622" hidden="1"/>
    <cellStyle name="Гиперссылка 2" xfId="27625" hidden="1"/>
    <cellStyle name="Гиперссылка 2" xfId="27624" hidden="1"/>
    <cellStyle name="Гиперссылка 2" xfId="27629" hidden="1"/>
    <cellStyle name="Гиперссылка 2" xfId="27628" hidden="1"/>
    <cellStyle name="Гиперссылка 2" xfId="25764" hidden="1"/>
    <cellStyle name="Гиперссылка 2" xfId="26742" hidden="1"/>
    <cellStyle name="Гиперссылка 2" xfId="26372" hidden="1"/>
    <cellStyle name="Гиперссылка 2" xfId="27348" hidden="1"/>
    <cellStyle name="Гиперссылка 2" xfId="27576" hidden="1"/>
    <cellStyle name="Гиперссылка 2" xfId="27597" hidden="1"/>
    <cellStyle name="Гиперссылка 2" xfId="26662" hidden="1"/>
    <cellStyle name="Гиперссылка 2" xfId="27570" hidden="1"/>
    <cellStyle name="Гиперссылка 2" xfId="27651" hidden="1"/>
    <cellStyle name="Гиперссылка 2" xfId="27650" hidden="1"/>
    <cellStyle name="Гиперссылка 2" xfId="27662" hidden="1"/>
    <cellStyle name="Гиперссылка 2" xfId="27663" hidden="1"/>
    <cellStyle name="Гиперссылка 2" xfId="27668" hidden="1"/>
    <cellStyle name="Гиперссылка 2" xfId="27669" hidden="1"/>
    <cellStyle name="Гиперссылка 2" xfId="27665" hidden="1"/>
    <cellStyle name="Гиперссылка 2" xfId="27664" hidden="1"/>
    <cellStyle name="Гиперссылка 2" xfId="27667" hidden="1"/>
    <cellStyle name="Гиперссылка 2" xfId="27666" hidden="1"/>
    <cellStyle name="Гиперссылка 2" xfId="27671" hidden="1"/>
    <cellStyle name="Гиперссылка 2" xfId="27670" hidden="1"/>
    <cellStyle name="Гиперссылка 2" xfId="27674" hidden="1"/>
    <cellStyle name="Гиперссылка 2" xfId="27675" hidden="1"/>
    <cellStyle name="Гиперссылка 2" xfId="27680" hidden="1"/>
    <cellStyle name="Гиперссылка 2" xfId="27681" hidden="1"/>
    <cellStyle name="Гиперссылка 2" xfId="27677" hidden="1"/>
    <cellStyle name="Гиперссылка 2" xfId="27676" hidden="1"/>
    <cellStyle name="Гиперссылка 2" xfId="27679" hidden="1"/>
    <cellStyle name="Гиперссылка 2" xfId="27678" hidden="1"/>
    <cellStyle name="Гиперссылка 2" xfId="27683" hidden="1"/>
    <cellStyle name="Гиперссылка 2" xfId="27682" hidden="1"/>
    <cellStyle name="Гиперссылка 2" xfId="27684" hidden="1"/>
    <cellStyle name="Гиперссылка 2" xfId="27685" hidden="1"/>
    <cellStyle name="Гиперссылка 2" xfId="27690" hidden="1"/>
    <cellStyle name="Гиперссылка 2" xfId="27691" hidden="1"/>
    <cellStyle name="Гиперссылка 2" xfId="27687" hidden="1"/>
    <cellStyle name="Гиперссылка 2" xfId="27686" hidden="1"/>
    <cellStyle name="Гиперссылка 2" xfId="27689" hidden="1"/>
    <cellStyle name="Гиперссылка 2" xfId="27688" hidden="1"/>
    <cellStyle name="Гиперссылка 2" xfId="27693" hidden="1"/>
    <cellStyle name="Гиперссылка 2" xfId="27692" hidden="1"/>
    <cellStyle name="Гиперссылка 2" xfId="27571" hidden="1"/>
    <cellStyle name="Гиперссылка 2" xfId="27135" hidden="1"/>
    <cellStyle name="Гиперссылка 2" xfId="26901" hidden="1"/>
    <cellStyle name="Гиперссылка 2" xfId="26393" hidden="1"/>
    <cellStyle name="Гиперссылка 2" xfId="27636" hidden="1"/>
    <cellStyle name="Гиперссылка 2" xfId="27657" hidden="1"/>
    <cellStyle name="Гиперссылка 2" xfId="27206" hidden="1"/>
    <cellStyle name="Гиперссылка 2" xfId="27632" hidden="1"/>
    <cellStyle name="Гиперссылка 2" xfId="27710" hidden="1"/>
    <cellStyle name="Гиперссылка 2" xfId="27709" hidden="1"/>
    <cellStyle name="Гиперссылка 2" xfId="27720" hidden="1"/>
    <cellStyle name="Гиперссылка 2" xfId="27721" hidden="1"/>
    <cellStyle name="Гиперссылка 2" xfId="27726" hidden="1"/>
    <cellStyle name="Гиперссылка 2" xfId="27727" hidden="1"/>
    <cellStyle name="Гиперссылка 2" xfId="27723" hidden="1"/>
    <cellStyle name="Гиперссылка 2" xfId="27722" hidden="1"/>
    <cellStyle name="Гиперссылка 2" xfId="27725" hidden="1"/>
    <cellStyle name="Гиперссылка 2" xfId="27724" hidden="1"/>
    <cellStyle name="Гиперссылка 2" xfId="27729" hidden="1"/>
    <cellStyle name="Гиперссылка 2" xfId="27728" hidden="1"/>
    <cellStyle name="Гиперссылка 2" xfId="27730" hidden="1"/>
    <cellStyle name="Гиперссылка 2" xfId="27731" hidden="1"/>
    <cellStyle name="Гиперссылка 2" xfId="27736" hidden="1"/>
    <cellStyle name="Гиперссылка 2" xfId="27737" hidden="1"/>
    <cellStyle name="Гиперссылка 2" xfId="27733" hidden="1"/>
    <cellStyle name="Гиперссылка 2" xfId="27732" hidden="1"/>
    <cellStyle name="Гиперссылка 2" xfId="27735" hidden="1"/>
    <cellStyle name="Гиперссылка 2" xfId="27734" hidden="1"/>
    <cellStyle name="Гиперссылка 2" xfId="27739" hidden="1"/>
    <cellStyle name="Гиперссылка 2" xfId="27738" hidden="1"/>
    <cellStyle name="Гиперссылка 2" xfId="27740" hidden="1"/>
    <cellStyle name="Гиперссылка 2" xfId="27741" hidden="1"/>
    <cellStyle name="Гиперссылка 2" xfId="27746" hidden="1"/>
    <cellStyle name="Гиперссылка 2" xfId="27747" hidden="1"/>
    <cellStyle name="Гиперссылка 2" xfId="27743" hidden="1"/>
    <cellStyle name="Гиперссылка 2" xfId="27742" hidden="1"/>
    <cellStyle name="Гиперссылка 2" xfId="27745" hidden="1"/>
    <cellStyle name="Гиперссылка 2" xfId="27744" hidden="1"/>
    <cellStyle name="Гиперссылка 2" xfId="27749" hidden="1"/>
    <cellStyle name="Гиперссылка 2" xfId="27748" hidden="1"/>
    <cellStyle name="Гиперссылка 2" xfId="27633" hidden="1"/>
    <cellStyle name="Гиперссылка 2" xfId="27116" hidden="1"/>
    <cellStyle name="Гиперссылка 2" xfId="27002" hidden="1"/>
    <cellStyle name="Гиперссылка 2" xfId="26710" hidden="1"/>
    <cellStyle name="Гиперссылка 2" xfId="27699" hidden="1"/>
    <cellStyle name="Гиперссылка 2" xfId="27716" hidden="1"/>
    <cellStyle name="Гиперссылка 2" xfId="27288" hidden="1"/>
    <cellStyle name="Гиперссылка 2" xfId="27696" hidden="1"/>
    <cellStyle name="Гиперссылка 2" xfId="27764" hidden="1"/>
    <cellStyle name="Гиперссылка 2" xfId="27763" hidden="1"/>
    <cellStyle name="Гиперссылка 2" xfId="27769" hidden="1"/>
    <cellStyle name="Гиперссылка 2" xfId="27770" hidden="1"/>
    <cellStyle name="Гиперссылка 2" xfId="27775" hidden="1"/>
    <cellStyle name="Гиперссылка 2" xfId="27776" hidden="1"/>
    <cellStyle name="Гиперссылка 2" xfId="27772" hidden="1"/>
    <cellStyle name="Гиперссылка 2" xfId="27771" hidden="1"/>
    <cellStyle name="Гиперссылка 2" xfId="27774" hidden="1"/>
    <cellStyle name="Гиперссылка 2" xfId="27773" hidden="1"/>
    <cellStyle name="Гиперссылка 2" xfId="27778" hidden="1"/>
    <cellStyle name="Гиперссылка 2" xfId="27777" hidden="1"/>
    <cellStyle name="Гиперссылка 2" xfId="27780" hidden="1"/>
    <cellStyle name="Гиперссылка 2" xfId="27781" hidden="1"/>
    <cellStyle name="Гиперссылка 2" xfId="27786" hidden="1"/>
    <cellStyle name="Гиперссылка 2" xfId="27787" hidden="1"/>
    <cellStyle name="Гиперссылка 2" xfId="27783" hidden="1"/>
    <cellStyle name="Гиперссылка 2" xfId="27782" hidden="1"/>
    <cellStyle name="Гиперссылка 2" xfId="27785" hidden="1"/>
    <cellStyle name="Гиперссылка 2" xfId="27784" hidden="1"/>
    <cellStyle name="Гиперссылка 2" xfId="27789" hidden="1"/>
    <cellStyle name="Гиперссылка 2" xfId="27788" hidden="1"/>
    <cellStyle name="Гиперссылка 2" xfId="27790" hidden="1"/>
    <cellStyle name="Гиперссылка 2" xfId="27791" hidden="1"/>
    <cellStyle name="Гиперссылка 2" xfId="27796" hidden="1"/>
    <cellStyle name="Гиперссылка 2" xfId="27797" hidden="1"/>
    <cellStyle name="Гиперссылка 2" xfId="27793" hidden="1"/>
    <cellStyle name="Гиперссылка 2" xfId="27792" hidden="1"/>
    <cellStyle name="Гиперссылка 2" xfId="27795" hidden="1"/>
    <cellStyle name="Гиперссылка 2" xfId="27794" hidden="1"/>
    <cellStyle name="Гиперссылка 2" xfId="27799" hidden="1"/>
    <cellStyle name="Гиперссылка 2" xfId="27798" hidden="1"/>
    <cellStyle name="Гиперссылка 2" xfId="27697" hidden="1"/>
    <cellStyle name="Гиперссылка 2" xfId="27201" hidden="1"/>
    <cellStyle name="Гиперссылка 2" xfId="26624" hidden="1"/>
    <cellStyle name="Гиперссылка 2" xfId="26994" hidden="1"/>
    <cellStyle name="Гиперссылка 2" xfId="27752" hidden="1"/>
    <cellStyle name="Гиперссылка 2" xfId="27768" hidden="1"/>
    <cellStyle name="Гиперссылка 2" xfId="27523" hidden="1"/>
    <cellStyle name="Гиперссылка 2" xfId="27750" hidden="1"/>
    <cellStyle name="Гиперссылка 2" xfId="27811" hidden="1"/>
    <cellStyle name="Гиперссылка 2" xfId="27810" hidden="1"/>
    <cellStyle name="Гиперссылка 2" xfId="27814" hidden="1"/>
    <cellStyle name="Гиперссылка 2" xfId="27815" hidden="1"/>
    <cellStyle name="Гиперссылка 2" xfId="27820" hidden="1"/>
    <cellStyle name="Гиперссылка 2" xfId="27821" hidden="1"/>
    <cellStyle name="Гиперссылка 2" xfId="27817" hidden="1"/>
    <cellStyle name="Гиперссылка 2" xfId="27816" hidden="1"/>
    <cellStyle name="Гиперссылка 2" xfId="27819" hidden="1"/>
    <cellStyle name="Гиперссылка 2" xfId="27818" hidden="1"/>
    <cellStyle name="Гиперссылка 2" xfId="27823" hidden="1"/>
    <cellStyle name="Гиперссылка 2" xfId="27822" hidden="1"/>
    <cellStyle name="Гиперссылка 2" xfId="27824" hidden="1"/>
    <cellStyle name="Гиперссылка 2" xfId="27825" hidden="1"/>
    <cellStyle name="Гиперссылка 2" xfId="27830" hidden="1"/>
    <cellStyle name="Гиперссылка 2" xfId="27831" hidden="1"/>
    <cellStyle name="Гиперссылка 2" xfId="27827" hidden="1"/>
    <cellStyle name="Гиперссылка 2" xfId="27826" hidden="1"/>
    <cellStyle name="Гиперссылка 2" xfId="27829" hidden="1"/>
    <cellStyle name="Гиперссылка 2" xfId="27828" hidden="1"/>
    <cellStyle name="Гиперссылка 2" xfId="27833" hidden="1"/>
    <cellStyle name="Гиперссылка 2" xfId="27832" hidden="1"/>
    <cellStyle name="Гиперссылка 2" xfId="27834" hidden="1"/>
    <cellStyle name="Гиперссылка 2" xfId="27835" hidden="1"/>
    <cellStyle name="Гиперссылка 2" xfId="27840" hidden="1"/>
    <cellStyle name="Гиперссылка 2" xfId="27841" hidden="1"/>
    <cellStyle name="Гиперссылка 2" xfId="27837" hidden="1"/>
    <cellStyle name="Гиперссылка 2" xfId="27836" hidden="1"/>
    <cellStyle name="Гиперссылка 2" xfId="27839" hidden="1"/>
    <cellStyle name="Гиперссылка 2" xfId="27838" hidden="1"/>
    <cellStyle name="Гиперссылка 2" xfId="27843" hidden="1"/>
    <cellStyle name="Гиперссылка 2" xfId="27842" hidden="1"/>
    <cellStyle name="Гиперссылка 2" xfId="27751" hidden="1"/>
    <cellStyle name="Гиперссылка 2" xfId="26910" hidden="1"/>
    <cellStyle name="Гиперссылка 2" xfId="27575" hidden="1"/>
    <cellStyle name="Гиперссылка 2" xfId="26706" hidden="1"/>
    <cellStyle name="Гиперссылка 2" xfId="27803" hidden="1"/>
    <cellStyle name="Гиперссылка 2" xfId="27813" hidden="1"/>
    <cellStyle name="Гиперссылка 2" xfId="27583" hidden="1"/>
    <cellStyle name="Гиперссылка 2" xfId="27801" hidden="1"/>
    <cellStyle name="Гиперссылка 2" xfId="27845" hidden="1"/>
    <cellStyle name="Гиперссылка 2" xfId="27844" hidden="1"/>
    <cellStyle name="Гиперссылка 2" xfId="27846" hidden="1"/>
    <cellStyle name="Гиперссылка 2" xfId="27847" hidden="1"/>
    <cellStyle name="Гиперссылка 2" xfId="27852" hidden="1"/>
    <cellStyle name="Гиперссылка 2" xfId="27853" hidden="1"/>
    <cellStyle name="Гиперссылка 2" xfId="27849" hidden="1"/>
    <cellStyle name="Гиперссылка 2" xfId="27848" hidden="1"/>
    <cellStyle name="Гиперссылка 2" xfId="27851" hidden="1"/>
    <cellStyle name="Гиперссылка 2" xfId="27850" hidden="1"/>
    <cellStyle name="Гиперссылка 2" xfId="27855" hidden="1"/>
    <cellStyle name="Гиперссылка 2" xfId="27854" hidden="1"/>
    <cellStyle name="Гиперссылка 2" xfId="27856" hidden="1"/>
    <cellStyle name="Гиперссылка 2" xfId="27857" hidden="1"/>
    <cellStyle name="Гиперссылка 2" xfId="27862" hidden="1"/>
    <cellStyle name="Гиперссылка 2" xfId="27863" hidden="1"/>
    <cellStyle name="Гиперссылка 2" xfId="27859" hidden="1"/>
    <cellStyle name="Гиперссылка 2" xfId="27858" hidden="1"/>
    <cellStyle name="Гиперссылка 2" xfId="27861" hidden="1"/>
    <cellStyle name="Гиперссылка 2" xfId="27860" hidden="1"/>
    <cellStyle name="Гиперссылка 2" xfId="27865" hidden="1"/>
    <cellStyle name="Гиперссылка 2" xfId="27864" hidden="1"/>
    <cellStyle name="Гиперссылка 2" xfId="27866" hidden="1"/>
    <cellStyle name="Гиперссылка 2" xfId="27867" hidden="1"/>
    <cellStyle name="Гиперссылка 2" xfId="27872" hidden="1"/>
    <cellStyle name="Гиперссылка 2" xfId="27873" hidden="1"/>
    <cellStyle name="Гиперссылка 2" xfId="27869" hidden="1"/>
    <cellStyle name="Гиперссылка 2" xfId="27868" hidden="1"/>
    <cellStyle name="Гиперссылка 2" xfId="27871" hidden="1"/>
    <cellStyle name="Гиперссылка 2" xfId="27870" hidden="1"/>
    <cellStyle name="Гиперссылка 2" xfId="27875" hidden="1"/>
    <cellStyle name="Гиперссылка 2" xfId="27874" hidden="1"/>
    <cellStyle name="Гиперссылка 2" xfId="26407" hidden="1"/>
    <cellStyle name="Гиперссылка 2" xfId="26346" hidden="1"/>
    <cellStyle name="Гиперссылка 2" xfId="27653" hidden="1"/>
    <cellStyle name="Гиперссылка 2" xfId="26638" hidden="1"/>
    <cellStyle name="Гиперссылка 2" xfId="25729" hidden="1"/>
    <cellStyle name="Гиперссылка 2" xfId="27007" hidden="1"/>
    <cellStyle name="Гиперссылка 2" xfId="27409" hidden="1"/>
    <cellStyle name="Гиперссылка 2" xfId="26842" hidden="1"/>
    <cellStyle name="Гиперссылка 2" xfId="27211" hidden="1"/>
    <cellStyle name="Гиперссылка 2" xfId="26477" hidden="1"/>
    <cellStyle name="Гиперссылка 2" xfId="27760" hidden="1"/>
    <cellStyle name="Гиперссылка 2" xfId="27643" hidden="1"/>
    <cellStyle name="Гиперссылка 2" xfId="27398" hidden="1"/>
    <cellStyle name="Гиперссылка 2" xfId="26661" hidden="1"/>
    <cellStyle name="Гиперссылка 2" xfId="27590" hidden="1"/>
    <cellStyle name="Гиперссылка 2" xfId="27707" hidden="1"/>
    <cellStyle name="Гиперссылка 2" xfId="26752" hidden="1"/>
    <cellStyle name="Гиперссылка 2" xfId="27131" hidden="1"/>
    <cellStyle name="Гиперссылка 2" xfId="26605" hidden="1"/>
    <cellStyle name="Гиперссылка 2" xfId="26543" hidden="1"/>
    <cellStyle name="Гиперссылка 2" xfId="26432" hidden="1"/>
    <cellStyle name="Гиперссылка 2" xfId="27276" hidden="1"/>
    <cellStyle name="Гиперссылка 2" xfId="26634" hidden="1"/>
    <cellStyle name="Гиперссылка 2" xfId="26519" hidden="1"/>
    <cellStyle name="Гиперссылка 2" xfId="27197" hidden="1"/>
    <cellStyle name="Гиперссылка 2" xfId="26897" hidden="1"/>
    <cellStyle name="Гиперссылка 2" xfId="27196" hidden="1"/>
    <cellStyle name="Гиперссылка 2" xfId="26726" hidden="1"/>
    <cellStyle name="Гиперссылка 2" xfId="26747" hidden="1"/>
    <cellStyle name="Гиперссылка 2" xfId="25765" hidden="1"/>
    <cellStyle name="Гиперссылка 2" xfId="26758" hidden="1"/>
    <cellStyle name="Гиперссылка 2" xfId="26980" hidden="1"/>
    <cellStyle name="Гиперссылка 2" xfId="27061" hidden="1"/>
    <cellStyle name="Гиперссылка 2" xfId="26414" hidden="1"/>
    <cellStyle name="Гиперссылка 2" xfId="26965" hidden="1"/>
    <cellStyle name="Гиперссылка 2" xfId="27202" hidden="1"/>
    <cellStyle name="Гиперссылка 2" xfId="27009" hidden="1"/>
    <cellStyle name="Гиперссылка 2" xfId="26641" hidden="1"/>
    <cellStyle name="Гиперссылка 2" xfId="26694" hidden="1"/>
    <cellStyle name="Гиперссылка 2" xfId="26505" hidden="1"/>
    <cellStyle name="Гиперссылка 2" xfId="26484" hidden="1"/>
    <cellStyle name="Гиперссылка 2" xfId="26913" hidden="1"/>
    <cellStyle name="Гиперссылка 2" xfId="26648" hidden="1"/>
    <cellStyle name="Гиперссылка 2" xfId="26737" hidden="1"/>
    <cellStyle name="Гиперссылка 2" xfId="27227" hidden="1"/>
    <cellStyle name="Гиперссылка 2" xfId="26813" hidden="1"/>
    <cellStyle name="Гиперссылка 2" xfId="27702" hidden="1"/>
    <cellStyle name="Гиперссылка 2" xfId="27755" hidden="1"/>
    <cellStyle name="Гиперссылка 2" xfId="25749" hidden="1"/>
    <cellStyle name="Гиперссылка 2" xfId="26811" hidden="1"/>
    <cellStyle name="Гиперссылка 2" xfId="26508" hidden="1"/>
    <cellStyle name="Гиперссылка 2" xfId="26992" hidden="1"/>
    <cellStyle name="Гиперссылка 2" xfId="27286" hidden="1"/>
    <cellStyle name="Гиперссылка 2" xfId="26630" hidden="1"/>
    <cellStyle name="Гиперссылка 2" xfId="26495" hidden="1"/>
    <cellStyle name="Гиперссылка 2" xfId="27356" hidden="1"/>
    <cellStyle name="Гиперссылка 2" xfId="27324" hidden="1"/>
    <cellStyle name="Гиперссылка 2" xfId="26968" hidden="1"/>
    <cellStyle name="Гиперссылка 2" xfId="25742" hidden="1"/>
    <cellStyle name="Гиперссылка 2" xfId="26646" hidden="1"/>
    <cellStyle name="Гиперссылка 2" xfId="27717" hidden="1"/>
    <cellStyle name="Гиперссылка 2" xfId="27598" hidden="1"/>
    <cellStyle name="Гиперссылка 2" xfId="26457" hidden="1"/>
    <cellStyle name="Гиперссылка 2" xfId="27078" hidden="1"/>
    <cellStyle name="Гиперссылка 2" xfId="27704" hidden="1"/>
    <cellStyle name="Гиперссылка 2" xfId="27806" hidden="1"/>
    <cellStyle name="Гиперссылка 2" xfId="27526" hidden="1"/>
    <cellStyle name="Гиперссылка 2" xfId="27585" hidden="1"/>
    <cellStyle name="Гиперссылка 2" xfId="26330" hidden="1"/>
    <cellStyle name="Гиперссылка 2" xfId="25740" hidden="1"/>
    <cellStyle name="Гиперссылка 2" xfId="27282" hidden="1"/>
    <cellStyle name="Гиперссылка 2" xfId="27003" hidden="1"/>
    <cellStyle name="Гиперссылка 2" xfId="27595" hidden="1"/>
    <cellStyle name="Гиперссылка 2" xfId="27329" hidden="1"/>
    <cellStyle name="Гиперссылка 2" xfId="26587" hidden="1"/>
    <cellStyle name="Гиперссылка 2" xfId="26909" hidden="1"/>
    <cellStyle name="Гиперссылка 2" xfId="27713" hidden="1"/>
    <cellStyle name="Гиперссылка 2" xfId="26364" hidden="1"/>
    <cellStyle name="Гиперссылка 2" xfId="27714" hidden="1"/>
    <cellStyle name="Гиперссылка 2" xfId="27766" hidden="1"/>
    <cellStyle name="Гиперссылка 2" xfId="26671" hidden="1"/>
    <cellStyle name="Гиперссылка 2" xfId="27411" hidden="1"/>
    <cellStyle name="Гиперссылка 2" xfId="27644" hidden="1"/>
    <cellStyle name="Гиперссылка 2" xfId="26589" hidden="1"/>
    <cellStyle name="Гиперссылка 2" xfId="26590" hidden="1"/>
    <cellStyle name="Гиперссылка 2" xfId="25759" hidden="1"/>
    <cellStyle name="Гиперссылка 2" xfId="26841" hidden="1"/>
    <cellStyle name="Гиперссылка 2" xfId="26832" hidden="1"/>
    <cellStyle name="Гиперссылка 2" xfId="26338" hidden="1"/>
    <cellStyle name="Гиперссылка 2" xfId="27220" hidden="1"/>
    <cellStyle name="Гиперссылка 2" xfId="26877" hidden="1"/>
    <cellStyle name="Гиперссылка 2" xfId="25746" hidden="1"/>
    <cellStyle name="Гиперссылка 2" xfId="26578" hidden="1"/>
    <cellStyle name="Гиперссылка 2" xfId="26417" hidden="1"/>
    <cellStyle name="Гиперссылка 2" xfId="27672" hidden="1"/>
    <cellStyle name="Гиперссылка 2" xfId="26598" hidden="1"/>
    <cellStyle name="Гиперссылка 2" xfId="26469" hidden="1"/>
    <cellStyle name="Гиперссылка 2" xfId="27547" hidden="1"/>
    <cellStyle name="Гиперссылка 2" xfId="26525" hidden="1"/>
    <cellStyle name="Гиперссылка 2" xfId="26431" hidden="1"/>
    <cellStyle name="Гиперссылка 2" xfId="27077" hidden="1"/>
    <cellStyle name="Гиперссылка 2" xfId="26979" hidden="1"/>
    <cellStyle name="Гиперссылка 2" xfId="26485" hidden="1"/>
    <cellStyle name="Гиперссылка 2" xfId="27261" hidden="1"/>
    <cellStyle name="Гиперссылка 2" xfId="27447" hidden="1"/>
    <cellStyle name="Гиперссылка 2" xfId="27153" hidden="1"/>
    <cellStyle name="Гиперссылка 2" xfId="26585" hidden="1"/>
    <cellStyle name="Гиперссылка 2" xfId="26627" hidden="1"/>
    <cellStyle name="Гиперссылка 2" xfId="26425" hidden="1"/>
    <cellStyle name="Гиперссылка 2" xfId="27157" hidden="1"/>
    <cellStyle name="Гиперссылка 2" xfId="26906" hidden="1"/>
    <cellStyle name="Гиперссылка 2" xfId="26920" hidden="1"/>
    <cellStyle name="Гиперссылка 2" xfId="26845" hidden="1"/>
    <cellStyle name="Гиперссылка 2" xfId="26903" hidden="1"/>
    <cellStyle name="Гиперссылка 2" xfId="26891" hidden="1"/>
    <cellStyle name="Гиперссылка 2" xfId="27067" hidden="1"/>
    <cellStyle name="Гиперссылка 2" xfId="26360" hidden="1"/>
    <cellStyle name="Гиперссылка 2" xfId="26698" hidden="1"/>
    <cellStyle name="Гиперссылка 2" xfId="26350" hidden="1"/>
    <cellStyle name="Гиперссылка 2" xfId="27059" hidden="1"/>
    <cellStyle name="Гиперссылка 2" xfId="27277" hidden="1"/>
    <cellStyle name="Гиперссылка 2" xfId="27332" hidden="1"/>
    <cellStyle name="Гиперссылка 2" xfId="27291" hidden="1"/>
    <cellStyle name="Гиперссылка 2" xfId="26720" hidden="1"/>
    <cellStyle name="Гиперссылка 2" xfId="26667" hidden="1"/>
    <cellStyle name="Гиперссылка 2" xfId="25771" hidden="1"/>
    <cellStyle name="Гиперссылка 2" xfId="27648" hidden="1"/>
    <cellStyle name="Гиперссылка 2" xfId="27262" hidden="1"/>
    <cellStyle name="Гиперссылка 2" xfId="26331" hidden="1"/>
    <cellStyle name="Гиперссылка 2" xfId="27145" hidden="1"/>
    <cellStyle name="Гиперссылка 2" xfId="27005" hidden="1"/>
    <cellStyle name="Гиперссылка 2" xfId="26526" hidden="1"/>
    <cellStyle name="Гиперссылка 2" xfId="27355" hidden="1"/>
    <cellStyle name="Гиперссылка 2" xfId="27156" hidden="1"/>
    <cellStyle name="Гиперссылка 2" xfId="27756" hidden="1"/>
    <cellStyle name="Гиперссылка 2" xfId="27450" hidden="1"/>
    <cellStyle name="Гиперссылка 2" xfId="27584" hidden="1"/>
    <cellStyle name="Гиперссылка 2" xfId="27641" hidden="1"/>
    <cellStyle name="Гиперссылка 2" xfId="27326" hidden="1"/>
    <cellStyle name="Гиперссылка 2" xfId="26422" hidden="1"/>
    <cellStyle name="Гиперссылка 2" xfId="27121" hidden="1"/>
    <cellStyle name="Гиперссылка 2" xfId="26918" hidden="1"/>
    <cellStyle name="Гиперссылка 2" xfId="26365" hidden="1"/>
    <cellStyle name="Гиперссылка 2" xfId="26894" hidden="1"/>
    <cellStyle name="Гиперссылка 2" xfId="27222" hidden="1"/>
    <cellStyle name="Гиперссылка 2" xfId="26882" hidden="1"/>
    <cellStyle name="Гиперссылка 2" xfId="26703" hidden="1"/>
    <cellStyle name="Гиперссылка 2" xfId="26445" hidden="1"/>
    <cellStyle name="Гиперссылка 2" xfId="26757" hidden="1"/>
    <cellStyle name="Гиперссылка 2" xfId="26678" hidden="1"/>
    <cellStyle name="Гиперссылка 2" xfId="26541" hidden="1"/>
    <cellStyle name="Гиперссылка 2" xfId="25751" hidden="1"/>
    <cellStyle name="Гиперссылка 2" xfId="26750" hidden="1"/>
    <cellStyle name="Гиперссылка 2" xfId="26704" hidden="1"/>
    <cellStyle name="Гиперссылка 2" xfId="27451" hidden="1"/>
    <cellStyle name="Гиперссылка 2" xfId="26815" hidden="1"/>
    <cellStyle name="Гиперссылка 2" xfId="26464" hidden="1"/>
    <cellStyle name="Гиперссылка 2" xfId="26765" hidden="1"/>
    <cellStyle name="Гиперссылка 2" xfId="26404" hidden="1"/>
    <cellStyle name="Гиперссылка 2" xfId="26536" hidden="1"/>
    <cellStyle name="Гиперссылка 2" xfId="26535" hidden="1"/>
    <cellStyle name="Гиперссылка 2" xfId="27569" hidden="1"/>
    <cellStyle name="Гиперссылка 2" xfId="27333" hidden="1"/>
    <cellStyle name="Гиперссылка 2" xfId="27289" hidden="1"/>
    <cellStyle name="Гиперссылка 2" xfId="26685" hidden="1"/>
    <cellStyle name="Гиперссылка 2" xfId="27579" hidden="1"/>
    <cellStyle name="Гиперссылка 2" xfId="27118" hidden="1"/>
    <cellStyle name="Гиперссылка 2" xfId="26622" hidden="1"/>
    <cellStyle name="Гиперссылка 2" xfId="26730" hidden="1"/>
    <cellStyle name="Гиперссылка 2" xfId="27403" hidden="1"/>
    <cellStyle name="Гиперссылка 2" xfId="27705" hidden="1"/>
    <cellStyle name="Гиперссылка 2" xfId="27587" hidden="1"/>
    <cellStyle name="Гиперссылка 2" xfId="25767" hidden="1"/>
    <cellStyle name="Гиперссылка 2" xfId="26440" hidden="1"/>
    <cellStyle name="Гиперссылка 2" xfId="25760" hidden="1"/>
    <cellStyle name="Гиперссылка 2" xfId="25762" hidden="1"/>
    <cellStyle name="Гиперссылка 2" xfId="25777" hidden="1"/>
    <cellStyle name="Гиперссылка 2" xfId="26492" hidden="1"/>
    <cellStyle name="Гиперссылка 2" xfId="25761" hidden="1"/>
    <cellStyle name="Гиперссылка 2" xfId="26373" hidden="1"/>
    <cellStyle name="Гиперссылка 2" xfId="26609" hidden="1"/>
    <cellStyle name="Гиперссылка 2" xfId="26744" hidden="1"/>
    <cellStyle name="Гиперссылка 2" xfId="27808" hidden="1"/>
    <cellStyle name="Гиперссылка 2" xfId="27706" hidden="1"/>
    <cellStyle name="Гиперссылка 2" xfId="26342" hidden="1"/>
    <cellStyle name="Гиперссылка 2" xfId="26633" hidden="1"/>
    <cellStyle name="Гиперссылка 2" xfId="26522" hidden="1"/>
    <cellStyle name="Гиперссылка 2" xfId="27284" hidden="1"/>
    <cellStyle name="Гиперссылка 2" xfId="26382" hidden="1"/>
    <cellStyle name="Гиперссылка 2" xfId="26481" hidden="1"/>
    <cellStyle name="Гиперссылка 2" xfId="26669" hidden="1"/>
    <cellStyle name="Гиперссылка 2" xfId="26386" hidden="1"/>
    <cellStyle name="Гиперссылка 2" xfId="26413" hidden="1"/>
    <cellStyle name="Гиперссылка 2" xfId="27399" hidden="1"/>
    <cellStyle name="Гиперссылка 2" xfId="26743" hidden="1"/>
    <cellStyle name="Гиперссылка 2" xfId="26735" hidden="1"/>
    <cellStyle name="Гиперссылка 2" xfId="26715" hidden="1"/>
    <cellStyle name="Гиперссылка 2" xfId="27052" hidden="1"/>
    <cellStyle name="Гиперссылка 2" xfId="26528" hidden="1"/>
    <cellStyle name="Гиперссылка 2" xfId="26428" hidden="1"/>
    <cellStyle name="Гиперссылка 2" xfId="26651" hidden="1"/>
    <cellStyle name="Гиперссылка 2" xfId="26390" hidden="1"/>
    <cellStyle name="Гиперссылка 2" xfId="27119" hidden="1"/>
    <cellStyle name="Гиперссылка 2" xfId="26856" hidden="1"/>
    <cellStyle name="Гиперссылка 2" xfId="27759" hidden="1"/>
    <cellStyle name="Гиперссылка 2" xfId="26453" hidden="1"/>
    <cellStyle name="Гиперссылка 2" xfId="25776" hidden="1"/>
    <cellStyle name="Гиперссылка 2" xfId="27762" hidden="1"/>
    <cellStyle name="Гиперссылка 2" xfId="26513" hidden="1"/>
    <cellStyle name="Гиперссылка 2" xfId="26410" hidden="1"/>
    <cellStyle name="Гиперссылка 2" xfId="27779" hidden="1"/>
    <cellStyle name="Гиперссылка 2" xfId="27673" hidden="1"/>
    <cellStyle name="Гиперссылка 2" xfId="26479" hidden="1"/>
    <cellStyle name="Гиперссылка 2" xfId="26460" hidden="1"/>
    <cellStyle name="Гиперссылка 2" xfId="27142" hidden="1"/>
    <cellStyle name="Гиперссылка 2" xfId="26926" hidden="1"/>
    <cellStyle name="Гиперссылка 2" xfId="27337" hidden="1"/>
    <cellStyle name="Гиперссылка 2" xfId="26643" hidden="1"/>
    <cellStyle name="Гиперссылка 2" xfId="26972" hidden="1"/>
    <cellStyle name="Гиперссылка 2" xfId="26708" hidden="1"/>
    <cellStyle name="Гиперссылка 2" xfId="26657" hidden="1"/>
    <cellStyle name="Гиперссылка 2" xfId="27268" hidden="1"/>
    <cellStyle name="Гиперссылка 2" xfId="26371" hidden="1"/>
    <cellStyle name="Гиперссылка 2" xfId="27809" hidden="1"/>
    <cellStyle name="Гиперссылка 2" xfId="26654" hidden="1"/>
    <cellStyle name="Гиперссылка 2" xfId="27198" hidden="1"/>
    <cellStyle name="Гиперссылка 2" xfId="26921" hidden="1"/>
    <cellStyle name="Гиперссылка 2" xfId="26397" hidden="1"/>
    <cellStyle name="Гиперссылка 2" xfId="27589" hidden="1"/>
    <cellStyle name="Гиперссылка 2" xfId="27645" hidden="1"/>
    <cellStyle name="Гиперссылка 2" xfId="27120" hidden="1"/>
    <cellStyle name="Гиперссылка 2" xfId="27060" hidden="1"/>
    <cellStyle name="Гиперссылка 2" xfId="26900" hidden="1"/>
    <cellStyle name="Гиперссылка 2" xfId="27266" hidden="1"/>
    <cellStyle name="Гиперссылка 2" xfId="27205" hidden="1"/>
    <cellStyle name="Гиперссылка 2" xfId="27215" hidden="1"/>
    <cellStyle name="Гиперссылка 2" xfId="27204" hidden="1"/>
    <cellStyle name="Гиперссылка 2" xfId="26823" hidden="1"/>
    <cellStyle name="Гиперссылка 2" xfId="26705" hidden="1"/>
    <cellStyle name="Гиперссылка 2" xfId="26731" hidden="1"/>
    <cellStyle name="Гиперссылка 2" xfId="27708" hidden="1"/>
    <cellStyle name="Гиперссылка 2" xfId="27754" hidden="1"/>
    <cellStyle name="Гиперссылка 2" xfId="27132" hidden="1"/>
    <cellStyle name="Гиперссылка 2" xfId="26611" hidden="1"/>
    <cellStyle name="Гиперссылка 2" xfId="27812" hidden="1"/>
    <cellStyle name="Гиперссылка 2" xfId="27272" hidden="1"/>
    <cellStyle name="Гиперссылка 2" xfId="27712" hidden="1"/>
    <cellStyle name="Гиперссылка 2" xfId="26392" hidden="1"/>
    <cellStyle name="Гиперссылка 2" xfId="27880" hidden="1"/>
    <cellStyle name="Гиперссылка 2" xfId="27879" hidden="1"/>
    <cellStyle name="Гиперссылка 2" xfId="27884" hidden="1"/>
    <cellStyle name="Гиперссылка 2" xfId="27885" hidden="1"/>
    <cellStyle name="Гиперссылка 2" xfId="27890" hidden="1"/>
    <cellStyle name="Гиперссылка 2" xfId="27891" hidden="1"/>
    <cellStyle name="Гиперссылка 2" xfId="27887" hidden="1"/>
    <cellStyle name="Гиперссылка 2" xfId="27886" hidden="1"/>
    <cellStyle name="Гиперссылка 2" xfId="27889" hidden="1"/>
    <cellStyle name="Гиперссылка 2" xfId="27888" hidden="1"/>
    <cellStyle name="Гиперссылка 2" xfId="27893" hidden="1"/>
    <cellStyle name="Гиперссылка 2" xfId="27892" hidden="1"/>
    <cellStyle name="Гиперссылка 2" xfId="27895" hidden="1"/>
    <cellStyle name="Гиперссылка 2" xfId="27896" hidden="1"/>
    <cellStyle name="Гиперссылка 2" xfId="27901" hidden="1"/>
    <cellStyle name="Гиперссылка 2" xfId="27902" hidden="1"/>
    <cellStyle name="Гиперссылка 2" xfId="27898" hidden="1"/>
    <cellStyle name="Гиперссылка 2" xfId="27897" hidden="1"/>
    <cellStyle name="Гиперссылка 2" xfId="27900" hidden="1"/>
    <cellStyle name="Гиперссылка 2" xfId="27899" hidden="1"/>
    <cellStyle name="Гиперссылка 2" xfId="27904" hidden="1"/>
    <cellStyle name="Гиперссылка 2" xfId="27903" hidden="1"/>
    <cellStyle name="Гиперссылка 2" xfId="27905" hidden="1"/>
    <cellStyle name="Гиперссылка 2" xfId="27906" hidden="1"/>
    <cellStyle name="Гиперссылка 2" xfId="27911" hidden="1"/>
    <cellStyle name="Гиперссылка 2" xfId="27912" hidden="1"/>
    <cellStyle name="Гиперссылка 2" xfId="27908" hidden="1"/>
    <cellStyle name="Гиперссылка 2" xfId="27907" hidden="1"/>
    <cellStyle name="Гиперссылка 2" xfId="27910" hidden="1"/>
    <cellStyle name="Гиперссылка 2" xfId="27909" hidden="1"/>
    <cellStyle name="Гиперссылка 2" xfId="27914" hidden="1"/>
    <cellStyle name="Гиперссылка 2" xfId="27913" hidden="1"/>
    <cellStyle name="Гиперссылка 2" xfId="26668" hidden="1"/>
    <cellStyle name="Гиперссылка 2" xfId="26402" hidden="1"/>
    <cellStyle name="Гиперссылка 2" xfId="27445" hidden="1"/>
    <cellStyle name="Гиперссылка 2" xfId="26444" hidden="1"/>
    <cellStyle name="Гиперссылка 2" xfId="27630" hidden="1"/>
    <cellStyle name="Гиперссылка 2" xfId="27881" hidden="1"/>
    <cellStyle name="Гиперссылка 2" xfId="27112" hidden="1"/>
    <cellStyle name="Гиперссылка 2" xfId="27074" hidden="1"/>
    <cellStyle name="Гиперссылка 2" xfId="27935" hidden="1"/>
    <cellStyle name="Гиперссылка 2" xfId="27934" hidden="1"/>
    <cellStyle name="Гиперссылка 2" xfId="27940" hidden="1"/>
    <cellStyle name="Гиперссылка 2" xfId="27941" hidden="1"/>
    <cellStyle name="Гиперссылка 2" xfId="27946" hidden="1"/>
    <cellStyle name="Гиперссылка 2" xfId="27947" hidden="1"/>
    <cellStyle name="Гиперссылка 2" xfId="27943" hidden="1"/>
    <cellStyle name="Гиперссылка 2" xfId="27942" hidden="1"/>
    <cellStyle name="Гиперссылка 2" xfId="27945" hidden="1"/>
    <cellStyle name="Гиперссылка 2" xfId="27944" hidden="1"/>
    <cellStyle name="Гиперссылка 2" xfId="27949" hidden="1"/>
    <cellStyle name="Гиперссылка 2" xfId="27948" hidden="1"/>
    <cellStyle name="Гиперссылка 2" xfId="27950" hidden="1"/>
    <cellStyle name="Гиперссылка 2" xfId="27951" hidden="1"/>
    <cellStyle name="Гиперссылка 2" xfId="27956" hidden="1"/>
    <cellStyle name="Гиперссылка 2" xfId="27957" hidden="1"/>
    <cellStyle name="Гиперссылка 2" xfId="27953" hidden="1"/>
    <cellStyle name="Гиперссылка 2" xfId="27952" hidden="1"/>
    <cellStyle name="Гиперссылка 2" xfId="27955" hidden="1"/>
    <cellStyle name="Гиперссылка 2" xfId="27954" hidden="1"/>
    <cellStyle name="Гиперссылка 2" xfId="27959" hidden="1"/>
    <cellStyle name="Гиперссылка 2" xfId="27958" hidden="1"/>
    <cellStyle name="Гиперссылка 2" xfId="27960" hidden="1"/>
    <cellStyle name="Гиперссылка 2" xfId="27961" hidden="1"/>
    <cellStyle name="Гиперссылка 2" xfId="27966" hidden="1"/>
    <cellStyle name="Гиперссылка 2" xfId="27967" hidden="1"/>
    <cellStyle name="Гиперссылка 2" xfId="27963" hidden="1"/>
    <cellStyle name="Гиперссылка 2" xfId="27962" hidden="1"/>
    <cellStyle name="Гиперссылка 2" xfId="27965" hidden="1"/>
    <cellStyle name="Гиперссылка 2" xfId="27964" hidden="1"/>
    <cellStyle name="Гиперссылка 2" xfId="27969" hidden="1"/>
    <cellStyle name="Гиперссылка 2" xfId="27968" hidden="1"/>
    <cellStyle name="Гиперссылка 2" xfId="26483" hidden="1"/>
    <cellStyle name="Гиперссылка 2" xfId="26999" hidden="1"/>
    <cellStyle name="Гиперссылка 2" xfId="26988" hidden="1"/>
    <cellStyle name="Гиперссылка 2" xfId="27711" hidden="1"/>
    <cellStyle name="Гиперссылка 2" xfId="27922" hidden="1"/>
    <cellStyle name="Гиперссылка 2" xfId="27938" hidden="1"/>
    <cellStyle name="Гиперссылка 2" xfId="26629" hidden="1"/>
    <cellStyle name="Гиперссылка 2" xfId="27917" hidden="1"/>
    <cellStyle name="Гиперссылка 2" xfId="27983" hidden="1"/>
    <cellStyle name="Гиперссылка 2" xfId="27982" hidden="1"/>
    <cellStyle name="Гиперссылка 2" xfId="27987" hidden="1"/>
    <cellStyle name="Гиперссылка 2" xfId="27988" hidden="1"/>
    <cellStyle name="Гиперссылка 2" xfId="27993" hidden="1"/>
    <cellStyle name="Гиперссылка 2" xfId="27994" hidden="1"/>
    <cellStyle name="Гиперссылка 2" xfId="27990" hidden="1"/>
    <cellStyle name="Гиперссылка 2" xfId="27989" hidden="1"/>
    <cellStyle name="Гиперссылка 2" xfId="27992" hidden="1"/>
    <cellStyle name="Гиперссылка 2" xfId="27991" hidden="1"/>
    <cellStyle name="Гиперссылка 2" xfId="27996" hidden="1"/>
    <cellStyle name="Гиперссылка 2" xfId="27995" hidden="1"/>
    <cellStyle name="Гиперссылка 2" xfId="27999" hidden="1"/>
    <cellStyle name="Гиперссылка 2" xfId="28000" hidden="1"/>
    <cellStyle name="Гиперссылка 2" xfId="28005" hidden="1"/>
    <cellStyle name="Гиперссылка 2" xfId="28006" hidden="1"/>
    <cellStyle name="Гиперссылка 2" xfId="28002" hidden="1"/>
    <cellStyle name="Гиперссылка 2" xfId="28001" hidden="1"/>
    <cellStyle name="Гиперссылка 2" xfId="28004" hidden="1"/>
    <cellStyle name="Гиперссылка 2" xfId="28003" hidden="1"/>
    <cellStyle name="Гиперссылка 2" xfId="28008" hidden="1"/>
    <cellStyle name="Гиперссылка 2" xfId="28007" hidden="1"/>
    <cellStyle name="Гиперссылка 2" xfId="28009" hidden="1"/>
    <cellStyle name="Гиперссылка 2" xfId="28010" hidden="1"/>
    <cellStyle name="Гиперссылка 2" xfId="28015" hidden="1"/>
    <cellStyle name="Гиперссылка 2" xfId="28016" hidden="1"/>
    <cellStyle name="Гиперссылка 2" xfId="28012" hidden="1"/>
    <cellStyle name="Гиперссылка 2" xfId="28011" hidden="1"/>
    <cellStyle name="Гиперссылка 2" xfId="28014" hidden="1"/>
    <cellStyle name="Гиперссылка 2" xfId="28013" hidden="1"/>
    <cellStyle name="Гиперссылка 2" xfId="28018" hidden="1"/>
    <cellStyle name="Гиперссылка 2" xfId="28017" hidden="1"/>
    <cellStyle name="Гиперссылка 2" xfId="27918" hidden="1"/>
    <cellStyle name="Гиперссылка 2" xfId="27524" hidden="1"/>
    <cellStyle name="Гиперссылка 2" xfId="25734" hidden="1"/>
    <cellStyle name="Гиперссылка 2" xfId="26826" hidden="1"/>
    <cellStyle name="Гиперссылка 2" xfId="27973" hidden="1"/>
    <cellStyle name="Гиперссылка 2" xfId="27985" hidden="1"/>
    <cellStyle name="Гиперссылка 2" xfId="27582" hidden="1"/>
    <cellStyle name="Гиперссылка 2" xfId="27971" hidden="1"/>
    <cellStyle name="Гиперссылка 2" xfId="28030" hidden="1"/>
    <cellStyle name="Гиперссылка 2" xfId="28029" hidden="1"/>
    <cellStyle name="Гиперссылка 2" xfId="28037" hidden="1"/>
    <cellStyle name="Гиперссылка 2" xfId="28038" hidden="1"/>
    <cellStyle name="Гиперссылка 2" xfId="28043" hidden="1"/>
    <cellStyle name="Гиперссылка 2" xfId="28044" hidden="1"/>
    <cellStyle name="Гиперссылка 2" xfId="28040" hidden="1"/>
    <cellStyle name="Гиперссылка 2" xfId="28039" hidden="1"/>
    <cellStyle name="Гиперссылка 2" xfId="28042" hidden="1"/>
    <cellStyle name="Гиперссылка 2" xfId="28041" hidden="1"/>
    <cellStyle name="Гиперссылка 2" xfId="28046" hidden="1"/>
    <cellStyle name="Гиперссылка 2" xfId="28045" hidden="1"/>
    <cellStyle name="Гиперссылка 2" xfId="28047" hidden="1"/>
    <cellStyle name="Гиперссылка 2" xfId="28048" hidden="1"/>
    <cellStyle name="Гиперссылка 2" xfId="28053" hidden="1"/>
    <cellStyle name="Гиперссылка 2" xfId="28054" hidden="1"/>
    <cellStyle name="Гиперссылка 2" xfId="28050" hidden="1"/>
    <cellStyle name="Гиперссылка 2" xfId="28049" hidden="1"/>
    <cellStyle name="Гиперссылка 2" xfId="28052" hidden="1"/>
    <cellStyle name="Гиперссылка 2" xfId="28051" hidden="1"/>
    <cellStyle name="Гиперссылка 2" xfId="28056" hidden="1"/>
    <cellStyle name="Гиперссылка 2" xfId="28055" hidden="1"/>
    <cellStyle name="Гиперссылка 2" xfId="28057" hidden="1"/>
    <cellStyle name="Гиперссылка 2" xfId="28058" hidden="1"/>
    <cellStyle name="Гиперссылка 2" xfId="28063" hidden="1"/>
    <cellStyle name="Гиперссылка 2" xfId="28064" hidden="1"/>
    <cellStyle name="Гиперссылка 2" xfId="28060" hidden="1"/>
    <cellStyle name="Гиперссылка 2" xfId="28059" hidden="1"/>
    <cellStyle name="Гиперссылка 2" xfId="28062" hidden="1"/>
    <cellStyle name="Гиперссылка 2" xfId="28061" hidden="1"/>
    <cellStyle name="Гиперссылка 2" xfId="28066" hidden="1"/>
    <cellStyle name="Гиперссылка 2" xfId="28065" hidden="1"/>
    <cellStyle name="Гиперссылка 2" xfId="27972" hidden="1"/>
    <cellStyle name="Гиперссылка 2" xfId="26666" hidden="1"/>
    <cellStyle name="Гиперссылка 2" xfId="26399" hidden="1"/>
    <cellStyle name="Гиперссылка 2" xfId="25743" hidden="1"/>
    <cellStyle name="Гиперссылка 2" xfId="28022" hidden="1"/>
    <cellStyle name="Гиперссылка 2" xfId="28035" hidden="1"/>
    <cellStyle name="Гиперссылка 2" xfId="27658" hidden="1"/>
    <cellStyle name="Гиперссылка 2" xfId="28019" hidden="1"/>
    <cellStyle name="Гиперссылка 2" xfId="28079" hidden="1"/>
    <cellStyle name="Гиперссылка 2" xfId="28078" hidden="1"/>
    <cellStyle name="Гиперссылка 2" xfId="28083" hidden="1"/>
    <cellStyle name="Гиперссылка 2" xfId="28084" hidden="1"/>
    <cellStyle name="Гиперссылка 2" xfId="28089" hidden="1"/>
    <cellStyle name="Гиперссылка 2" xfId="28090" hidden="1"/>
    <cellStyle name="Гиперссылка 2" xfId="28086" hidden="1"/>
    <cellStyle name="Гиперссылка 2" xfId="28085" hidden="1"/>
    <cellStyle name="Гиперссылка 2" xfId="28088" hidden="1"/>
    <cellStyle name="Гиперссылка 2" xfId="28087" hidden="1"/>
    <cellStyle name="Гиперссылка 2" xfId="28092" hidden="1"/>
    <cellStyle name="Гиперссылка 2" xfId="28091" hidden="1"/>
    <cellStyle name="Гиперссылка 2" xfId="28094" hidden="1"/>
    <cellStyle name="Гиперссылка 2" xfId="28095" hidden="1"/>
    <cellStyle name="Гиперссылка 2" xfId="28100" hidden="1"/>
    <cellStyle name="Гиперссылка 2" xfId="28101" hidden="1"/>
    <cellStyle name="Гиперссылка 2" xfId="28097" hidden="1"/>
    <cellStyle name="Гиперссылка 2" xfId="28096" hidden="1"/>
    <cellStyle name="Гиперссылка 2" xfId="28099" hidden="1"/>
    <cellStyle name="Гиперссылка 2" xfId="28098" hidden="1"/>
    <cellStyle name="Гиперссылка 2" xfId="28103" hidden="1"/>
    <cellStyle name="Гиперссылка 2" xfId="28102" hidden="1"/>
    <cellStyle name="Гиперссылка 2" xfId="28104" hidden="1"/>
    <cellStyle name="Гиперссылка 2" xfId="28105" hidden="1"/>
    <cellStyle name="Гиперссылка 2" xfId="28110" hidden="1"/>
    <cellStyle name="Гиперссылка 2" xfId="28111" hidden="1"/>
    <cellStyle name="Гиперссылка 2" xfId="28107" hidden="1"/>
    <cellStyle name="Гиперссылка 2" xfId="28106" hidden="1"/>
    <cellStyle name="Гиперссылка 2" xfId="28109" hidden="1"/>
    <cellStyle name="Гиперссылка 2" xfId="28108" hidden="1"/>
    <cellStyle name="Гиперссылка 2" xfId="28113" hidden="1"/>
    <cellStyle name="Гиперссылка 2" xfId="28112" hidden="1"/>
    <cellStyle name="Гиперссылка 2" xfId="28020" hidden="1"/>
    <cellStyle name="Гиперссылка 2" xfId="27577" hidden="1"/>
    <cellStyle name="Гиперссылка 2" xfId="26892" hidden="1"/>
    <cellStyle name="Гиперссылка 2" xfId="26831" hidden="1"/>
    <cellStyle name="Гиперссылка 2" xfId="28070" hidden="1"/>
    <cellStyle name="Гиперссылка 2" xfId="28082" hidden="1"/>
    <cellStyle name="Гиперссылка 2" xfId="27876" hidden="1"/>
    <cellStyle name="Гиперссылка 2" xfId="28068" hidden="1"/>
    <cellStyle name="Гиперссылка 2" xfId="28122" hidden="1"/>
    <cellStyle name="Гиперссылка 2" xfId="28121" hidden="1"/>
    <cellStyle name="Гиперссылка 2" xfId="28126" hidden="1"/>
    <cellStyle name="Гиперссылка 2" xfId="28127" hidden="1"/>
    <cellStyle name="Гиперссылка 2" xfId="28132" hidden="1"/>
    <cellStyle name="Гиперссылка 2" xfId="28133" hidden="1"/>
    <cellStyle name="Гиперссылка 2" xfId="28129" hidden="1"/>
    <cellStyle name="Гиперссылка 2" xfId="28128" hidden="1"/>
    <cellStyle name="Гиперссылка 2" xfId="28131" hidden="1"/>
    <cellStyle name="Гиперссылка 2" xfId="28130" hidden="1"/>
    <cellStyle name="Гиперссылка 2" xfId="28135" hidden="1"/>
    <cellStyle name="Гиперссылка 2" xfId="28134" hidden="1"/>
    <cellStyle name="Гиперссылка 2" xfId="28136" hidden="1"/>
    <cellStyle name="Гиперссылка 2" xfId="28137" hidden="1"/>
    <cellStyle name="Гиперссылка 2" xfId="28142" hidden="1"/>
    <cellStyle name="Гиперссылка 2" xfId="28143" hidden="1"/>
    <cellStyle name="Гиперссылка 2" xfId="28139" hidden="1"/>
    <cellStyle name="Гиперссылка 2" xfId="28138" hidden="1"/>
    <cellStyle name="Гиперссылка 2" xfId="28141" hidden="1"/>
    <cellStyle name="Гиперссылка 2" xfId="28140" hidden="1"/>
    <cellStyle name="Гиперссылка 2" xfId="28145" hidden="1"/>
    <cellStyle name="Гиперссылка 2" xfId="28144" hidden="1"/>
    <cellStyle name="Гиперссылка 2" xfId="28146" hidden="1"/>
    <cellStyle name="Гиперссылка 2" xfId="28147" hidden="1"/>
    <cellStyle name="Гиперссылка 2" xfId="28152" hidden="1"/>
    <cellStyle name="Гиперссылка 2" xfId="28153" hidden="1"/>
    <cellStyle name="Гиперссылка 2" xfId="28149" hidden="1"/>
    <cellStyle name="Гиперссылка 2" xfId="28148" hidden="1"/>
    <cellStyle name="Гиперссылка 2" xfId="28151" hidden="1"/>
    <cellStyle name="Гиперссылка 2" xfId="28150" hidden="1"/>
    <cellStyle name="Гиперссылка 2" xfId="28155" hidden="1"/>
    <cellStyle name="Гиперссылка 2" xfId="28154" hidden="1"/>
    <cellStyle name="Гиперссылка 2" xfId="28069" hidden="1"/>
    <cellStyle name="Гиперссылка 2" xfId="27453" hidden="1"/>
    <cellStyle name="Гиперссылка 2" xfId="27919" hidden="1"/>
    <cellStyle name="Гиперссылка 2" xfId="26680" hidden="1"/>
    <cellStyle name="Гиперссылка 2" xfId="28115" hidden="1"/>
    <cellStyle name="Гиперссылка 2" xfId="28125" hidden="1"/>
    <cellStyle name="Гиперссылка 2" xfId="27928" hidden="1"/>
    <cellStyle name="Гиперссылка 2" xfId="28114" hidden="1"/>
    <cellStyle name="Гиперссылка 2" xfId="28157" hidden="1"/>
    <cellStyle name="Гиперссылка 2" xfId="28156" hidden="1"/>
    <cellStyle name="Гиперссылка 2" xfId="28158" hidden="1"/>
    <cellStyle name="Гиперссылка 2" xfId="28159" hidden="1"/>
    <cellStyle name="Гиперссылка 2" xfId="28164" hidden="1"/>
    <cellStyle name="Гиперссылка 2" xfId="28165" hidden="1"/>
    <cellStyle name="Гиперссылка 2" xfId="28161" hidden="1"/>
    <cellStyle name="Гиперссылка 2" xfId="28160" hidden="1"/>
    <cellStyle name="Гиперссылка 2" xfId="28163" hidden="1"/>
    <cellStyle name="Гиперссылка 2" xfId="28162" hidden="1"/>
    <cellStyle name="Гиперссылка 2" xfId="28167" hidden="1"/>
    <cellStyle name="Гиперссылка 2" xfId="28166" hidden="1"/>
    <cellStyle name="Гиперссылка 2" xfId="28168" hidden="1"/>
    <cellStyle name="Гиперссылка 2" xfId="28169" hidden="1"/>
    <cellStyle name="Гиперссылка 2" xfId="28174" hidden="1"/>
    <cellStyle name="Гиперссылка 2" xfId="28175" hidden="1"/>
    <cellStyle name="Гиперссылка 2" xfId="28171" hidden="1"/>
    <cellStyle name="Гиперссылка 2" xfId="28170" hidden="1"/>
    <cellStyle name="Гиперссылка 2" xfId="28173" hidden="1"/>
    <cellStyle name="Гиперссылка 2" xfId="28172" hidden="1"/>
    <cellStyle name="Гиперссылка 2" xfId="28177" hidden="1"/>
    <cellStyle name="Гиперссылка 2" xfId="28176" hidden="1"/>
    <cellStyle name="Гиперссылка 2" xfId="28178" hidden="1"/>
    <cellStyle name="Гиперссылка 2" xfId="28179" hidden="1"/>
    <cellStyle name="Гиперссылка 2" xfId="28184" hidden="1"/>
    <cellStyle name="Гиперссылка 2" xfId="28185" hidden="1"/>
    <cellStyle name="Гиперссылка 2" xfId="28181" hidden="1"/>
    <cellStyle name="Гиперссылка 2" xfId="28180" hidden="1"/>
    <cellStyle name="Гиперссылка 2" xfId="28183" hidden="1"/>
    <cellStyle name="Гиперссылка 2" xfId="28182" hidden="1"/>
    <cellStyle name="Гиперссылка 2" xfId="28187" hidden="1"/>
    <cellStyle name="Гиперссылка 2" xfId="28186" hidden="1"/>
    <cellStyle name="Гиперссылка 2" xfId="26818" hidden="1"/>
    <cellStyle name="Гиперссылка 2" xfId="26446" hidden="1"/>
    <cellStyle name="Гиперссылка 2" xfId="27984" hidden="1"/>
    <cellStyle name="Гиперссылка 2" xfId="26441" hidden="1"/>
    <cellStyle name="Гиперссылка 2" xfId="26448" hidden="1"/>
    <cellStyle name="Гиперссылка 2" xfId="26401" hidden="1"/>
    <cellStyle name="Гиперссылка 2" xfId="27765" hidden="1"/>
    <cellStyle name="Гиперссылка 2" xfId="26819" hidden="1"/>
    <cellStyle name="Гиперссылка 2" xfId="27588" hidden="1"/>
    <cellStyle name="Гиперссылка 2" xfId="27140" hidden="1"/>
    <cellStyle name="Гиперссылка 2" xfId="28075" hidden="1"/>
    <cellStyle name="Гиперссылка 2" xfId="27978" hidden="1"/>
    <cellStyle name="Гиперссылка 2" xfId="27757" hidden="1"/>
    <cellStyle name="Гиперссылка 2" xfId="26335" hidden="1"/>
    <cellStyle name="Гиперссылка 2" xfId="27933" hidden="1"/>
    <cellStyle name="Гиперссылка 2" xfId="28027" hidden="1"/>
    <cellStyle name="Гиперссылка 2" xfId="26515" hidden="1"/>
    <cellStyle name="Гиперссылка 2" xfId="26326" hidden="1"/>
    <cellStyle name="Гиперссылка 2" xfId="26896" hidden="1"/>
    <cellStyle name="Гиперссылка 2" xfId="26989" hidden="1"/>
    <cellStyle name="Гиперссылка 2" xfId="26344" hidden="1"/>
    <cellStyle name="Гиперссылка 2" xfId="27646" hidden="1"/>
    <cellStyle name="Гиперссылка 2" xfId="26466" hidden="1"/>
    <cellStyle name="Гиперссылка 2" xfId="26340" hidden="1"/>
    <cellStyle name="Гиперссылка 2" xfId="27573" hidden="1"/>
    <cellStyle name="Гиперссылка 2" xfId="26367" hidden="1"/>
    <cellStyle name="Гиперссылка 2" xfId="27572" hidden="1"/>
    <cellStyle name="Гиперссылка 2" xfId="26878" hidden="1"/>
    <cellStyle name="Гиперссылка 2" xfId="27151" hidden="1"/>
    <cellStyle name="Гиперссылка 2" xfId="26435" hidden="1"/>
    <cellStyle name="Гиперссылка 2" xfId="27343" hidden="1"/>
    <cellStyle name="Гиперссылка 2" xfId="27269" hidden="1"/>
    <cellStyle name="Гиперссылка 2" xfId="26723" hidden="1"/>
    <cellStyle name="Гиперссылка 2" xfId="27129" hidden="1"/>
    <cellStyle name="Гиперссылка 2" xfId="27143" hidden="1"/>
    <cellStyle name="Гиперссылка 2" xfId="27578" hidden="1"/>
    <cellStyle name="Гиперссылка 2" xfId="26341" hidden="1"/>
    <cellStyle name="Гиперссылка 2" xfId="26430" hidden="1"/>
    <cellStyle name="Гиперссылка 2" xfId="26423" hidden="1"/>
    <cellStyle name="Гиперссылка 2" xfId="26736" hidden="1"/>
    <cellStyle name="Гиперссылка 2" xfId="27070" hidden="1"/>
    <cellStyle name="Гиперссылка 2" xfId="26603" hidden="1"/>
    <cellStyle name="Гиперссылка 2" xfId="26889" hidden="1"/>
    <cellStyle name="Гиперссылка 2" xfId="26650" hidden="1"/>
    <cellStyle name="Гиперссылка 2" xfId="27599" hidden="1"/>
    <cellStyle name="Гиперссылка 2" xfId="26443" hidden="1"/>
    <cellStyle name="Гиперссылка 2" xfId="28023" hidden="1"/>
    <cellStyle name="Гиперссылка 2" xfId="28072" hidden="1"/>
    <cellStyle name="Гиперссылка 2" xfId="26394" hidden="1"/>
    <cellStyle name="Гиперссылка 2" xfId="25731" hidden="1"/>
    <cellStyle name="Гиперссылка 2" xfId="26450" hidden="1"/>
    <cellStyle name="Гиперссылка 2" xfId="26843" hidden="1"/>
    <cellStyle name="Гиперссылка 2" xfId="27655" hidden="1"/>
    <cellStyle name="Гиперссылка 2" xfId="27126" hidden="1"/>
    <cellStyle name="Гиперссылка 2" xfId="26449" hidden="1"/>
    <cellStyle name="Гиперссылка 2" xfId="27719" hidden="1"/>
    <cellStyle name="Гиперссылка 2" xfId="27694" hidden="1"/>
    <cellStyle name="Гиперссылка 2" xfId="26635" hidden="1"/>
    <cellStyle name="Гиперссылка 2" xfId="26496" hidden="1"/>
    <cellStyle name="Гиперссылка 2" xfId="27124" hidden="1"/>
    <cellStyle name="Гиперссылка 2" xfId="28036" hidden="1"/>
    <cellStyle name="Гиперссылка 2" xfId="27939" hidden="1"/>
    <cellStyle name="Гиперссылка 2" xfId="27267" hidden="1"/>
    <cellStyle name="Гиперссылка 2" xfId="27021" hidden="1"/>
    <cellStyle name="Гиперссылка 2" xfId="28024" hidden="1"/>
    <cellStyle name="Гиперссылка 2" xfId="28117" hidden="1"/>
    <cellStyle name="Гиперссылка 2" xfId="27878" hidden="1"/>
    <cellStyle name="Гиперссылка 2" xfId="27930" hidden="1"/>
    <cellStyle name="Гиперссылка 2" xfId="26524" hidden="1"/>
    <cellStyle name="Гиперссылка 2" xfId="25780" hidden="1"/>
    <cellStyle name="Гиперссылка 2" xfId="27652" hidden="1"/>
    <cellStyle name="Гиперссылка 2" xfId="27054" hidden="1"/>
    <cellStyle name="Гиперссылка 2" xfId="27937" hidden="1"/>
    <cellStyle name="Гиперссылка 2" xfId="27698" hidden="1"/>
    <cellStyle name="Гиперссылка 2" xfId="27448" hidden="1"/>
    <cellStyle name="Гиперссылка 2" xfId="26411" hidden="1"/>
    <cellStyle name="Гиперссылка 2" xfId="28033" hidden="1"/>
    <cellStyle name="Гиперссылка 2" xfId="26639" hidden="1"/>
    <cellStyle name="Гиперссылка 2" xfId="28034" hidden="1"/>
    <cellStyle name="Гиперссылка 2" xfId="28080" hidden="1"/>
    <cellStyle name="Гиперссылка 2" xfId="27053" hidden="1"/>
    <cellStyle name="Гиперссылка 2" xfId="27767" hidden="1"/>
    <cellStyle name="Гиперссылка 2" xfId="27979" hidden="1"/>
    <cellStyle name="Гиперссылка 2" xfId="27214" hidden="1"/>
    <cellStyle name="Гиперссылка 2" xfId="26749" hidden="1"/>
    <cellStyle name="Гиперссылка 2" xfId="26930" hidden="1"/>
    <cellStyle name="Гиперссылка 2" xfId="27128" hidden="1"/>
    <cellStyle name="Гиперссылка 2" xfId="26686" hidden="1"/>
    <cellStyle name="Гиперссылка 2" xfId="26409" hidden="1"/>
    <cellStyle name="Гиперссылка 2" xfId="27594" hidden="1"/>
    <cellStyle name="Гиперссылка 2" xfId="26461" hidden="1"/>
    <cellStyle name="Гиперссылка 2" xfId="27043" hidden="1"/>
    <cellStyle name="Гиперссылка 2" xfId="26429" hidden="1"/>
    <cellStyle name="Гиперссылка 2" xfId="27347" hidden="1"/>
    <cellStyle name="Гиперссылка 2" xfId="27997" hidden="1"/>
    <cellStyle name="Гиперссылка 2" xfId="27226" hidden="1"/>
    <cellStyle name="Гиперссылка 2" xfId="26719" hidden="1"/>
    <cellStyle name="Гиперссылка 2" xfId="27894" hidden="1"/>
    <cellStyle name="Гиперссылка 2" xfId="26359" hidden="1"/>
    <cellStyle name="Гиперссылка 2" xfId="27148" hidden="1"/>
    <cellStyle name="Гиперссылка 2" xfId="26389" hidden="1"/>
    <cellStyle name="Гиперссылка 2" xfId="26343" hidden="1"/>
    <cellStyle name="Гиперссылка 2" xfId="26998" hidden="1"/>
    <cellStyle name="Гиперссылка 2" xfId="27634" hidden="1"/>
    <cellStyle name="Гиперссылка 2" xfId="27802" hidden="1"/>
    <cellStyle name="Гиперссылка 2" xfId="27532" hidden="1"/>
    <cellStyle name="Гиперссылка 2" xfId="25778" hidden="1"/>
    <cellStyle name="Гиперссылка 2" xfId="26621" hidden="1"/>
    <cellStyle name="Гиперссылка 2" xfId="26604" hidden="1"/>
    <cellStyle name="Гиперссылка 2" xfId="27536" hidden="1"/>
    <cellStyle name="Гиперссылка 2" xfId="26504" hidden="1"/>
    <cellStyle name="Гиперссылка 2" xfId="27154" hidden="1"/>
    <cellStyle name="Гиперссылка 2" xfId="26660" hidden="1"/>
    <cellStyle name="Гиперссылка 2" xfId="26333" hidden="1"/>
    <cellStyle name="Гиперссылка 2" xfId="26474" hidden="1"/>
    <cellStyle name="Гиперссылка 2" xfId="26499" hidden="1"/>
    <cellStyle name="Гиперссылка 2" xfId="26631" hidden="1"/>
    <cellStyle name="Гиперссылка 2" xfId="27144" hidden="1"/>
    <cellStyle name="Гиперссылка 2" xfId="27278" hidden="1"/>
    <cellStyle name="Гиперссылка 2" xfId="26763" hidden="1"/>
    <cellStyle name="Гиперссылка 2" xfId="27647" hidden="1"/>
    <cellStyle name="Гиперссылка 2" xfId="27700" hidden="1"/>
    <cellStyle name="Гиперссылка 2" xfId="27661" hidden="1"/>
    <cellStyle name="Гиперссылка 2" xfId="26879" hidden="1"/>
    <cellStyle name="Гиперссылка 2" xfId="26990" hidden="1"/>
    <cellStyle name="Гиперссылка 2" xfId="26549" hidden="1"/>
    <cellStyle name="Гиперссылка 2" xfId="27981" hidden="1"/>
    <cellStyle name="Гиперссылка 2" xfId="27635" hidden="1"/>
    <cellStyle name="Гиперссылка 2" xfId="26462" hidden="1"/>
    <cellStyle name="Гиперссылка 2" xfId="27528" hidden="1"/>
    <cellStyle name="Гиперссылка 2" xfId="26734" hidden="1"/>
    <cellStyle name="Гиперссылка 2" xfId="27073" hidden="1"/>
    <cellStyle name="Гиперссылка 2" xfId="27718" hidden="1"/>
    <cellStyle name="Гиперссылка 2" xfId="27535" hidden="1"/>
    <cellStyle name="Гиперссылка 2" xfId="28073" hidden="1"/>
    <cellStyle name="Гиперссылка 2" xfId="27804" hidden="1"/>
    <cellStyle name="Гиперссылка 2" xfId="27929" hidden="1"/>
    <cellStyle name="Гиперссылка 2" xfId="27976" hidden="1"/>
    <cellStyle name="Гиперссылка 2" xfId="27695" hidden="1"/>
    <cellStyle name="Гиперссылка 2" xfId="27393" hidden="1"/>
    <cellStyle name="Гиперссылка 2" xfId="26712" hidden="1"/>
    <cellStyle name="Гиперссылка 2" xfId="26395" hidden="1"/>
    <cellStyle name="Гиперссылка 2" xfId="26527" hidden="1"/>
    <cellStyle name="Гиперссылка 2" xfId="27050" hidden="1"/>
    <cellStyle name="Гиперссылка 2" xfId="27596" hidden="1"/>
    <cellStyle name="Гиперссылка 2" xfId="25741" hidden="1"/>
    <cellStyle name="Гиперссылка 2" xfId="26997" hidden="1"/>
    <cellStyle name="Гиперссылка 2" xfId="26583" hidden="1"/>
    <cellStyle name="Гиперссылка 2" xfId="27404" hidden="1"/>
    <cellStyle name="Гиперссылка 2" xfId="26803" hidden="1"/>
    <cellStyle name="Гиперссылка 2" xfId="25775" hidden="1"/>
    <cellStyle name="Гиперссылка 2" xfId="27290" hidden="1"/>
    <cellStyle name="Гиперссылка 2" xfId="26653" hidden="1"/>
    <cellStyle name="Гиперссылка 2" xfId="26916" hidden="1"/>
    <cellStyle name="Гиперссылка 2" xfId="27805" hidden="1"/>
    <cellStyle name="Гиперссылка 2" xfId="26718" hidden="1"/>
    <cellStyle name="Гиперссылка 2" xfId="26356" hidden="1"/>
    <cellStyle name="Гиперссылка 2" xfId="26419" hidden="1"/>
    <cellStyle name="Гиперссылка 2" xfId="26595" hidden="1"/>
    <cellStyle name="Гиперссылка 2" xfId="26601" hidden="1"/>
    <cellStyle name="Гиперссылка 2" xfId="26682" hidden="1"/>
    <cellStyle name="Гиперссылка 2" xfId="27916" hidden="1"/>
    <cellStyle name="Гиперссылка 2" xfId="27701" hidden="1"/>
    <cellStyle name="Гиперссылка 2" xfId="27659" hidden="1"/>
    <cellStyle name="Гиперссылка 2" xfId="27334" hidden="1"/>
    <cellStyle name="Гиперссылка 2" xfId="27926" hidden="1"/>
    <cellStyle name="Гиперссылка 2" xfId="26420" hidden="1"/>
    <cellStyle name="Гиперссылка 2" xfId="26748" hidden="1"/>
    <cellStyle name="Гиперссылка 2" xfId="27325" hidden="1"/>
    <cellStyle name="Гиперссылка 2" xfId="27761" hidden="1"/>
    <cellStyle name="Гиперссылка 2" xfId="28025" hidden="1"/>
    <cellStyle name="Гиперссылка 2" xfId="27931" hidden="1"/>
    <cellStyle name="Гиперссылка 2" xfId="26436" hidden="1"/>
    <cellStyle name="Гиперссылка 2" xfId="27338" hidden="1"/>
    <cellStyle name="Гиперссылка 2" xfId="26433" hidden="1"/>
    <cellStyle name="Гиперссылка 2" xfId="25757" hidden="1"/>
    <cellStyle name="Гиперссылка 2" xfId="26767" hidden="1"/>
    <cellStyle name="Гиперссылка 2" xfId="26886" hidden="1"/>
    <cellStyle name="Гиперссылка 2" xfId="26434" hidden="1"/>
    <cellStyle name="Гиперссылка 2" xfId="26828" hidden="1"/>
    <cellStyle name="Гиперссылка 2" xfId="27216" hidden="1"/>
    <cellStyle name="Гиперссылка 2" xfId="27408" hidden="1"/>
    <cellStyle name="Гиперссылка 2" xfId="28118" hidden="1"/>
    <cellStyle name="Гиперссылка 2" xfId="28026" hidden="1"/>
    <cellStyle name="Гиперссылка 2" xfId="26970" hidden="1"/>
    <cellStyle name="Гиперссылка 2" xfId="27065" hidden="1"/>
    <cellStyle name="Гиперссылка 2" xfId="26729" hidden="1"/>
    <cellStyle name="Гиперссылка 2" xfId="27654" hidden="1"/>
    <cellStyle name="Гиперссылка 2" xfId="27010" hidden="1"/>
    <cellStyle name="Гиперссылка 2" xfId="26722" hidden="1"/>
    <cellStyle name="Гиперссылка 2" xfId="26807" hidden="1"/>
    <cellStyle name="Гиперссылка 2" xfId="26476" hidden="1"/>
    <cellStyle name="Гиперссылка 2" xfId="26455" hidden="1"/>
    <cellStyle name="Гиперссылка 2" xfId="27758" hidden="1"/>
    <cellStyle name="Гиперссылка 2" xfId="26586" hidden="1"/>
    <cellStyle name="Гиперссылка 2" xfId="26327" hidden="1"/>
    <cellStyle name="Гиперссылка 2" xfId="27195" hidden="1"/>
    <cellStyle name="Гиперссылка 2" xfId="26693" hidden="1"/>
    <cellStyle name="Гиперссылка 2" xfId="27391" hidden="1"/>
    <cellStyle name="Гиперссылка 2" xfId="26895" hidden="1"/>
    <cellStyle name="Гиперссылка 2" xfId="26518" hidden="1"/>
    <cellStyle name="Гиперссылка 2" xfId="26884" hidden="1"/>
    <cellStyle name="Гиперссылка 2" xfId="27113" hidden="1"/>
    <cellStyle name="Гиперссылка 2" xfId="27136" hidden="1"/>
    <cellStyle name="Гиперссылка 2" xfId="28074" hidden="1"/>
    <cellStyle name="Гиперссылка 2" xfId="26582" hidden="1"/>
    <cellStyle name="Гиперссылка 2" xfId="27139" hidden="1"/>
    <cellStyle name="Гиперссылка 2" xfId="28077" hidden="1"/>
    <cellStyle name="Гиперссылка 2" xfId="27387" hidden="1"/>
    <cellStyle name="Гиперссылка 2" xfId="27336" hidden="1"/>
    <cellStyle name="Гиперссылка 2" xfId="28093" hidden="1"/>
    <cellStyle name="Гиперссылка 2" xfId="27998" hidden="1"/>
    <cellStyle name="Гиперссылка 2" xfId="26986" hidden="1"/>
    <cellStyle name="Гиперссылка 2" xfId="25785" hidden="1"/>
    <cellStyle name="Гиперссылка 2" xfId="27527" hidden="1"/>
    <cellStyle name="Гиперссылка 2" xfId="26497" hidden="1"/>
    <cellStyle name="Гиперссылка 2" xfId="27703" hidden="1"/>
    <cellStyle name="Гиперссылка 2" xfId="27402" hidden="1"/>
    <cellStyle name="Гиперссылка 2" xfId="27138" hidden="1"/>
    <cellStyle name="Гиперссылка 2" xfId="27219" hidden="1"/>
    <cellStyle name="Гиперссылка 2" xfId="25745" hidden="1"/>
    <cellStyle name="Гиперссылка 2" xfId="27640" hidden="1"/>
    <cellStyle name="Гиперссылка 2" xfId="27141" hidden="1"/>
    <cellStyle name="Гиперссылка 2" xfId="28119" hidden="1"/>
    <cellStyle name="Гиперссылка 2" xfId="27264" hidden="1"/>
    <cellStyle name="Гиперссылка 2" xfId="27574" hidden="1"/>
    <cellStyle name="Гиперссылка 2" xfId="27392" hidden="1"/>
    <cellStyle name="Гиперссылка 2" xfId="26645" hidden="1"/>
    <cellStyle name="Гиперссылка 2" xfId="27932" hidden="1"/>
    <cellStyle name="Гиперссылка 2" xfId="27980" hidden="1"/>
    <cellStyle name="Гиперссылка 2" xfId="26801" hidden="1"/>
    <cellStyle name="Гиперссылка 2" xfId="26516" hidden="1"/>
    <cellStyle name="Гиперссылка 2" xfId="26463" hidden="1"/>
    <cellStyle name="Гиперссылка 2" xfId="27637" hidden="1"/>
    <cellStyle name="Гиперссылка 2" xfId="27581" hidden="1"/>
    <cellStyle name="Гиперссылка 2" xfId="27591" hidden="1"/>
    <cellStyle name="Гиперссылка 2" xfId="27580" hidden="1"/>
    <cellStyle name="Гиперссылка 2" xfId="26475" hidden="1"/>
    <cellStyle name="Гиперссылка 2" xfId="26837" hidden="1"/>
    <cellStyle name="Гиперссылка 2" xfId="26363" hidden="1"/>
    <cellStyle name="Гиперссылка 2" xfId="28028" hidden="1"/>
    <cellStyle name="Гиперссылка 2" xfId="28071" hidden="1"/>
    <cellStyle name="Гиперссылка 2" xfId="25730" hidden="1"/>
    <cellStyle name="Гиперссылка 2" xfId="26753" hidden="1"/>
    <cellStyle name="Гиперссылка 2" xfId="28124" hidden="1"/>
    <cellStyle name="Гиперссылка 2" xfId="27642" hidden="1"/>
    <cellStyle name="Гиперссылка 2" xfId="28032" hidden="1"/>
    <cellStyle name="Гиперссылка 2" xfId="26983" hidden="1"/>
    <cellStyle name="Гиперссылка 2" xfId="28191" hidden="1"/>
    <cellStyle name="Гиперссылка 2" xfId="28190" hidden="1"/>
    <cellStyle name="Гиперссылка 2" xfId="28197" hidden="1"/>
    <cellStyle name="Гиперссылка 2" xfId="28198" hidden="1"/>
    <cellStyle name="Гиперссылка 2" xfId="28203" hidden="1"/>
    <cellStyle name="Гиперссылка 2" xfId="28204" hidden="1"/>
    <cellStyle name="Гиперссылка 2" xfId="28200" hidden="1"/>
    <cellStyle name="Гиперссылка 2" xfId="28199" hidden="1"/>
    <cellStyle name="Гиперссылка 2" xfId="28202" hidden="1"/>
    <cellStyle name="Гиперссылка 2" xfId="28201" hidden="1"/>
    <cellStyle name="Гиперссылка 2" xfId="28206" hidden="1"/>
    <cellStyle name="Гиперссылка 2" xfId="28205" hidden="1"/>
    <cellStyle name="Гиперссылка 2" xfId="28207" hidden="1"/>
    <cellStyle name="Гиперссылка 2" xfId="28208" hidden="1"/>
    <cellStyle name="Гиперссылка 2" xfId="28213" hidden="1"/>
    <cellStyle name="Гиперссылка 2" xfId="28214" hidden="1"/>
    <cellStyle name="Гиперссылка 2" xfId="28210" hidden="1"/>
    <cellStyle name="Гиперссылка 2" xfId="28209" hidden="1"/>
    <cellStyle name="Гиперссылка 2" xfId="28212" hidden="1"/>
    <cellStyle name="Гиперссылка 2" xfId="28211" hidden="1"/>
    <cellStyle name="Гиперссылка 2" xfId="28216" hidden="1"/>
    <cellStyle name="Гиперссылка 2" xfId="28215" hidden="1"/>
    <cellStyle name="Гиперссылка 2" xfId="28217" hidden="1"/>
    <cellStyle name="Гиперссылка 2" xfId="28218" hidden="1"/>
    <cellStyle name="Гиперссылка 2" xfId="28223" hidden="1"/>
    <cellStyle name="Гиперссылка 2" xfId="28224" hidden="1"/>
    <cellStyle name="Гиперссылка 2" xfId="28220" hidden="1"/>
    <cellStyle name="Гиперссылка 2" xfId="28219" hidden="1"/>
    <cellStyle name="Гиперссылка 2" xfId="28222" hidden="1"/>
    <cellStyle name="Гиперссылка 2" xfId="28221" hidden="1"/>
    <cellStyle name="Гиперссылка 2" xfId="28226" hidden="1"/>
    <cellStyle name="Гиперссылка 2" xfId="28225" hidden="1"/>
    <cellStyle name="Гиперссылка 2" xfId="26829" hidden="1"/>
    <cellStyle name="Гиперссылка 2" xfId="26814" hidden="1"/>
    <cellStyle name="Гиперссылка 2" xfId="27800" hidden="1"/>
    <cellStyle name="Гиперссылка 2" xfId="26760" hidden="1"/>
    <cellStyle name="Гиперссылка 2" xfId="27970" hidden="1"/>
    <cellStyle name="Гиперссылка 2" xfId="28193" hidden="1"/>
    <cellStyle name="Гиперссылка 2" xfId="27150" hidden="1"/>
    <cellStyle name="Гиперссылка 2" xfId="26885" hidden="1"/>
    <cellStyle name="Гиперссылка 2" xfId="28238" hidden="1"/>
    <cellStyle name="Гиперссылка 2" xfId="28237" hidden="1"/>
    <cellStyle name="Гиперссылка 2" xfId="28240" hidden="1"/>
    <cellStyle name="Гиперссылка 2" xfId="28241" hidden="1"/>
    <cellStyle name="Гиперссылка 2" xfId="28246" hidden="1"/>
    <cellStyle name="Гиперссылка 2" xfId="28247" hidden="1"/>
    <cellStyle name="Гиперссылка 2" xfId="28243" hidden="1"/>
    <cellStyle name="Гиперссылка 2" xfId="28242" hidden="1"/>
    <cellStyle name="Гиперссылка 2" xfId="28245" hidden="1"/>
    <cellStyle name="Гиперссылка 2" xfId="28244" hidden="1"/>
    <cellStyle name="Гиперссылка 2" xfId="28249" hidden="1"/>
    <cellStyle name="Гиперссылка 2" xfId="28248" hidden="1"/>
    <cellStyle name="Гиперссылка 2" xfId="28250" hidden="1"/>
    <cellStyle name="Гиперссылка 2" xfId="28251" hidden="1"/>
    <cellStyle name="Гиперссылка 2" xfId="28256" hidden="1"/>
    <cellStyle name="Гиперссылка 2" xfId="28257" hidden="1"/>
    <cellStyle name="Гиперссылка 2" xfId="28253" hidden="1"/>
    <cellStyle name="Гиперссылка 2" xfId="28252" hidden="1"/>
    <cellStyle name="Гиперссылка 2" xfId="28255" hidden="1"/>
    <cellStyle name="Гиперссылка 2" xfId="28254" hidden="1"/>
    <cellStyle name="Гиперссылка 2" xfId="28259" hidden="1"/>
    <cellStyle name="Гиперссылка 2" xfId="28258" hidden="1"/>
    <cellStyle name="Гиперссылка 2" xfId="28260" hidden="1"/>
    <cellStyle name="Гиперссылка 2" xfId="28261" hidden="1"/>
    <cellStyle name="Гиперссылка 2" xfId="28266" hidden="1"/>
    <cellStyle name="Гиперссылка 2" xfId="28267" hidden="1"/>
    <cellStyle name="Гиперссылка 2" xfId="28263" hidden="1"/>
    <cellStyle name="Гиперссылка 2" xfId="28262" hidden="1"/>
    <cellStyle name="Гиперссылка 2" xfId="28265" hidden="1"/>
    <cellStyle name="Гиперссылка 2" xfId="28264" hidden="1"/>
    <cellStyle name="Гиперссылка 2" xfId="28269" hidden="1"/>
    <cellStyle name="Гиперссылка 2" xfId="28268" hidden="1"/>
    <cellStyle name="Гиперссылка 2" xfId="26451" hidden="1"/>
    <cellStyle name="Гиперссылка 2" xfId="27352" hidden="1"/>
    <cellStyle name="Гиперссылка 2" xfId="26834" hidden="1"/>
    <cellStyle name="Гиперссылка 2" xfId="28031" hidden="1"/>
    <cellStyle name="Гиперссылка 2" xfId="28232" hidden="1"/>
    <cellStyle name="Гиперссылка 2" xfId="28239" hidden="1"/>
    <cellStyle name="Гиперссылка 2" xfId="27265" hidden="1"/>
    <cellStyle name="Гиперссылка 2" xfId="28228" hidden="1"/>
    <cellStyle name="Гиперссылка 2" xfId="28281" hidden="1"/>
    <cellStyle name="Гиперссылка 2" xfId="28280" hidden="1"/>
    <cellStyle name="Гиперссылка 2" xfId="28284" hidden="1"/>
    <cellStyle name="Гиперссылка 2" xfId="28285" hidden="1"/>
    <cellStyle name="Гиперссылка 2" xfId="28290" hidden="1"/>
    <cellStyle name="Гиперссылка 2" xfId="28291" hidden="1"/>
    <cellStyle name="Гиперссылка 2" xfId="28287" hidden="1"/>
    <cellStyle name="Гиперссылка 2" xfId="28286" hidden="1"/>
    <cellStyle name="Гиперссылка 2" xfId="28289" hidden="1"/>
    <cellStyle name="Гиперссылка 2" xfId="28288" hidden="1"/>
    <cellStyle name="Гиперссылка 2" xfId="28293" hidden="1"/>
    <cellStyle name="Гиперссылка 2" xfId="28292" hidden="1"/>
    <cellStyle name="Гиперссылка 2" xfId="28294" hidden="1"/>
    <cellStyle name="Гиперссылка 2" xfId="28295" hidden="1"/>
    <cellStyle name="Гиперссылка 2" xfId="28300" hidden="1"/>
    <cellStyle name="Гиперссылка 2" xfId="28301" hidden="1"/>
    <cellStyle name="Гиперссылка 2" xfId="28297" hidden="1"/>
    <cellStyle name="Гиперссылка 2" xfId="28296" hidden="1"/>
    <cellStyle name="Гиперссылка 2" xfId="28299" hidden="1"/>
    <cellStyle name="Гиперссылка 2" xfId="28298" hidden="1"/>
    <cellStyle name="Гиперссылка 2" xfId="28303" hidden="1"/>
    <cellStyle name="Гиперссылка 2" xfId="28302" hidden="1"/>
    <cellStyle name="Гиперссылка 2" xfId="28304" hidden="1"/>
    <cellStyle name="Гиперссылка 2" xfId="28305" hidden="1"/>
    <cellStyle name="Гиперссылка 2" xfId="28310" hidden="1"/>
    <cellStyle name="Гиперссылка 2" xfId="28311" hidden="1"/>
    <cellStyle name="Гиперссылка 2" xfId="28307" hidden="1"/>
    <cellStyle name="Гиперссылка 2" xfId="28306" hidden="1"/>
    <cellStyle name="Гиперссылка 2" xfId="28309" hidden="1"/>
    <cellStyle name="Гиперссылка 2" xfId="28308" hidden="1"/>
    <cellStyle name="Гиперссылка 2" xfId="28313" hidden="1"/>
    <cellStyle name="Гиперссылка 2" xfId="28312" hidden="1"/>
    <cellStyle name="Гиперссылка 2" xfId="28229" hidden="1"/>
    <cellStyle name="Гиперссылка 2" xfId="27877" hidden="1"/>
    <cellStyle name="Гиперссылка 2" xfId="26336" hidden="1"/>
    <cellStyle name="Гиперссылка 2" xfId="27285" hidden="1"/>
    <cellStyle name="Гиперссылка 2" xfId="28274" hidden="1"/>
    <cellStyle name="Гиперссылка 2" xfId="28282" hidden="1"/>
    <cellStyle name="Гиперссылка 2" xfId="27927" hidden="1"/>
    <cellStyle name="Гиперссылка 2" xfId="28270" hidden="1"/>
    <cellStyle name="Гиперссылка 2" xfId="28323" hidden="1"/>
    <cellStyle name="Гиперссылка 2" xfId="28322" hidden="1"/>
    <cellStyle name="Гиперссылка 2" xfId="28326" hidden="1"/>
    <cellStyle name="Гиперссылка 2" xfId="28327" hidden="1"/>
    <cellStyle name="Гиперссылка 2" xfId="28332" hidden="1"/>
    <cellStyle name="Гиперссылка 2" xfId="28333" hidden="1"/>
    <cellStyle name="Гиперссылка 2" xfId="28329" hidden="1"/>
    <cellStyle name="Гиперссылка 2" xfId="28328" hidden="1"/>
    <cellStyle name="Гиперссылка 2" xfId="28331" hidden="1"/>
    <cellStyle name="Гиперссылка 2" xfId="28330" hidden="1"/>
    <cellStyle name="Гиперссылка 2" xfId="28335" hidden="1"/>
    <cellStyle name="Гиперссылка 2" xfId="28334" hidden="1"/>
    <cellStyle name="Гиперссылка 2" xfId="28336" hidden="1"/>
    <cellStyle name="Гиперссылка 2" xfId="28337" hidden="1"/>
    <cellStyle name="Гиперссылка 2" xfId="28342" hidden="1"/>
    <cellStyle name="Гиперссылка 2" xfId="28343" hidden="1"/>
    <cellStyle name="Гиперссылка 2" xfId="28339" hidden="1"/>
    <cellStyle name="Гиперссылка 2" xfId="28338" hidden="1"/>
    <cellStyle name="Гиперссылка 2" xfId="28341" hidden="1"/>
    <cellStyle name="Гиперссылка 2" xfId="28340" hidden="1"/>
    <cellStyle name="Гиперссылка 2" xfId="28345" hidden="1"/>
    <cellStyle name="Гиперссылка 2" xfId="28344" hidden="1"/>
    <cellStyle name="Гиперссылка 2" xfId="28346" hidden="1"/>
    <cellStyle name="Гиперссылка 2" xfId="28347" hidden="1"/>
    <cellStyle name="Гиперссылка 2" xfId="28352" hidden="1"/>
    <cellStyle name="Гиперссылка 2" xfId="28353" hidden="1"/>
    <cellStyle name="Гиперссылка 2" xfId="28349" hidden="1"/>
    <cellStyle name="Гиперссылка 2" xfId="28348" hidden="1"/>
    <cellStyle name="Гиперссылка 2" xfId="28351" hidden="1"/>
    <cellStyle name="Гиперссылка 2" xfId="28350" hidden="1"/>
    <cellStyle name="Гиперссылка 2" xfId="28355" hidden="1"/>
    <cellStyle name="Гиперссылка 2" xfId="28354" hidden="1"/>
    <cellStyle name="Гиперссылка 2" xfId="28271" hidden="1"/>
    <cellStyle name="Гиперссылка 2" xfId="26925" hidden="1"/>
    <cellStyle name="Гиперссылка 2" xfId="26608" hidden="1"/>
    <cellStyle name="Гиперссылка 2" xfId="26961" hidden="1"/>
    <cellStyle name="Гиперссылка 2" xfId="28318" hidden="1"/>
    <cellStyle name="Гиперссылка 2" xfId="28324" hidden="1"/>
    <cellStyle name="Гиперссылка 2" xfId="27986" hidden="1"/>
    <cellStyle name="Гиперссылка 2" xfId="28315" hidden="1"/>
    <cellStyle name="Гиперссылка 2" xfId="28364" hidden="1"/>
    <cellStyle name="Гиперссылка 2" xfId="28363" hidden="1"/>
    <cellStyle name="Гиперссылка 2" xfId="28366" hidden="1"/>
    <cellStyle name="Гиперссылка 2" xfId="28367" hidden="1"/>
    <cellStyle name="Гиперссылка 2" xfId="28372" hidden="1"/>
    <cellStyle name="Гиперссылка 2" xfId="28373" hidden="1"/>
    <cellStyle name="Гиперссылка 2" xfId="28369" hidden="1"/>
    <cellStyle name="Гиперссылка 2" xfId="28368" hidden="1"/>
    <cellStyle name="Гиперссылка 2" xfId="28371" hidden="1"/>
    <cellStyle name="Гиперссылка 2" xfId="28370" hidden="1"/>
    <cellStyle name="Гиперссылка 2" xfId="28375" hidden="1"/>
    <cellStyle name="Гиперссылка 2" xfId="28374" hidden="1"/>
    <cellStyle name="Гиперссылка 2" xfId="28376" hidden="1"/>
    <cellStyle name="Гиперссылка 2" xfId="28377" hidden="1"/>
    <cellStyle name="Гиперссылка 2" xfId="28382" hidden="1"/>
    <cellStyle name="Гиперссылка 2" xfId="28383" hidden="1"/>
    <cellStyle name="Гиперссылка 2" xfId="28379" hidden="1"/>
    <cellStyle name="Гиперссылка 2" xfId="28378" hidden="1"/>
    <cellStyle name="Гиперссылка 2" xfId="28381" hidden="1"/>
    <cellStyle name="Гиперссылка 2" xfId="28380" hidden="1"/>
    <cellStyle name="Гиперссылка 2" xfId="28385" hidden="1"/>
    <cellStyle name="Гиперссылка 2" xfId="28384" hidden="1"/>
    <cellStyle name="Гиперссылка 2" xfId="28386" hidden="1"/>
    <cellStyle name="Гиперссылка 2" xfId="28387" hidden="1"/>
    <cellStyle name="Гиперссылка 2" xfId="28392" hidden="1"/>
    <cellStyle name="Гиперссылка 2" xfId="28393" hidden="1"/>
    <cellStyle name="Гиперссылка 2" xfId="28389" hidden="1"/>
    <cellStyle name="Гиперссылка 2" xfId="28388" hidden="1"/>
    <cellStyle name="Гиперссылка 2" xfId="28391" hidden="1"/>
    <cellStyle name="Гиперссылка 2" xfId="28390" hidden="1"/>
    <cellStyle name="Гиперссылка 2" xfId="28395" hidden="1"/>
    <cellStyle name="Гиперссылка 2" xfId="28394" hidden="1"/>
    <cellStyle name="Гиперссылка 2" xfId="28316" hidden="1"/>
    <cellStyle name="Гиперссылка 2" xfId="27923" hidden="1"/>
    <cellStyle name="Гиперссылка 2" xfId="26546" hidden="1"/>
    <cellStyle name="Гиперссылка 2" xfId="26908" hidden="1"/>
    <cellStyle name="Гиперссылка 2" xfId="28359" hidden="1"/>
    <cellStyle name="Гиперссылка 2" xfId="28365" hidden="1"/>
    <cellStyle name="Гиперссылка 2" xfId="28188" hidden="1"/>
    <cellStyle name="Гиперссылка 2" xfId="28356" hidden="1"/>
    <cellStyle name="Гиперссылка 2" xfId="28402" hidden="1"/>
    <cellStyle name="Гиперссылка 2" xfId="28401" hidden="1"/>
    <cellStyle name="Гиперссылка 2" xfId="28405" hidden="1"/>
    <cellStyle name="Гиперссылка 2" xfId="28406" hidden="1"/>
    <cellStyle name="Гиперссылка 2" xfId="28411" hidden="1"/>
    <cellStyle name="Гиперссылка 2" xfId="28412" hidden="1"/>
    <cellStyle name="Гиперссылка 2" xfId="28408" hidden="1"/>
    <cellStyle name="Гиперссылка 2" xfId="28407" hidden="1"/>
    <cellStyle name="Гиперссылка 2" xfId="28410" hidden="1"/>
    <cellStyle name="Гиперссылка 2" xfId="28409" hidden="1"/>
    <cellStyle name="Гиперссылка 2" xfId="28414" hidden="1"/>
    <cellStyle name="Гиперссылка 2" xfId="28413" hidden="1"/>
    <cellStyle name="Гиперссылка 2" xfId="28415" hidden="1"/>
    <cellStyle name="Гиперссылка 2" xfId="28416" hidden="1"/>
    <cellStyle name="Гиперссылка 2" xfId="28421" hidden="1"/>
    <cellStyle name="Гиперссылка 2" xfId="28422" hidden="1"/>
    <cellStyle name="Гиперссылка 2" xfId="28418" hidden="1"/>
    <cellStyle name="Гиперссылка 2" xfId="28417" hidden="1"/>
    <cellStyle name="Гиперссылка 2" xfId="28420" hidden="1"/>
    <cellStyle name="Гиперссылка 2" xfId="28419" hidden="1"/>
    <cellStyle name="Гиперссылка 2" xfId="28424" hidden="1"/>
    <cellStyle name="Гиперссылка 2" xfId="28423" hidden="1"/>
    <cellStyle name="Гиперссылка 2" xfId="28425" hidden="1"/>
    <cellStyle name="Гиперссылка 2" xfId="28426" hidden="1"/>
    <cellStyle name="Гиперссылка 2" xfId="28431" hidden="1"/>
    <cellStyle name="Гиперссылка 2" xfId="28432" hidden="1"/>
    <cellStyle name="Гиперссылка 2" xfId="28428" hidden="1"/>
    <cellStyle name="Гиперссылка 2" xfId="28427" hidden="1"/>
    <cellStyle name="Гиперссылка 2" xfId="28430" hidden="1"/>
    <cellStyle name="Гиперссылка 2" xfId="28429" hidden="1"/>
    <cellStyle name="Гиперссылка 2" xfId="28434" hidden="1"/>
    <cellStyle name="Гиперссылка 2" xfId="28433" hidden="1"/>
    <cellStyle name="Гиперссылка 2" xfId="28357" hidden="1"/>
    <cellStyle name="Гиперссылка 2" xfId="27807" hidden="1"/>
    <cellStyle name="Гиперссылка 2" xfId="28231" hidden="1"/>
    <cellStyle name="Гиперссылка 2" xfId="26656" hidden="1"/>
    <cellStyle name="Гиперссылка 2" xfId="28399" hidden="1"/>
    <cellStyle name="Гиперссылка 2" xfId="28403" hidden="1"/>
    <cellStyle name="Гиперссылка 2" xfId="28236" hidden="1"/>
    <cellStyle name="Гиперссылка 2" xfId="28397" hidden="1"/>
    <cellStyle name="Гиперссылка 2" xfId="28436" hidden="1"/>
    <cellStyle name="Гиперссылка 2" xfId="28435" hidden="1"/>
    <cellStyle name="Гиперссылка 2" xfId="28437" hidden="1"/>
    <cellStyle name="Гиперссылка 2" xfId="28438" hidden="1"/>
    <cellStyle name="Гиперссылка 2" xfId="28443" hidden="1"/>
    <cellStyle name="Гиперссылка 2" xfId="28444" hidden="1"/>
    <cellStyle name="Гиперссылка 2" xfId="28440" hidden="1"/>
    <cellStyle name="Гиперссылка 2" xfId="28439" hidden="1"/>
    <cellStyle name="Гиперссылка 2" xfId="28442" hidden="1"/>
    <cellStyle name="Гиперссылка 2" xfId="28441" hidden="1"/>
    <cellStyle name="Гиперссылка 2" xfId="28446" hidden="1"/>
    <cellStyle name="Гиперссылка 2" xfId="28445" hidden="1"/>
    <cellStyle name="Гиперссылка 2" xfId="28447" hidden="1"/>
    <cellStyle name="Гиперссылка 2" xfId="28448" hidden="1"/>
    <cellStyle name="Гиперссылка 2" xfId="28453" hidden="1"/>
    <cellStyle name="Гиперссылка 2" xfId="28454" hidden="1"/>
    <cellStyle name="Гиперссылка 2" xfId="28450" hidden="1"/>
    <cellStyle name="Гиперссылка 2" xfId="28449" hidden="1"/>
    <cellStyle name="Гиперссылка 2" xfId="28452" hidden="1"/>
    <cellStyle name="Гиперссылка 2" xfId="28451" hidden="1"/>
    <cellStyle name="Гиперссылка 2" xfId="28456" hidden="1"/>
    <cellStyle name="Гиперссылка 2" xfId="28455" hidden="1"/>
    <cellStyle name="Гиперссылка 2" xfId="28457" hidden="1"/>
    <cellStyle name="Гиперссылка 2" xfId="28458" hidden="1"/>
    <cellStyle name="Гиперссылка 2" xfId="28463" hidden="1"/>
    <cellStyle name="Гиперссылка 2" xfId="28464" hidden="1"/>
    <cellStyle name="Гиперссылка 2" xfId="28460" hidden="1"/>
    <cellStyle name="Гиперссылка 2" xfId="28459" hidden="1"/>
    <cellStyle name="Гиперссылка 2" xfId="28462" hidden="1"/>
    <cellStyle name="Гиперссылка 2" xfId="28461" hidden="1"/>
    <cellStyle name="Гиперссылка 2" xfId="28466" hidden="1"/>
    <cellStyle name="Гиперссылка 2" xfId="28465" hidden="1"/>
    <cellStyle name="Гиперссылка 2" xfId="27883" hidden="1"/>
    <cellStyle name="Гиперссылка 2" xfId="26721" hidden="1"/>
    <cellStyle name="Гиперссылка 2" xfId="27223" hidden="1"/>
    <cellStyle name="Гиперссылка 2" xfId="27191" hidden="1"/>
    <cellStyle name="Гиперссылка 2" xfId="28279" hidden="1"/>
    <cellStyle name="Гиперссылка 2" xfId="27568" hidden="1"/>
    <cellStyle name="Гиперссылка 2" xfId="26376" hidden="1"/>
    <cellStyle name="Гиперссылка 2" xfId="27631" hidden="1"/>
    <cellStyle name="Гиперссылка 2" xfId="26912" hidden="1"/>
    <cellStyle name="Гиперссылка 2" xfId="27656" hidden="1"/>
    <cellStyle name="Гиперссылка 2" xfId="28230" hidden="1"/>
    <cellStyle name="Гиперссылка 2" xfId="26840" hidden="1"/>
    <cellStyle name="Гиперссылка 2" xfId="26426" hidden="1"/>
    <cellStyle name="Гиперссылка 2" xfId="27882" hidden="1"/>
    <cellStyle name="Гиперссылка 2" xfId="26391" hidden="1"/>
    <cellStyle name="Гиперссылка 2" xfId="25727" hidden="1"/>
    <cellStyle name="Гиперссылка 2" xfId="27533" hidden="1"/>
    <cellStyle name="Гиперссылка 2" xfId="26510" hidden="1"/>
    <cellStyle name="Гиперссылка 2" xfId="27936" hidden="1"/>
    <cellStyle name="Гиперссылка 2" xfId="28123" hidden="1"/>
    <cellStyle name="Гиперссылка 2" xfId="28362" hidden="1"/>
    <cellStyle name="Гиперссылка 2" xfId="28277" hidden="1"/>
    <cellStyle name="Гиперссылка 2" xfId="26714" hidden="1"/>
    <cellStyle name="Гиперссылка 2" xfId="26424" hidden="1"/>
    <cellStyle name="Гиперссылка 2" xfId="28273" hidden="1"/>
    <cellStyle name="Гиперссылка 2" xfId="28358" hidden="1"/>
    <cellStyle name="Гиперссылка 2" xfId="26985" hidden="1"/>
    <cellStyle name="Гиперссылка 2" xfId="28067" hidden="1"/>
    <cellStyle name="Гиперссылка 2" xfId="26647" hidden="1"/>
    <cellStyle name="Гиперссылка 2" xfId="25779" hidden="1"/>
    <cellStyle name="Гиперссылка 2" xfId="27660" hidden="1"/>
    <cellStyle name="Гиперссылка 2" xfId="27525" hidden="1"/>
    <cellStyle name="Гиперссылка 2" xfId="26368" hidden="1"/>
    <cellStyle name="Гиперссылка 2" xfId="25752" hidden="1"/>
    <cellStyle name="Гиперссылка 2" xfId="26800" hidden="1"/>
    <cellStyle name="Гиперссылка 2" xfId="27149" hidden="1"/>
    <cellStyle name="Гиперссылка 2" xfId="28192" hidden="1"/>
    <cellStyle name="Гиперссылка 2" xfId="26379" hidden="1"/>
    <cellStyle name="Гиперссылка 2" xfId="26923" hidden="1"/>
    <cellStyle name="Гиперссылка 2" xfId="28234" hidden="1"/>
    <cellStyle name="Гиперссылка 2" xfId="26971" hidden="1"/>
    <cellStyle name="Гиперссылка 2" xfId="28196" hidden="1"/>
    <cellStyle name="Гиперссылка 2" xfId="28276" hidden="1"/>
    <cellStyle name="Гиперссылка 2" xfId="28194" hidden="1"/>
    <cellStyle name="Гиперссылка 2" xfId="26381" hidden="1"/>
    <cellStyle name="Гиперссылка 2" xfId="28081" hidden="1"/>
    <cellStyle name="Гиперссылка 2" xfId="27921" hidden="1"/>
    <cellStyle name="Гиперссылка 2" xfId="27270" hidden="1"/>
    <cellStyle name="Гиперссылка 2" xfId="27924" hidden="1"/>
    <cellStyle name="Гиперссылка 2" xfId="25769" hidden="1"/>
    <cellStyle name="Гиперссылка 2" xfId="27330" hidden="1"/>
    <cellStyle name="Гиперссылка 2" xfId="27920" hidden="1"/>
    <cellStyle name="Гиперссылка 2" xfId="28398" hidden="1"/>
    <cellStyle name="Гиперссылка 2" xfId="28317" hidden="1"/>
    <cellStyle name="Гиперссылка 2" xfId="26509" hidden="1"/>
    <cellStyle name="Гиперссылка 2" xfId="26644" hidden="1"/>
    <cellStyle name="Гиперссылка 2" xfId="27586" hidden="1"/>
    <cellStyle name="Гиперссылка 2" xfId="26623" hidden="1"/>
    <cellStyle name="Гиперссылка 2" xfId="28278" hidden="1"/>
    <cellStyle name="Гиперссылка 2" xfId="27190" hidden="1"/>
    <cellStyle name="Гиперссылка 2" xfId="27649" hidden="1"/>
    <cellStyle name="Гиперссылка 2" xfId="27977" hidden="1"/>
    <cellStyle name="Гиперссылка 2" xfId="26766" hidden="1"/>
    <cellStyle name="Гиперссылка 2" xfId="27639" hidden="1"/>
    <cellStyle name="Гиперссылка 2" xfId="27531" hidden="1"/>
    <cellStyle name="Гиперссылка 2" xfId="25747" hidden="1"/>
    <cellStyle name="Гиперссылка 2" xfId="28021" hidden="1"/>
    <cellStyle name="Гиперссылка 2" xfId="26806" hidden="1"/>
    <cellStyle name="Гиперссылка 2" xfId="27071" hidden="1"/>
    <cellStyle name="Гиперссылка 2" xfId="27715" hidden="1"/>
    <cellStyle name="Гиперссылка 2" xfId="27753" hidden="1"/>
    <cellStyle name="Гиперссылка 2" xfId="28321" hidden="1"/>
    <cellStyle name="Гиперссылка 2" xfId="28195" hidden="1"/>
    <cellStyle name="Гиперссылка 2" xfId="27152" hidden="1"/>
    <cellStyle name="Гиперссылка 2" xfId="28404" hidden="1"/>
    <cellStyle name="Гиперссылка 2" xfId="28189" hidden="1"/>
    <cellStyle name="Гиперссылка 2" xfId="28283" hidden="1"/>
    <cellStyle name="Гиперссылка 2" xfId="28325" hidden="1"/>
    <cellStyle name="Гиперссылка 2" xfId="26494" hidden="1"/>
    <cellStyle name="Гиперссылка 2" xfId="27925" hidden="1"/>
    <cellStyle name="Гиперссылка 2" xfId="28235" hidden="1"/>
    <cellStyle name="Гиперссылка 2" xfId="26839" hidden="1"/>
    <cellStyle name="Гиперссылка 2" xfId="26339" hidden="1"/>
    <cellStyle name="Гиперссылка 2" xfId="27076" hidden="1"/>
    <cellStyle name="Гиперссылка 2" xfId="26740" hidden="1"/>
    <cellStyle name="Гиперссылка 2" xfId="25784" hidden="1"/>
    <cellStyle name="Гиперссылка 2" xfId="26337" hidden="1"/>
    <cellStyle name="Гиперссылка 2" xfId="26756" hidden="1"/>
    <cellStyle name="Гиперссылка 2" xfId="27974" hidden="1"/>
    <cellStyle name="Гиперссылка 2" xfId="26378" hidden="1"/>
    <cellStyle name="Гиперссылка 2" xfId="28272" hidden="1"/>
    <cellStyle name="Гиперссылка 2" xfId="26802" hidden="1"/>
    <cellStyle name="Гиперссылка 2" xfId="26917" hidden="1"/>
    <cellStyle name="Гиперссылка 2" xfId="27396" hidden="1"/>
    <cellStyle name="Гиперссылка 2" xfId="27000" hidden="1"/>
    <cellStyle name="Гиперссылка 2" xfId="25782" hidden="1"/>
    <cellStyle name="Гиперссылка 2" xfId="28076" hidden="1"/>
    <cellStyle name="Гиперссылка 2" xfId="27189" hidden="1"/>
    <cellStyle name="Гиперссылка 2" xfId="27915" hidden="1"/>
    <cellStyle name="Гиперссылка 2" xfId="27638" hidden="1"/>
    <cellStyle name="Гиперссылка 2" xfId="28360" hidden="1"/>
    <cellStyle name="Гиперссылка 2" xfId="28275" hidden="1"/>
    <cellStyle name="Гиперссылка 2" xfId="28120" hidden="1"/>
    <cellStyle name="Гиперссылка 2" xfId="27458" hidden="1"/>
    <cellStyle name="Гиперссылка 2" xfId="28314" hidden="1"/>
    <cellStyle name="Гиперссылка 2" xfId="28396" hidden="1"/>
    <cellStyle name="Гиперссылка 2" xfId="26520" hidden="1"/>
    <cellStyle name="Гиперссылка 2" xfId="28227" hidden="1"/>
    <cellStyle name="Гиперссылка 2" xfId="26977" hidden="1"/>
    <cellStyle name="Гиперссылка 2" xfId="27080" hidden="1"/>
    <cellStyle name="Гиперссылка 2" xfId="27975" hidden="1"/>
    <cellStyle name="Гиперссылка 2" xfId="27413" hidden="1"/>
    <cellStyle name="Гиперссылка 2" xfId="28319" hidden="1"/>
    <cellStyle name="Гиперссылка 2" xfId="28233" hidden="1"/>
    <cellStyle name="Гиперссылка 2" xfId="28116" hidden="1"/>
    <cellStyle name="Гиперссылка 2" xfId="26973" hidden="1"/>
    <cellStyle name="Гиперссылка 2" xfId="28400" hidden="1"/>
    <cellStyle name="Гиперссылка 2" xfId="25735" hidden="1"/>
    <cellStyle name="Гиперссылка 2" xfId="28320" hidden="1"/>
    <cellStyle name="Гиперссылка 2" xfId="28361" hidden="1"/>
    <cellStyle name="Гиперссылка 2" xfId="28472" hidden="1"/>
    <cellStyle name="Гиперссылка 2" xfId="28473" hidden="1"/>
    <cellStyle name="Гиперссылка 2" xfId="28478" hidden="1"/>
    <cellStyle name="Гиперссылка 2" xfId="28479" hidden="1"/>
    <cellStyle name="Гиперссылка 2" xfId="28475" hidden="1"/>
    <cellStyle name="Гиперссылка 2" xfId="28474" hidden="1"/>
    <cellStyle name="Гиперссылка 2" xfId="28477" hidden="1"/>
    <cellStyle name="Гиперссылка 2" xfId="28476" hidden="1"/>
    <cellStyle name="Гиперссылка 2" xfId="28481" hidden="1"/>
    <cellStyle name="Гиперссылка 2" xfId="28480" hidden="1"/>
    <cellStyle name="Гиперссылка 2" xfId="28482" hidden="1"/>
    <cellStyle name="Гиперссылка 2" xfId="28483" hidden="1"/>
    <cellStyle name="Гиперссылка 2" xfId="28488" hidden="1"/>
    <cellStyle name="Гиперссылка 2" xfId="28489" hidden="1"/>
    <cellStyle name="Гиперссылка 2" xfId="28485" hidden="1"/>
    <cellStyle name="Гиперссылка 2" xfId="28484" hidden="1"/>
    <cellStyle name="Гиперссылка 2" xfId="28487" hidden="1"/>
    <cellStyle name="Гиперссылка 2" xfId="28486" hidden="1"/>
    <cellStyle name="Гиперссылка 2" xfId="28491" hidden="1"/>
    <cellStyle name="Гиперссылка 2" xfId="28490" hidden="1"/>
    <cellStyle name="Гиперссылка 2" xfId="28492" hidden="1"/>
    <cellStyle name="Гиперссылка 2" xfId="28493" hidden="1"/>
    <cellStyle name="Гиперссылка 2" xfId="28498" hidden="1"/>
    <cellStyle name="Гиперссылка 2" xfId="28499" hidden="1"/>
    <cellStyle name="Гиперссылка 2" xfId="28495" hidden="1"/>
    <cellStyle name="Гиперссылка 2" xfId="28494" hidden="1"/>
    <cellStyle name="Гиперссылка 2" xfId="28497" hidden="1"/>
    <cellStyle name="Гиперссылка 2" xfId="28496" hidden="1"/>
    <cellStyle name="Гиперссылка 2" xfId="28501" hidden="1"/>
    <cellStyle name="Гиперссылка 2" xfId="28500" hidden="1"/>
    <cellStyle name="Гиперссылка 2" xfId="28502" hidden="1"/>
    <cellStyle name="Гиперссылка 2" xfId="28503" hidden="1"/>
    <cellStyle name="Гиперссылка 2" xfId="28508" hidden="1"/>
    <cellStyle name="Гиперссылка 2" xfId="28509" hidden="1"/>
    <cellStyle name="Гиперссылка 2" xfId="28505" hidden="1"/>
    <cellStyle name="Гиперссылка 2" xfId="28504" hidden="1"/>
    <cellStyle name="Гиперссылка 2" xfId="28507" hidden="1"/>
    <cellStyle name="Гиперссылка 2" xfId="28506" hidden="1"/>
    <cellStyle name="Гиперссылка 2" xfId="28511" hidden="1"/>
    <cellStyle name="Гиперссылка 2" xfId="28510" hidden="1"/>
    <cellStyle name="Гиперссылка 2" xfId="28516" hidden="1"/>
    <cellStyle name="Гиперссылка 2" xfId="28517" hidden="1"/>
    <cellStyle name="Гиперссылка 2" xfId="28534" hidden="1"/>
    <cellStyle name="Гиперссылка 2" xfId="28535" hidden="1"/>
    <cellStyle name="Гиперссылка 2" xfId="28521" hidden="1"/>
    <cellStyle name="Гиперссылка 2" xfId="28518" hidden="1"/>
    <cellStyle name="Гиперссылка 2" xfId="28531" hidden="1"/>
    <cellStyle name="Гиперссылка 2" xfId="28530" hidden="1"/>
    <cellStyle name="Гиперссылка 2" xfId="28545" hidden="1"/>
    <cellStyle name="Гиперссылка 2" xfId="28544" hidden="1"/>
    <cellStyle name="Гиперссылка 2" xfId="28547" hidden="1"/>
    <cellStyle name="Гиперссылка 2" xfId="28548" hidden="1"/>
    <cellStyle name="Гиперссылка 2" xfId="28553" hidden="1"/>
    <cellStyle name="Гиперссылка 2" xfId="28554" hidden="1"/>
    <cellStyle name="Гиперссылка 2" xfId="28550" hidden="1"/>
    <cellStyle name="Гиперссылка 2" xfId="28549" hidden="1"/>
    <cellStyle name="Гиперссылка 2" xfId="28552" hidden="1"/>
    <cellStyle name="Гиперссылка 2" xfId="28551" hidden="1"/>
    <cellStyle name="Гиперссылка 2" xfId="28556" hidden="1"/>
    <cellStyle name="Гиперссылка 2" xfId="28555" hidden="1"/>
    <cellStyle name="Гиперссылка 2" xfId="28557" hidden="1"/>
    <cellStyle name="Гиперссылка 2" xfId="28558" hidden="1"/>
    <cellStyle name="Гиперссылка 2" xfId="28563" hidden="1"/>
    <cellStyle name="Гиперссылка 2" xfId="28564" hidden="1"/>
    <cellStyle name="Гиперссылка 2" xfId="28560" hidden="1"/>
    <cellStyle name="Гиперссылка 2" xfId="28559" hidden="1"/>
    <cellStyle name="Гиперссылка 2" xfId="28562" hidden="1"/>
    <cellStyle name="Гиперссылка 2" xfId="28561" hidden="1"/>
    <cellStyle name="Гиперссылка 2" xfId="28566" hidden="1"/>
    <cellStyle name="Гиперссылка 2" xfId="28565" hidden="1"/>
    <cellStyle name="Гиперссылка 2" xfId="28567" hidden="1"/>
    <cellStyle name="Гиперссылка 2" xfId="28568" hidden="1"/>
    <cellStyle name="Гиперссылка 2" xfId="28573" hidden="1"/>
    <cellStyle name="Гиперссылка 2" xfId="28574" hidden="1"/>
    <cellStyle name="Гиперссылка 2" xfId="28570" hidden="1"/>
    <cellStyle name="Гиперссылка 2" xfId="28569" hidden="1"/>
    <cellStyle name="Гиперссылка 2" xfId="28572" hidden="1"/>
    <cellStyle name="Гиперссылка 2" xfId="28571" hidden="1"/>
    <cellStyle name="Гиперссылка 2" xfId="28576" hidden="1"/>
    <cellStyle name="Гиперссылка 2" xfId="28575" hidden="1"/>
    <cellStyle name="Гиперссылка 2" xfId="28533" hidden="1"/>
    <cellStyle name="Гиперссылка 2" xfId="28526" hidden="1"/>
    <cellStyle name="Гиперссылка 2" xfId="28536" hidden="1"/>
    <cellStyle name="Гиперссылка 2" xfId="28520" hidden="1"/>
    <cellStyle name="Гиперссылка 2" xfId="28540" hidden="1"/>
    <cellStyle name="Гиперссылка 2" xfId="28546" hidden="1"/>
    <cellStyle name="Гиперссылка 2" xfId="28528" hidden="1"/>
    <cellStyle name="Гиперссылка 2" xfId="28537" hidden="1"/>
    <cellStyle name="Гиперссылка 2" xfId="28585" hidden="1"/>
    <cellStyle name="Гиперссылка 2" xfId="28584" hidden="1"/>
    <cellStyle name="Гиперссылка 2" xfId="28587" hidden="1"/>
    <cellStyle name="Гиперссылка 2" xfId="28588" hidden="1"/>
    <cellStyle name="Гиперссылка 2" xfId="28593" hidden="1"/>
    <cellStyle name="Гиперссылка 2" xfId="28594" hidden="1"/>
    <cellStyle name="Гиперссылка 2" xfId="28590" hidden="1"/>
    <cellStyle name="Гиперссылка 2" xfId="28589" hidden="1"/>
    <cellStyle name="Гиперссылка 2" xfId="28592" hidden="1"/>
    <cellStyle name="Гиперссылка 2" xfId="28591" hidden="1"/>
    <cellStyle name="Гиперссылка 2" xfId="28596" hidden="1"/>
    <cellStyle name="Гиперссылка 2" xfId="28595" hidden="1"/>
    <cellStyle name="Гиперссылка 2" xfId="28597" hidden="1"/>
    <cellStyle name="Гиперссылка 2" xfId="28598" hidden="1"/>
    <cellStyle name="Гиперссылка 2" xfId="28603" hidden="1"/>
    <cellStyle name="Гиперссылка 2" xfId="28604" hidden="1"/>
    <cellStyle name="Гиперссылка 2" xfId="28600" hidden="1"/>
    <cellStyle name="Гиперссылка 2" xfId="28599" hidden="1"/>
    <cellStyle name="Гиперссылка 2" xfId="28602" hidden="1"/>
    <cellStyle name="Гиперссылка 2" xfId="28601" hidden="1"/>
    <cellStyle name="Гиперссылка 2" xfId="28606" hidden="1"/>
    <cellStyle name="Гиперссылка 2" xfId="28605" hidden="1"/>
    <cellStyle name="Гиперссылка 2" xfId="28607" hidden="1"/>
    <cellStyle name="Гиперссылка 2" xfId="28608" hidden="1"/>
    <cellStyle name="Гиперссылка 2" xfId="28613" hidden="1"/>
    <cellStyle name="Гиперссылка 2" xfId="28614" hidden="1"/>
    <cellStyle name="Гиперссылка 2" xfId="28610" hidden="1"/>
    <cellStyle name="Гиперссылка 2" xfId="28609" hidden="1"/>
    <cellStyle name="Гиперссылка 2" xfId="28612" hidden="1"/>
    <cellStyle name="Гиперссылка 2" xfId="28611" hidden="1"/>
    <cellStyle name="Гиперссылка 2" xfId="28616" hidden="1"/>
    <cellStyle name="Гиперссылка 2" xfId="28615" hidden="1"/>
    <cellStyle name="Гиперссылка 2" xfId="28538" hidden="1"/>
    <cellStyle name="Гиперссылка 2" xfId="28467" hidden="1"/>
    <cellStyle name="Гиперссылка 2" xfId="28468" hidden="1"/>
    <cellStyle name="Гиперссылка 2" xfId="28522" hidden="1"/>
    <cellStyle name="Гиперссылка 2" xfId="28580" hidden="1"/>
    <cellStyle name="Гиперссылка 2" xfId="28586" hidden="1"/>
    <cellStyle name="Гиперссылка 2" xfId="28532" hidden="1"/>
    <cellStyle name="Гиперссылка 2" xfId="28577" hidden="1"/>
    <cellStyle name="Гиперссылка 2" xfId="28625" hidden="1"/>
    <cellStyle name="Гиперссылка 2" xfId="28624" hidden="1"/>
    <cellStyle name="Гиперссылка 2" xfId="28627" hidden="1"/>
    <cellStyle name="Гиперссылка 2" xfId="28628" hidden="1"/>
    <cellStyle name="Гиперссылка 2" xfId="28633" hidden="1"/>
    <cellStyle name="Гиперссылка 2" xfId="28634" hidden="1"/>
    <cellStyle name="Гиперссылка 2" xfId="28630" hidden="1"/>
    <cellStyle name="Гиперссылка 2" xfId="28629" hidden="1"/>
    <cellStyle name="Гиперссылка 2" xfId="28632" hidden="1"/>
    <cellStyle name="Гиперссылка 2" xfId="28631" hidden="1"/>
    <cellStyle name="Гиперссылка 2" xfId="28636" hidden="1"/>
    <cellStyle name="Гиперссылка 2" xfId="28635" hidden="1"/>
    <cellStyle name="Гиперссылка 2" xfId="28637" hidden="1"/>
    <cellStyle name="Гиперссылка 2" xfId="28638" hidden="1"/>
    <cellStyle name="Гиперссылка 2" xfId="28643" hidden="1"/>
    <cellStyle name="Гиперссылка 2" xfId="28644" hidden="1"/>
    <cellStyle name="Гиперссылка 2" xfId="28640" hidden="1"/>
    <cellStyle name="Гиперссылка 2" xfId="28639" hidden="1"/>
    <cellStyle name="Гиперссылка 2" xfId="28642" hidden="1"/>
    <cellStyle name="Гиперссылка 2" xfId="28641" hidden="1"/>
    <cellStyle name="Гиперссылка 2" xfId="28646" hidden="1"/>
    <cellStyle name="Гиперссылка 2" xfId="28645" hidden="1"/>
    <cellStyle name="Гиперссылка 2" xfId="28647" hidden="1"/>
    <cellStyle name="Гиперссылка 2" xfId="28648" hidden="1"/>
    <cellStyle name="Гиперссылка 2" xfId="28653" hidden="1"/>
    <cellStyle name="Гиперссылка 2" xfId="28654" hidden="1"/>
    <cellStyle name="Гиперссылка 2" xfId="28650" hidden="1"/>
    <cellStyle name="Гиперссылка 2" xfId="28649" hidden="1"/>
    <cellStyle name="Гиперссылка 2" xfId="28652" hidden="1"/>
    <cellStyle name="Гиперссылка 2" xfId="28651" hidden="1"/>
    <cellStyle name="Гиперссылка 2" xfId="28656" hidden="1"/>
    <cellStyle name="Гиперссылка 2" xfId="28655" hidden="1"/>
    <cellStyle name="Гиперссылка 2" xfId="28578" hidden="1"/>
    <cellStyle name="Гиперссылка 2" xfId="28469" hidden="1"/>
    <cellStyle name="Гиперссылка 2" xfId="28524" hidden="1"/>
    <cellStyle name="Гиперссылка 2" xfId="28470" hidden="1"/>
    <cellStyle name="Гиперссылка 2" xfId="28620" hidden="1"/>
    <cellStyle name="Гиперссылка 2" xfId="28626" hidden="1"/>
    <cellStyle name="Гиперссылка 2" xfId="28527" hidden="1"/>
    <cellStyle name="Гиперссылка 2" xfId="28617" hidden="1"/>
    <cellStyle name="Гиперссылка 2" xfId="28665" hidden="1"/>
    <cellStyle name="Гиперссылка 2" xfId="28664" hidden="1"/>
    <cellStyle name="Гиперссылка 2" xfId="28667" hidden="1"/>
    <cellStyle name="Гиперссылка 2" xfId="28668" hidden="1"/>
    <cellStyle name="Гиперссылка 2" xfId="28673" hidden="1"/>
    <cellStyle name="Гиперссылка 2" xfId="28674" hidden="1"/>
    <cellStyle name="Гиперссылка 2" xfId="28670" hidden="1"/>
    <cellStyle name="Гиперссылка 2" xfId="28669" hidden="1"/>
    <cellStyle name="Гиперссылка 2" xfId="28672" hidden="1"/>
    <cellStyle name="Гиперссылка 2" xfId="28671" hidden="1"/>
    <cellStyle name="Гиперссылка 2" xfId="28676" hidden="1"/>
    <cellStyle name="Гиперссылка 2" xfId="28675" hidden="1"/>
    <cellStyle name="Гиперссылка 2" xfId="28677" hidden="1"/>
    <cellStyle name="Гиперссылка 2" xfId="28678" hidden="1"/>
    <cellStyle name="Гиперссылка 2" xfId="28683" hidden="1"/>
    <cellStyle name="Гиперссылка 2" xfId="28684" hidden="1"/>
    <cellStyle name="Гиперссылка 2" xfId="28680" hidden="1"/>
    <cellStyle name="Гиперссылка 2" xfId="28679" hidden="1"/>
    <cellStyle name="Гиперссылка 2" xfId="28682" hidden="1"/>
    <cellStyle name="Гиперссылка 2" xfId="28681" hidden="1"/>
    <cellStyle name="Гиперссылка 2" xfId="28686" hidden="1"/>
    <cellStyle name="Гиперссылка 2" xfId="28685" hidden="1"/>
    <cellStyle name="Гиперссылка 2" xfId="28687" hidden="1"/>
    <cellStyle name="Гиперссылка 2" xfId="28688" hidden="1"/>
    <cellStyle name="Гиперссылка 2" xfId="28693" hidden="1"/>
    <cellStyle name="Гиперссылка 2" xfId="28694" hidden="1"/>
    <cellStyle name="Гиперссылка 2" xfId="28690" hidden="1"/>
    <cellStyle name="Гиперссылка 2" xfId="28689" hidden="1"/>
    <cellStyle name="Гиперссылка 2" xfId="28692" hidden="1"/>
    <cellStyle name="Гиперссылка 2" xfId="28691" hidden="1"/>
    <cellStyle name="Гиперссылка 2" xfId="28696" hidden="1"/>
    <cellStyle name="Гиперссылка 2" xfId="28695" hidden="1"/>
    <cellStyle name="Гиперссылка 2" xfId="28618" hidden="1"/>
    <cellStyle name="Гиперссылка 2" xfId="28525" hidden="1"/>
    <cellStyle name="Гиперссылка 2" xfId="28514" hidden="1"/>
    <cellStyle name="Гиперссылка 2" xfId="28523" hidden="1"/>
    <cellStyle name="Гиперссылка 2" xfId="28660" hidden="1"/>
    <cellStyle name="Гиперссылка 2" xfId="28666" hidden="1"/>
    <cellStyle name="Гиперссылка 2" xfId="28513" hidden="1"/>
    <cellStyle name="Гиперссылка 2" xfId="28657" hidden="1"/>
    <cellStyle name="Гиперссылка 2" xfId="28704" hidden="1"/>
    <cellStyle name="Гиперссылка 2" xfId="28703" hidden="1"/>
    <cellStyle name="Гиперссылка 2" xfId="28706" hidden="1"/>
    <cellStyle name="Гиперссылка 2" xfId="28707" hidden="1"/>
    <cellStyle name="Гиперссылка 2" xfId="28712" hidden="1"/>
    <cellStyle name="Гиперссылка 2" xfId="28713" hidden="1"/>
    <cellStyle name="Гиперссылка 2" xfId="28709" hidden="1"/>
    <cellStyle name="Гиперссылка 2" xfId="28708" hidden="1"/>
    <cellStyle name="Гиперссылка 2" xfId="28711" hidden="1"/>
    <cellStyle name="Гиперссылка 2" xfId="28710" hidden="1"/>
    <cellStyle name="Гиперссылка 2" xfId="28715" hidden="1"/>
    <cellStyle name="Гиперссылка 2" xfId="28714" hidden="1"/>
    <cellStyle name="Гиперссылка 2" xfId="28716" hidden="1"/>
    <cellStyle name="Гиперссылка 2" xfId="28717" hidden="1"/>
    <cellStyle name="Гиперссылка 2" xfId="28722" hidden="1"/>
    <cellStyle name="Гиперссылка 2" xfId="28723" hidden="1"/>
    <cellStyle name="Гиперссылка 2" xfId="28719" hidden="1"/>
    <cellStyle name="Гиперссылка 2" xfId="28718" hidden="1"/>
    <cellStyle name="Гиперссылка 2" xfId="28721" hidden="1"/>
    <cellStyle name="Гиперссылка 2" xfId="28720" hidden="1"/>
    <cellStyle name="Гиперссылка 2" xfId="28725" hidden="1"/>
    <cellStyle name="Гиперссылка 2" xfId="28724" hidden="1"/>
    <cellStyle name="Гиперссылка 2" xfId="28726" hidden="1"/>
    <cellStyle name="Гиперссылка 2" xfId="28727" hidden="1"/>
    <cellStyle name="Гиперссылка 2" xfId="28732" hidden="1"/>
    <cellStyle name="Гиперссылка 2" xfId="28733" hidden="1"/>
    <cellStyle name="Гиперссылка 2" xfId="28729" hidden="1"/>
    <cellStyle name="Гиперссылка 2" xfId="28728" hidden="1"/>
    <cellStyle name="Гиперссылка 2" xfId="28731" hidden="1"/>
    <cellStyle name="Гиперссылка 2" xfId="28730" hidden="1"/>
    <cellStyle name="Гиперссылка 2" xfId="28735" hidden="1"/>
    <cellStyle name="Гиперссылка 2" xfId="28734" hidden="1"/>
    <cellStyle name="Гиперссылка 2" xfId="28658" hidden="1"/>
    <cellStyle name="Гиперссылка 2" xfId="28529" hidden="1"/>
    <cellStyle name="Гиперссылка 2" xfId="28539" hidden="1"/>
    <cellStyle name="Гиперссылка 2" xfId="28515" hidden="1"/>
    <cellStyle name="Гиперссылка 2" xfId="28700" hidden="1"/>
    <cellStyle name="Гиперссылка 2" xfId="28705" hidden="1"/>
    <cellStyle name="Гиперссылка 2" xfId="28542" hidden="1"/>
    <cellStyle name="Гиперссылка 2" xfId="28697" hidden="1"/>
    <cellStyle name="Гиперссылка 2" xfId="28742" hidden="1"/>
    <cellStyle name="Гиперссылка 2" xfId="28741" hidden="1"/>
    <cellStyle name="Гиперссылка 2" xfId="28744" hidden="1"/>
    <cellStyle name="Гиперссылка 2" xfId="28745" hidden="1"/>
    <cellStyle name="Гиперссылка 2" xfId="28750" hidden="1"/>
    <cellStyle name="Гиперссылка 2" xfId="28751" hidden="1"/>
    <cellStyle name="Гиперссылка 2" xfId="28747" hidden="1"/>
    <cellStyle name="Гиперссылка 2" xfId="28746" hidden="1"/>
    <cellStyle name="Гиперссылка 2" xfId="28749" hidden="1"/>
    <cellStyle name="Гиперссылка 2" xfId="28748" hidden="1"/>
    <cellStyle name="Гиперссылка 2" xfId="28753" hidden="1"/>
    <cellStyle name="Гиперссылка 2" xfId="28752" hidden="1"/>
    <cellStyle name="Гиперссылка 2" xfId="28754" hidden="1"/>
    <cellStyle name="Гиперссылка 2" xfId="28755" hidden="1"/>
    <cellStyle name="Гиперссылка 2" xfId="28760" hidden="1"/>
    <cellStyle name="Гиперссылка 2" xfId="28761" hidden="1"/>
    <cellStyle name="Гиперссылка 2" xfId="28757" hidden="1"/>
    <cellStyle name="Гиперссылка 2" xfId="28756" hidden="1"/>
    <cellStyle name="Гиперссылка 2" xfId="28759" hidden="1"/>
    <cellStyle name="Гиперссылка 2" xfId="28758" hidden="1"/>
    <cellStyle name="Гиперссылка 2" xfId="28763" hidden="1"/>
    <cellStyle name="Гиперссылка 2" xfId="28762" hidden="1"/>
    <cellStyle name="Гиперссылка 2" xfId="28764" hidden="1"/>
    <cellStyle name="Гиперссылка 2" xfId="28765" hidden="1"/>
    <cellStyle name="Гиперссылка 2" xfId="28770" hidden="1"/>
    <cellStyle name="Гиперссылка 2" xfId="28771" hidden="1"/>
    <cellStyle name="Гиперссылка 2" xfId="28767" hidden="1"/>
    <cellStyle name="Гиперссылка 2" xfId="28766" hidden="1"/>
    <cellStyle name="Гиперссылка 2" xfId="28769" hidden="1"/>
    <cellStyle name="Гиперссылка 2" xfId="28768" hidden="1"/>
    <cellStyle name="Гиперссылка 2" xfId="28773" hidden="1"/>
    <cellStyle name="Гиперссылка 2" xfId="28772" hidden="1"/>
    <cellStyle name="Гиперссылка 2" xfId="28698" hidden="1"/>
    <cellStyle name="Гиперссылка 2" xfId="28471" hidden="1"/>
    <cellStyle name="Гиперссылка 2" xfId="28579" hidden="1"/>
    <cellStyle name="Гиперссылка 2" xfId="28519" hidden="1"/>
    <cellStyle name="Гиперссылка 2" xfId="28739" hidden="1"/>
    <cellStyle name="Гиперссылка 2" xfId="28743" hidden="1"/>
    <cellStyle name="Гиперссылка 2" xfId="28582" hidden="1"/>
    <cellStyle name="Гиперссылка 2" xfId="28736" hidden="1"/>
    <cellStyle name="Гиперссылка 2" xfId="28780" hidden="1"/>
    <cellStyle name="Гиперссылка 2" xfId="28779" hidden="1"/>
    <cellStyle name="Гиперссылка 2" xfId="28782" hidden="1"/>
    <cellStyle name="Гиперссылка 2" xfId="28783" hidden="1"/>
    <cellStyle name="Гиперссылка 2" xfId="28788" hidden="1"/>
    <cellStyle name="Гиперссылка 2" xfId="28789" hidden="1"/>
    <cellStyle name="Гиперссылка 2" xfId="28785" hidden="1"/>
    <cellStyle name="Гиперссылка 2" xfId="28784" hidden="1"/>
    <cellStyle name="Гиперссылка 2" xfId="28787" hidden="1"/>
    <cellStyle name="Гиперссылка 2" xfId="28786" hidden="1"/>
    <cellStyle name="Гиперссылка 2" xfId="28791" hidden="1"/>
    <cellStyle name="Гиперссылка 2" xfId="28790" hidden="1"/>
    <cellStyle name="Гиперссылка 2" xfId="28792" hidden="1"/>
    <cellStyle name="Гиперссылка 2" xfId="28793" hidden="1"/>
    <cellStyle name="Гиперссылка 2" xfId="28798" hidden="1"/>
    <cellStyle name="Гиперссылка 2" xfId="28799" hidden="1"/>
    <cellStyle name="Гиперссылка 2" xfId="28795" hidden="1"/>
    <cellStyle name="Гиперссылка 2" xfId="28794" hidden="1"/>
    <cellStyle name="Гиперссылка 2" xfId="28797" hidden="1"/>
    <cellStyle name="Гиперссылка 2" xfId="28796" hidden="1"/>
    <cellStyle name="Гиперссылка 2" xfId="28801" hidden="1"/>
    <cellStyle name="Гиперссылка 2" xfId="28800" hidden="1"/>
    <cellStyle name="Гиперссылка 2" xfId="28802" hidden="1"/>
    <cellStyle name="Гиперссылка 2" xfId="28803" hidden="1"/>
    <cellStyle name="Гиперссылка 2" xfId="28808" hidden="1"/>
    <cellStyle name="Гиперссылка 2" xfId="28809" hidden="1"/>
    <cellStyle name="Гиперссылка 2" xfId="28805" hidden="1"/>
    <cellStyle name="Гиперссылка 2" xfId="28804" hidden="1"/>
    <cellStyle name="Гиперссылка 2" xfId="28807" hidden="1"/>
    <cellStyle name="Гиперссылка 2" xfId="28806" hidden="1"/>
    <cellStyle name="Гиперссылка 2" xfId="28811" hidden="1"/>
    <cellStyle name="Гиперссылка 2" xfId="28810" hidden="1"/>
    <cellStyle name="Гиперссылка 2" xfId="28737" hidden="1"/>
    <cellStyle name="Гиперссылка 2" xfId="28512" hidden="1"/>
    <cellStyle name="Гиперссылка 2" xfId="28619" hidden="1"/>
    <cellStyle name="Гиперссылка 2" xfId="28543" hidden="1"/>
    <cellStyle name="Гиперссылка 2" xfId="28777" hidden="1"/>
    <cellStyle name="Гиперссылка 2" xfId="28781" hidden="1"/>
    <cellStyle name="Гиперссылка 2" xfId="28622" hidden="1"/>
    <cellStyle name="Гиперссылка 2" xfId="28774" hidden="1"/>
    <cellStyle name="Гиперссылка 2" xfId="28816" hidden="1"/>
    <cellStyle name="Гиперссылка 2" xfId="28815" hidden="1"/>
    <cellStyle name="Гиперссылка 2" xfId="28818" hidden="1"/>
    <cellStyle name="Гиперссылка 2" xfId="28819" hidden="1"/>
    <cellStyle name="Гиперссылка 2" xfId="28824" hidden="1"/>
    <cellStyle name="Гиперссылка 2" xfId="28825" hidden="1"/>
    <cellStyle name="Гиперссылка 2" xfId="28821" hidden="1"/>
    <cellStyle name="Гиперссылка 2" xfId="28820" hidden="1"/>
    <cellStyle name="Гиперссылка 2" xfId="28823" hidden="1"/>
    <cellStyle name="Гиперссылка 2" xfId="28822" hidden="1"/>
    <cellStyle name="Гиперссылка 2" xfId="28827" hidden="1"/>
    <cellStyle name="Гиперссылка 2" xfId="28826" hidden="1"/>
    <cellStyle name="Гиперссылка 2" xfId="28828" hidden="1"/>
    <cellStyle name="Гиперссылка 2" xfId="28829" hidden="1"/>
    <cellStyle name="Гиперссылка 2" xfId="28834" hidden="1"/>
    <cellStyle name="Гиперссылка 2" xfId="28835" hidden="1"/>
    <cellStyle name="Гиперссылка 2" xfId="28831" hidden="1"/>
    <cellStyle name="Гиперссылка 2" xfId="28830" hidden="1"/>
    <cellStyle name="Гиперссылка 2" xfId="28833" hidden="1"/>
    <cellStyle name="Гиперссылка 2" xfId="28832" hidden="1"/>
    <cellStyle name="Гиперссылка 2" xfId="28837" hidden="1"/>
    <cellStyle name="Гиперссылка 2" xfId="28836" hidden="1"/>
    <cellStyle name="Гиперссылка 2" xfId="28838" hidden="1"/>
    <cellStyle name="Гиперссылка 2" xfId="28839" hidden="1"/>
    <cellStyle name="Гиперссылка 2" xfId="28844" hidden="1"/>
    <cellStyle name="Гиперссылка 2" xfId="28845" hidden="1"/>
    <cellStyle name="Гиперссылка 2" xfId="28841" hidden="1"/>
    <cellStyle name="Гиперссылка 2" xfId="28840" hidden="1"/>
    <cellStyle name="Гиперссылка 2" xfId="28843" hidden="1"/>
    <cellStyle name="Гиперссылка 2" xfId="28842" hidden="1"/>
    <cellStyle name="Гиперссылка 2" xfId="28847" hidden="1"/>
    <cellStyle name="Гиперссылка 2" xfId="28846" hidden="1"/>
    <cellStyle name="Гиперссылка 2" xfId="28775" hidden="1"/>
    <cellStyle name="Гиперссылка 2" xfId="28541" hidden="1"/>
    <cellStyle name="Гиперссылка 2" xfId="28659" hidden="1"/>
    <cellStyle name="Гиперссылка 2" xfId="28583" hidden="1"/>
    <cellStyle name="Гиперссылка 2" xfId="28814" hidden="1"/>
    <cellStyle name="Гиперссылка 2" xfId="28817" hidden="1"/>
    <cellStyle name="Гиперссылка 2" xfId="28662" hidden="1"/>
    <cellStyle name="Гиперссылка 2" xfId="28812" hidden="1"/>
    <cellStyle name="Гиперссылка 2" xfId="28852" hidden="1"/>
    <cellStyle name="Гиперссылка 2" xfId="28851" hidden="1"/>
    <cellStyle name="Гиперссылка 2" xfId="28854" hidden="1"/>
    <cellStyle name="Гиперссылка 2" xfId="28855" hidden="1"/>
    <cellStyle name="Гиперссылка 2" xfId="28860" hidden="1"/>
    <cellStyle name="Гиперссылка 2" xfId="28861" hidden="1"/>
    <cellStyle name="Гиперссылка 2" xfId="28857" hidden="1"/>
    <cellStyle name="Гиперссылка 2" xfId="28856" hidden="1"/>
    <cellStyle name="Гиперссылка 2" xfId="28859" hidden="1"/>
    <cellStyle name="Гиперссылка 2" xfId="28858" hidden="1"/>
    <cellStyle name="Гиперссылка 2" xfId="28863" hidden="1"/>
    <cellStyle name="Гиперссылка 2" xfId="28862" hidden="1"/>
    <cellStyle name="Гиперссылка 2" xfId="28864" hidden="1"/>
    <cellStyle name="Гиперссылка 2" xfId="28865" hidden="1"/>
    <cellStyle name="Гиперссылка 2" xfId="28870" hidden="1"/>
    <cellStyle name="Гиперссылка 2" xfId="28871" hidden="1"/>
    <cellStyle name="Гиперссылка 2" xfId="28867" hidden="1"/>
    <cellStyle name="Гиперссылка 2" xfId="28866" hidden="1"/>
    <cellStyle name="Гиперссылка 2" xfId="28869" hidden="1"/>
    <cellStyle name="Гиперссылка 2" xfId="28868" hidden="1"/>
    <cellStyle name="Гиперссылка 2" xfId="28873" hidden="1"/>
    <cellStyle name="Гиперссылка 2" xfId="28872" hidden="1"/>
    <cellStyle name="Гиперссылка 2" xfId="28874" hidden="1"/>
    <cellStyle name="Гиперссылка 2" xfId="28875" hidden="1"/>
    <cellStyle name="Гиперссылка 2" xfId="28880" hidden="1"/>
    <cellStyle name="Гиперссылка 2" xfId="28881" hidden="1"/>
    <cellStyle name="Гиперссылка 2" xfId="28877" hidden="1"/>
    <cellStyle name="Гиперссылка 2" xfId="28876" hidden="1"/>
    <cellStyle name="Гиперссылка 2" xfId="28879" hidden="1"/>
    <cellStyle name="Гиперссылка 2" xfId="28878" hidden="1"/>
    <cellStyle name="Гиперссылка 2" xfId="28883" hidden="1"/>
    <cellStyle name="Гиперссылка 2" xfId="28882" hidden="1"/>
    <cellStyle name="Гиперссылка 2" xfId="28813" hidden="1"/>
    <cellStyle name="Гиперссылка 2" xfId="28581" hidden="1"/>
    <cellStyle name="Гиперссылка 2" xfId="28699" hidden="1"/>
    <cellStyle name="Гиперссылка 2" xfId="28623" hidden="1"/>
    <cellStyle name="Гиперссылка 2" xfId="28850" hidden="1"/>
    <cellStyle name="Гиперссылка 2" xfId="28853" hidden="1"/>
    <cellStyle name="Гиперссылка 2" xfId="28701" hidden="1"/>
    <cellStyle name="Гиперссылка 2" xfId="28848" hidden="1"/>
    <cellStyle name="Гиперссылка 2" xfId="28888" hidden="1"/>
    <cellStyle name="Гиперссылка 2" xfId="28887" hidden="1"/>
    <cellStyle name="Гиперссылка 2" xfId="28890" hidden="1"/>
    <cellStyle name="Гиперссылка 2" xfId="28891" hidden="1"/>
    <cellStyle name="Гиперссылка 2" xfId="28896" hidden="1"/>
    <cellStyle name="Гиперссылка 2" xfId="28897" hidden="1"/>
    <cellStyle name="Гиперссылка 2" xfId="28893" hidden="1"/>
    <cellStyle name="Гиперссылка 2" xfId="28892" hidden="1"/>
    <cellStyle name="Гиперссылка 2" xfId="28895" hidden="1"/>
    <cellStyle name="Гиперссылка 2" xfId="28894" hidden="1"/>
    <cellStyle name="Гиперссылка 2" xfId="28899" hidden="1"/>
    <cellStyle name="Гиперссылка 2" xfId="28898" hidden="1"/>
    <cellStyle name="Гиперссылка 2" xfId="28900" hidden="1"/>
    <cellStyle name="Гиперссылка 2" xfId="28901" hidden="1"/>
    <cellStyle name="Гиперссылка 2" xfId="28906" hidden="1"/>
    <cellStyle name="Гиперссылка 2" xfId="28907" hidden="1"/>
    <cellStyle name="Гиперссылка 2" xfId="28903" hidden="1"/>
    <cellStyle name="Гиперссылка 2" xfId="28902" hidden="1"/>
    <cellStyle name="Гиперссылка 2" xfId="28905" hidden="1"/>
    <cellStyle name="Гиперссылка 2" xfId="28904" hidden="1"/>
    <cellStyle name="Гиперссылка 2" xfId="28909" hidden="1"/>
    <cellStyle name="Гиперссылка 2" xfId="28908" hidden="1"/>
    <cellStyle name="Гиперссылка 2" xfId="28910" hidden="1"/>
    <cellStyle name="Гиперссылка 2" xfId="28911" hidden="1"/>
    <cellStyle name="Гиперссылка 2" xfId="28916" hidden="1"/>
    <cellStyle name="Гиперссылка 2" xfId="28917" hidden="1"/>
    <cellStyle name="Гиперссылка 2" xfId="28913" hidden="1"/>
    <cellStyle name="Гиперссылка 2" xfId="28912" hidden="1"/>
    <cellStyle name="Гиперссылка 2" xfId="28915" hidden="1"/>
    <cellStyle name="Гиперссылка 2" xfId="28914" hidden="1"/>
    <cellStyle name="Гиперссылка 2" xfId="28919" hidden="1"/>
    <cellStyle name="Гиперссылка 2" xfId="28918" hidden="1"/>
    <cellStyle name="Гиперссылка 2" xfId="28849" hidden="1"/>
    <cellStyle name="Гиперссылка 2" xfId="28621" hidden="1"/>
    <cellStyle name="Гиперссылка 2" xfId="28738" hidden="1"/>
    <cellStyle name="Гиперссылка 2" xfId="28663" hidden="1"/>
    <cellStyle name="Гиперссылка 2" xfId="28886" hidden="1"/>
    <cellStyle name="Гиперссылка 2" xfId="28889" hidden="1"/>
    <cellStyle name="Гиперссылка 2" xfId="28740" hidden="1"/>
    <cellStyle name="Гиперссылка 2" xfId="28884" hidden="1"/>
    <cellStyle name="Гиперссылка 2" xfId="28923" hidden="1"/>
    <cellStyle name="Гиперссылка 2" xfId="28922" hidden="1"/>
    <cellStyle name="Гиперссылка 2" xfId="28925" hidden="1"/>
    <cellStyle name="Гиперссылка 2" xfId="28926" hidden="1"/>
    <cellStyle name="Гиперссылка 2" xfId="28931" hidden="1"/>
    <cellStyle name="Гиперссылка 2" xfId="28932" hidden="1"/>
    <cellStyle name="Гиперссылка 2" xfId="28928" hidden="1"/>
    <cellStyle name="Гиперссылка 2" xfId="28927" hidden="1"/>
    <cellStyle name="Гиперссылка 2" xfId="28930" hidden="1"/>
    <cellStyle name="Гиперссылка 2" xfId="28929" hidden="1"/>
    <cellStyle name="Гиперссылка 2" xfId="28934" hidden="1"/>
    <cellStyle name="Гиперссылка 2" xfId="28933" hidden="1"/>
    <cellStyle name="Гиперссылка 2" xfId="28935" hidden="1"/>
    <cellStyle name="Гиперссылка 2" xfId="28936" hidden="1"/>
    <cellStyle name="Гиперссылка 2" xfId="28941" hidden="1"/>
    <cellStyle name="Гиперссылка 2" xfId="28942" hidden="1"/>
    <cellStyle name="Гиперссылка 2" xfId="28938" hidden="1"/>
    <cellStyle name="Гиперссылка 2" xfId="28937" hidden="1"/>
    <cellStyle name="Гиперссылка 2" xfId="28940" hidden="1"/>
    <cellStyle name="Гиперссылка 2" xfId="28939" hidden="1"/>
    <cellStyle name="Гиперссылка 2" xfId="28944" hidden="1"/>
    <cellStyle name="Гиперссылка 2" xfId="28943" hidden="1"/>
    <cellStyle name="Гиперссылка 2" xfId="28945" hidden="1"/>
    <cellStyle name="Гиперссылка 2" xfId="28946" hidden="1"/>
    <cellStyle name="Гиперссылка 2" xfId="28951" hidden="1"/>
    <cellStyle name="Гиперссылка 2" xfId="28952" hidden="1"/>
    <cellStyle name="Гиперссылка 2" xfId="28948" hidden="1"/>
    <cellStyle name="Гиперссылка 2" xfId="28947" hidden="1"/>
    <cellStyle name="Гиперссылка 2" xfId="28950" hidden="1"/>
    <cellStyle name="Гиперссылка 2" xfId="28949" hidden="1"/>
    <cellStyle name="Гиперссылка 2" xfId="28954" hidden="1"/>
    <cellStyle name="Гиперссылка 2" xfId="28953" hidden="1"/>
    <cellStyle name="Гиперссылка 2" xfId="28885" hidden="1"/>
    <cellStyle name="Гиперссылка 2" xfId="28661" hidden="1"/>
    <cellStyle name="Гиперссылка 2" xfId="28776" hidden="1"/>
    <cellStyle name="Гиперссылка 2" xfId="28702" hidden="1"/>
    <cellStyle name="Гиперссылка 2" xfId="28921" hidden="1"/>
    <cellStyle name="Гиперссылка 2" xfId="28924" hidden="1"/>
    <cellStyle name="Гиперссылка 2" xfId="28778" hidden="1"/>
    <cellStyle name="Гиперссылка 2" xfId="28920" hidden="1"/>
    <cellStyle name="Гиперссылка 2" xfId="28956" hidden="1"/>
    <cellStyle name="Гиперссылка 2" xfId="28955" hidden="1"/>
    <cellStyle name="Гиперссылка 2" xfId="28957" hidden="1"/>
    <cellStyle name="Гиперссылка 2" xfId="28958" hidden="1"/>
    <cellStyle name="Гиперссылка 2" xfId="28963" hidden="1"/>
    <cellStyle name="Гиперссылка 2" xfId="28964" hidden="1"/>
    <cellStyle name="Гиперссылка 2" xfId="28960" hidden="1"/>
    <cellStyle name="Гиперссылка 2" xfId="28959" hidden="1"/>
    <cellStyle name="Гиперссылка 2" xfId="28962" hidden="1"/>
    <cellStyle name="Гиперссылка 2" xfId="28961" hidden="1"/>
    <cellStyle name="Гиперссылка 2" xfId="28966" hidden="1"/>
    <cellStyle name="Гиперссылка 2" xfId="28965" hidden="1"/>
    <cellStyle name="Гиперссылка 2" xfId="28967" hidden="1"/>
    <cellStyle name="Гиперссылка 2" xfId="28968" hidden="1"/>
    <cellStyle name="Гиперссылка 2" xfId="28973" hidden="1"/>
    <cellStyle name="Гиперссылка 2" xfId="28974" hidden="1"/>
    <cellStyle name="Гиперссылка 2" xfId="28970" hidden="1"/>
    <cellStyle name="Гиперссылка 2" xfId="28969" hidden="1"/>
    <cellStyle name="Гиперссылка 2" xfId="28972" hidden="1"/>
    <cellStyle name="Гиперссылка 2" xfId="28971" hidden="1"/>
    <cellStyle name="Гиперссылка 2" xfId="28976" hidden="1"/>
    <cellStyle name="Гиперссылка 2" xfId="28975" hidden="1"/>
    <cellStyle name="Гиперссылка 2" xfId="28977" hidden="1"/>
    <cellStyle name="Гиперссылка 2" xfId="28978" hidden="1"/>
    <cellStyle name="Гиперссылка 2" xfId="28983" hidden="1"/>
    <cellStyle name="Гиперссылка 2" xfId="28984" hidden="1"/>
    <cellStyle name="Гиперссылка 2" xfId="28980" hidden="1"/>
    <cellStyle name="Гиперссылка 2" xfId="28979" hidden="1"/>
    <cellStyle name="Гиперссылка 2" xfId="28982" hidden="1"/>
    <cellStyle name="Гиперссылка 2" xfId="28981" hidden="1"/>
    <cellStyle name="Гиперссылка 2" xfId="28986" hidden="1"/>
    <cellStyle name="Гиперссылка 2" xfId="28985" hidden="1"/>
    <cellStyle name="Гиперссылка 2" xfId="29044" hidden="1"/>
    <cellStyle name="Гиперссылка 2" xfId="29045" hidden="1"/>
    <cellStyle name="Гиперссылка 2" xfId="29149" hidden="1"/>
    <cellStyle name="Гиперссылка 2" xfId="29150" hidden="1"/>
    <cellStyle name="Гиперссылка 2" xfId="29088" hidden="1"/>
    <cellStyle name="Гиперссылка 2" xfId="29048" hidden="1"/>
    <cellStyle name="Гиперссылка 2" xfId="29134" hidden="1"/>
    <cellStyle name="Гиперссылка 2" xfId="29133" hidden="1"/>
    <cellStyle name="Гиперссылка 2" xfId="29195" hidden="1"/>
    <cellStyle name="Гиперссылка 2" xfId="29194" hidden="1"/>
    <cellStyle name="Гиперссылка 2" xfId="29208" hidden="1"/>
    <cellStyle name="Гиперссылка 2" xfId="29209" hidden="1"/>
    <cellStyle name="Гиперссылка 2" xfId="29215" hidden="1"/>
    <cellStyle name="Гиперссылка 2" xfId="29216" hidden="1"/>
    <cellStyle name="Гиперссылка 2" xfId="29212" hidden="1"/>
    <cellStyle name="Гиперссылка 2" xfId="29211" hidden="1"/>
    <cellStyle name="Гиперссылка 2" xfId="29214" hidden="1"/>
    <cellStyle name="Гиперссылка 2" xfId="29213" hidden="1"/>
    <cellStyle name="Гиперссылка 2" xfId="29218" hidden="1"/>
    <cellStyle name="Гиперссылка 2" xfId="29217" hidden="1"/>
    <cellStyle name="Гиперссылка 2" xfId="29219" hidden="1"/>
    <cellStyle name="Гиперссылка 2" xfId="29220" hidden="1"/>
    <cellStyle name="Гиперссылка 2" xfId="29225" hidden="1"/>
    <cellStyle name="Гиперссылка 2" xfId="29226" hidden="1"/>
    <cellStyle name="Гиперссылка 2" xfId="29222" hidden="1"/>
    <cellStyle name="Гиперссылка 2" xfId="29221" hidden="1"/>
    <cellStyle name="Гиперссылка 2" xfId="29224" hidden="1"/>
    <cellStyle name="Гиперссылка 2" xfId="29223" hidden="1"/>
    <cellStyle name="Гиперссылка 2" xfId="29228" hidden="1"/>
    <cellStyle name="Гиперссылка 2" xfId="29227" hidden="1"/>
    <cellStyle name="Гиперссылка 2" xfId="29229" hidden="1"/>
    <cellStyle name="Гиперссылка 2" xfId="29230" hidden="1"/>
    <cellStyle name="Гиперссылка 2" xfId="29235" hidden="1"/>
    <cellStyle name="Гиперссылка 2" xfId="29236" hidden="1"/>
    <cellStyle name="Гиперссылка 2" xfId="29232" hidden="1"/>
    <cellStyle name="Гиперссылка 2" xfId="29231" hidden="1"/>
    <cellStyle name="Гиперссылка 2" xfId="29234" hidden="1"/>
    <cellStyle name="Гиперссылка 2" xfId="29233" hidden="1"/>
    <cellStyle name="Гиперссылка 2" xfId="29238" hidden="1"/>
    <cellStyle name="Гиперссылка 2" xfId="29237" hidden="1"/>
    <cellStyle name="Гиперссылка 2" xfId="29273" hidden="1"/>
    <cellStyle name="Гиперссылка 2" xfId="29274" hidden="1"/>
    <cellStyle name="Гиперссылка 2" xfId="29362" hidden="1"/>
    <cellStyle name="Гиперссылка 2" xfId="29363" hidden="1"/>
    <cellStyle name="Гиперссылка 2" xfId="29319" hidden="1"/>
    <cellStyle name="Гиперссылка 2" xfId="29276" hidden="1"/>
    <cellStyle name="Гиперссылка 2" xfId="29351" hidden="1"/>
    <cellStyle name="Гиперссылка 2" xfId="29350" hidden="1"/>
    <cellStyle name="Гиперссылка 2" xfId="29416" hidden="1"/>
    <cellStyle name="Гиперссылка 2" xfId="29415" hidden="1"/>
    <cellStyle name="Гиперссылка 2" xfId="29429" hidden="1"/>
    <cellStyle name="Гиперссылка 2" xfId="29430" hidden="1"/>
    <cellStyle name="Гиперссылка 2" xfId="29435" hidden="1"/>
    <cellStyle name="Гиперссылка 2" xfId="29436" hidden="1"/>
    <cellStyle name="Гиперссылка 2" xfId="29432" hidden="1"/>
    <cellStyle name="Гиперссылка 2" xfId="29431" hidden="1"/>
    <cellStyle name="Гиперссылка 2" xfId="29434" hidden="1"/>
    <cellStyle name="Гиперссылка 2" xfId="29433" hidden="1"/>
    <cellStyle name="Гиперссылка 2" xfId="29438" hidden="1"/>
    <cellStyle name="Гиперссылка 2" xfId="29437" hidden="1"/>
    <cellStyle name="Гиперссылка 2" xfId="29440" hidden="1"/>
    <cellStyle name="Гиперссылка 2" xfId="29441" hidden="1"/>
    <cellStyle name="Гиперссылка 2" xfId="29446" hidden="1"/>
    <cellStyle name="Гиперссылка 2" xfId="29447" hidden="1"/>
    <cellStyle name="Гиперссылка 2" xfId="29443" hidden="1"/>
    <cellStyle name="Гиперссылка 2" xfId="29442" hidden="1"/>
    <cellStyle name="Гиперссылка 2" xfId="29445" hidden="1"/>
    <cellStyle name="Гиперссылка 2" xfId="29444" hidden="1"/>
    <cellStyle name="Гиперссылка 2" xfId="29449" hidden="1"/>
    <cellStyle name="Гиперссылка 2" xfId="29448" hidden="1"/>
    <cellStyle name="Гиперссылка 2" xfId="29450" hidden="1"/>
    <cellStyle name="Гиперссылка 2" xfId="29451" hidden="1"/>
    <cellStyle name="Гиперссылка 2" xfId="29456" hidden="1"/>
    <cellStyle name="Гиперссылка 2" xfId="29457" hidden="1"/>
    <cellStyle name="Гиперссылка 2" xfId="29453" hidden="1"/>
    <cellStyle name="Гиперссылка 2" xfId="29452" hidden="1"/>
    <cellStyle name="Гиперссылка 2" xfId="29455" hidden="1"/>
    <cellStyle name="Гиперссылка 2" xfId="29454" hidden="1"/>
    <cellStyle name="Гиперссылка 2" xfId="29459" hidden="1"/>
    <cellStyle name="Гиперссылка 2" xfId="29458" hidden="1"/>
    <cellStyle name="Гиперссылка 2" xfId="29360" hidden="1"/>
    <cellStyle name="Гиперссылка 2" xfId="29333" hidden="1"/>
    <cellStyle name="Гиперссылка 2" xfId="29370" hidden="1"/>
    <cellStyle name="Гиперссылка 2" xfId="29278" hidden="1"/>
    <cellStyle name="Гиперссылка 2" xfId="29388" hidden="1"/>
    <cellStyle name="Гиперссылка 2" xfId="29423" hidden="1"/>
    <cellStyle name="Гиперссылка 2" xfId="29344" hidden="1"/>
    <cellStyle name="Гиперссылка 2" xfId="29377" hidden="1"/>
    <cellStyle name="Гиперссылка 2" xfId="29497" hidden="1"/>
    <cellStyle name="Гиперссылка 2" xfId="29496" hidden="1"/>
    <cellStyle name="Гиперссылка 2" xfId="29507" hidden="1"/>
    <cellStyle name="Гиперссылка 2" xfId="29508" hidden="1"/>
    <cellStyle name="Гиперссылка 2" xfId="29513" hidden="1"/>
    <cellStyle name="Гиперссылка 2" xfId="29514" hidden="1"/>
    <cellStyle name="Гиперссылка 2" xfId="29510" hidden="1"/>
    <cellStyle name="Гиперссылка 2" xfId="29509" hidden="1"/>
    <cellStyle name="Гиперссылка 2" xfId="29512" hidden="1"/>
    <cellStyle name="Гиперссылка 2" xfId="29511" hidden="1"/>
    <cellStyle name="Гиперссылка 2" xfId="29516" hidden="1"/>
    <cellStyle name="Гиперссылка 2" xfId="29515" hidden="1"/>
    <cellStyle name="Гиперссылка 2" xfId="29518" hidden="1"/>
    <cellStyle name="Гиперссылка 2" xfId="29519" hidden="1"/>
    <cellStyle name="Гиперссылка 2" xfId="29524" hidden="1"/>
    <cellStyle name="Гиперссылка 2" xfId="29525" hidden="1"/>
    <cellStyle name="Гиперссылка 2" xfId="29521" hidden="1"/>
    <cellStyle name="Гиперссылка 2" xfId="29520" hidden="1"/>
    <cellStyle name="Гиперссылка 2" xfId="29523" hidden="1"/>
    <cellStyle name="Гиперссылка 2" xfId="29522" hidden="1"/>
    <cellStyle name="Гиперссылка 2" xfId="29527" hidden="1"/>
    <cellStyle name="Гиперссылка 2" xfId="29526" hidden="1"/>
    <cellStyle name="Гиперссылка 2" xfId="29528" hidden="1"/>
    <cellStyle name="Гиперссылка 2" xfId="29529" hidden="1"/>
    <cellStyle name="Гиперссылка 2" xfId="29534" hidden="1"/>
    <cellStyle name="Гиперссылка 2" xfId="29535" hidden="1"/>
    <cellStyle name="Гиперссылка 2" xfId="29531" hidden="1"/>
    <cellStyle name="Гиперссылка 2" xfId="29530" hidden="1"/>
    <cellStyle name="Гиперссылка 2" xfId="29533" hidden="1"/>
    <cellStyle name="Гиперссылка 2" xfId="29532" hidden="1"/>
    <cellStyle name="Гиперссылка 2" xfId="29537" hidden="1"/>
    <cellStyle name="Гиперссылка 2" xfId="29536" hidden="1"/>
    <cellStyle name="Гиперссылка 2" xfId="29378" hidden="1"/>
    <cellStyle name="Гиперссылка 2" xfId="29008" hidden="1"/>
    <cellStyle name="Гиперссылка 2" xfId="29015" hidden="1"/>
    <cellStyle name="Гиперссылка 2" xfId="29320" hidden="1"/>
    <cellStyle name="Гиперссылка 2" xfId="29473" hidden="1"/>
    <cellStyle name="Гиперссылка 2" xfId="29505" hidden="1"/>
    <cellStyle name="Гиперссылка 2" xfId="29357" hidden="1"/>
    <cellStyle name="Гиперссылка 2" xfId="29465" hidden="1"/>
    <cellStyle name="Гиперссылка 2" xfId="29576" hidden="1"/>
    <cellStyle name="Гиперссылка 2" xfId="29575" hidden="1"/>
    <cellStyle name="Гиперссылка 2" xfId="29589" hidden="1"/>
    <cellStyle name="Гиперссылка 2" xfId="29590" hidden="1"/>
    <cellStyle name="Гиперссылка 2" xfId="29596" hidden="1"/>
    <cellStyle name="Гиперссылка 2" xfId="29597" hidden="1"/>
    <cellStyle name="Гиперссылка 2" xfId="29593" hidden="1"/>
    <cellStyle name="Гиперссылка 2" xfId="29592" hidden="1"/>
    <cellStyle name="Гиперссылка 2" xfId="29595" hidden="1"/>
    <cellStyle name="Гиперссылка 2" xfId="29594" hidden="1"/>
    <cellStyle name="Гиперссылка 2" xfId="29599" hidden="1"/>
    <cellStyle name="Гиперссылка 2" xfId="29598" hidden="1"/>
    <cellStyle name="Гиперссылка 2" xfId="29601" hidden="1"/>
    <cellStyle name="Гиперссылка 2" xfId="29602" hidden="1"/>
    <cellStyle name="Гиперссылка 2" xfId="29607" hidden="1"/>
    <cellStyle name="Гиперссылка 2" xfId="29608" hidden="1"/>
    <cellStyle name="Гиперссылка 2" xfId="29604" hidden="1"/>
    <cellStyle name="Гиперссылка 2" xfId="29603" hidden="1"/>
    <cellStyle name="Гиперссылка 2" xfId="29606" hidden="1"/>
    <cellStyle name="Гиперссылка 2" xfId="29605" hidden="1"/>
    <cellStyle name="Гиперссылка 2" xfId="29610" hidden="1"/>
    <cellStyle name="Гиперссылка 2" xfId="29609" hidden="1"/>
    <cellStyle name="Гиперссылка 2" xfId="29611" hidden="1"/>
    <cellStyle name="Гиперссылка 2" xfId="29612" hidden="1"/>
    <cellStyle name="Гиперссылка 2" xfId="29617" hidden="1"/>
    <cellStyle name="Гиперссылка 2" xfId="29618" hidden="1"/>
    <cellStyle name="Гиперссылка 2" xfId="29614" hidden="1"/>
    <cellStyle name="Гиперссылка 2" xfId="29613" hidden="1"/>
    <cellStyle name="Гиперссылка 2" xfId="29616" hidden="1"/>
    <cellStyle name="Гиперссылка 2" xfId="29615" hidden="1"/>
    <cellStyle name="Гиперссылка 2" xfId="29620" hidden="1"/>
    <cellStyle name="Гиперссылка 2" xfId="29619" hidden="1"/>
    <cellStyle name="Гиперссылка 2" xfId="29466" hidden="1"/>
    <cellStyle name="Гиперссылка 2" xfId="29019" hidden="1"/>
    <cellStyle name="Гиперссылка 2" xfId="29326" hidden="1"/>
    <cellStyle name="Гиперссылка 2" xfId="29023" hidden="1"/>
    <cellStyle name="Гиперссылка 2" xfId="29551" hidden="1"/>
    <cellStyle name="Гиперссылка 2" xfId="29583" hidden="1"/>
    <cellStyle name="Гиперссылка 2" xfId="29340" hidden="1"/>
    <cellStyle name="Гиперссылка 2" xfId="29541" hidden="1"/>
    <cellStyle name="Гиперссылка 2" xfId="29657" hidden="1"/>
    <cellStyle name="Гиперссылка 2" xfId="29656" hidden="1"/>
    <cellStyle name="Гиперссылка 2" xfId="29672" hidden="1"/>
    <cellStyle name="Гиперссылка 2" xfId="29673" hidden="1"/>
    <cellStyle name="Гиперссылка 2" xfId="29678" hidden="1"/>
    <cellStyle name="Гиперссылка 2" xfId="29679" hidden="1"/>
    <cellStyle name="Гиперссылка 2" xfId="29675" hidden="1"/>
    <cellStyle name="Гиперссылка 2" xfId="29674" hidden="1"/>
    <cellStyle name="Гиперссылка 2" xfId="29677" hidden="1"/>
    <cellStyle name="Гиперссылка 2" xfId="29676" hidden="1"/>
    <cellStyle name="Гиперссылка 2" xfId="29681" hidden="1"/>
    <cellStyle name="Гиперссылка 2" xfId="29680" hidden="1"/>
    <cellStyle name="Гиперссылка 2" xfId="29683" hidden="1"/>
    <cellStyle name="Гиперссылка 2" xfId="29684" hidden="1"/>
    <cellStyle name="Гиперссылка 2" xfId="29689" hidden="1"/>
    <cellStyle name="Гиперссылка 2" xfId="29690" hidden="1"/>
    <cellStyle name="Гиперссылка 2" xfId="29686" hidden="1"/>
    <cellStyle name="Гиперссылка 2" xfId="29685" hidden="1"/>
    <cellStyle name="Гиперссылка 2" xfId="29688" hidden="1"/>
    <cellStyle name="Гиперссылка 2" xfId="29687" hidden="1"/>
    <cellStyle name="Гиперссылка 2" xfId="29692" hidden="1"/>
    <cellStyle name="Гиперссылка 2" xfId="29691" hidden="1"/>
    <cellStyle name="Гиперссылка 2" xfId="29693" hidden="1"/>
    <cellStyle name="Гиперссылка 2" xfId="29694" hidden="1"/>
    <cellStyle name="Гиперссылка 2" xfId="29699" hidden="1"/>
    <cellStyle name="Гиперссылка 2" xfId="29700" hidden="1"/>
    <cellStyle name="Гиперссылка 2" xfId="29696" hidden="1"/>
    <cellStyle name="Гиперссылка 2" xfId="29695" hidden="1"/>
    <cellStyle name="Гиперссылка 2" xfId="29698" hidden="1"/>
    <cellStyle name="Гиперссылка 2" xfId="29697" hidden="1"/>
    <cellStyle name="Гиперссылка 2" xfId="29702" hidden="1"/>
    <cellStyle name="Гиперссылка 2" xfId="29701" hidden="1"/>
    <cellStyle name="Гиперссылка 2" xfId="29542" hidden="1"/>
    <cellStyle name="Гиперссылка 2" xfId="29331" hidden="1"/>
    <cellStyle name="Гиперссылка 2" xfId="29263" hidden="1"/>
    <cellStyle name="Гиперссылка 2" xfId="29325" hidden="1"/>
    <cellStyle name="Гиперссылка 2" xfId="29630" hidden="1"/>
    <cellStyle name="Гиперссылка 2" xfId="29665" hidden="1"/>
    <cellStyle name="Гиперссылка 2" xfId="29261" hidden="1"/>
    <cellStyle name="Гиперссылка 2" xfId="29623" hidden="1"/>
    <cellStyle name="Гиперссылка 2" xfId="29730" hidden="1"/>
    <cellStyle name="Гиперссылка 2" xfId="29729" hidden="1"/>
    <cellStyle name="Гиперссылка 2" xfId="29742" hidden="1"/>
    <cellStyle name="Гиперссылка 2" xfId="29743" hidden="1"/>
    <cellStyle name="Гиперссылка 2" xfId="29748" hidden="1"/>
    <cellStyle name="Гиперссылка 2" xfId="29749" hidden="1"/>
    <cellStyle name="Гиперссылка 2" xfId="29745" hidden="1"/>
    <cellStyle name="Гиперссылка 2" xfId="29744" hidden="1"/>
    <cellStyle name="Гиперссылка 2" xfId="29747" hidden="1"/>
    <cellStyle name="Гиперссылка 2" xfId="29746" hidden="1"/>
    <cellStyle name="Гиперссылка 2" xfId="29751" hidden="1"/>
    <cellStyle name="Гиперссылка 2" xfId="29750" hidden="1"/>
    <cellStyle name="Гиперссылка 2" xfId="29753" hidden="1"/>
    <cellStyle name="Гиперссылка 2" xfId="29754" hidden="1"/>
    <cellStyle name="Гиперссылка 2" xfId="29759" hidden="1"/>
    <cellStyle name="Гиперссылка 2" xfId="29760" hidden="1"/>
    <cellStyle name="Гиперссылка 2" xfId="29756" hidden="1"/>
    <cellStyle name="Гиперссылка 2" xfId="29755" hidden="1"/>
    <cellStyle name="Гиперссылка 2" xfId="29758" hidden="1"/>
    <cellStyle name="Гиперссылка 2" xfId="29757" hidden="1"/>
    <cellStyle name="Гиперссылка 2" xfId="29762" hidden="1"/>
    <cellStyle name="Гиперссылка 2" xfId="29761" hidden="1"/>
    <cellStyle name="Гиперссылка 2" xfId="29763" hidden="1"/>
    <cellStyle name="Гиперссылка 2" xfId="29764" hidden="1"/>
    <cellStyle name="Гиперссылка 2" xfId="29769" hidden="1"/>
    <cellStyle name="Гиперссылка 2" xfId="29770" hidden="1"/>
    <cellStyle name="Гиперссылка 2" xfId="29766" hidden="1"/>
    <cellStyle name="Гиперссылка 2" xfId="29765" hidden="1"/>
    <cellStyle name="Гиперссылка 2" xfId="29768" hidden="1"/>
    <cellStyle name="Гиперссылка 2" xfId="29767" hidden="1"/>
    <cellStyle name="Гиперссылка 2" xfId="29772" hidden="1"/>
    <cellStyle name="Гиперссылка 2" xfId="29771" hidden="1"/>
    <cellStyle name="Гиперссылка 2" xfId="29624" hidden="1"/>
    <cellStyle name="Гиперссылка 2" xfId="29345" hidden="1"/>
    <cellStyle name="Гиперссылка 2" xfId="29386" hidden="1"/>
    <cellStyle name="Гиперссылка 2" xfId="29267" hidden="1"/>
    <cellStyle name="Гиперссылка 2" xfId="29710" hidden="1"/>
    <cellStyle name="Гиперссылка 2" xfId="29736" hidden="1"/>
    <cellStyle name="Гиперссылка 2" xfId="29399" hidden="1"/>
    <cellStyle name="Гиперссылка 2" xfId="29705" hidden="1"/>
    <cellStyle name="Гиперссылка 2" xfId="29808" hidden="1"/>
    <cellStyle name="Гиперссылка 2" xfId="29807" hidden="1"/>
    <cellStyle name="Гиперссылка 2" xfId="29819" hidden="1"/>
    <cellStyle name="Гиперссылка 2" xfId="29820" hidden="1"/>
    <cellStyle name="Гиперссылка 2" xfId="29825" hidden="1"/>
    <cellStyle name="Гиперссылка 2" xfId="29826" hidden="1"/>
    <cellStyle name="Гиперссылка 2" xfId="29822" hidden="1"/>
    <cellStyle name="Гиперссылка 2" xfId="29821" hidden="1"/>
    <cellStyle name="Гиперссылка 2" xfId="29824" hidden="1"/>
    <cellStyle name="Гиперссылка 2" xfId="29823" hidden="1"/>
    <cellStyle name="Гиперссылка 2" xfId="29828" hidden="1"/>
    <cellStyle name="Гиперссылка 2" xfId="29827" hidden="1"/>
    <cellStyle name="Гиперссылка 2" xfId="29830" hidden="1"/>
    <cellStyle name="Гиперссылка 2" xfId="29831" hidden="1"/>
    <cellStyle name="Гиперссылка 2" xfId="29836" hidden="1"/>
    <cellStyle name="Гиперссылка 2" xfId="29837" hidden="1"/>
    <cellStyle name="Гиперссылка 2" xfId="29833" hidden="1"/>
    <cellStyle name="Гиперссылка 2" xfId="29832" hidden="1"/>
    <cellStyle name="Гиперссылка 2" xfId="29835" hidden="1"/>
    <cellStyle name="Гиперссылка 2" xfId="29834" hidden="1"/>
    <cellStyle name="Гиперссылка 2" xfId="29839" hidden="1"/>
    <cellStyle name="Гиперссылка 2" xfId="29838" hidden="1"/>
    <cellStyle name="Гиперссылка 2" xfId="29840" hidden="1"/>
    <cellStyle name="Гиперссылка 2" xfId="29841" hidden="1"/>
    <cellStyle name="Гиперссылка 2" xfId="29846" hidden="1"/>
    <cellStyle name="Гиперссылка 2" xfId="29847" hidden="1"/>
    <cellStyle name="Гиперссылка 2" xfId="29843" hidden="1"/>
    <cellStyle name="Гиперссылка 2" xfId="29842" hidden="1"/>
    <cellStyle name="Гиперссылка 2" xfId="29845" hidden="1"/>
    <cellStyle name="Гиперссылка 2" xfId="29844" hidden="1"/>
    <cellStyle name="Гиперссылка 2" xfId="29849" hidden="1"/>
    <cellStyle name="Гиперссылка 2" xfId="29848" hidden="1"/>
    <cellStyle name="Гиперссылка 2" xfId="29706" hidden="1"/>
    <cellStyle name="Гиперссылка 2" xfId="29027" hidden="1"/>
    <cellStyle name="Гиперссылка 2" xfId="29470" hidden="1"/>
    <cellStyle name="Гиперссылка 2" xfId="29277" hidden="1"/>
    <cellStyle name="Гиперссылка 2" xfId="29786" hidden="1"/>
    <cellStyle name="Гиперссылка 2" xfId="29816" hidden="1"/>
    <cellStyle name="Гиперссылка 2" xfId="29486" hidden="1"/>
    <cellStyle name="Гиперссылка 2" xfId="29775" hidden="1"/>
    <cellStyle name="Гиперссылка 2" xfId="29879" hidden="1"/>
    <cellStyle name="Гиперссылка 2" xfId="29878" hidden="1"/>
    <cellStyle name="Гиперссылка 2" xfId="29889" hidden="1"/>
    <cellStyle name="Гиперссылка 2" xfId="29890" hidden="1"/>
    <cellStyle name="Гиперссылка 2" xfId="29895" hidden="1"/>
    <cellStyle name="Гиперссылка 2" xfId="29896" hidden="1"/>
    <cellStyle name="Гиперссылка 2" xfId="29892" hidden="1"/>
    <cellStyle name="Гиперссылка 2" xfId="29891" hidden="1"/>
    <cellStyle name="Гиперссылка 2" xfId="29894" hidden="1"/>
    <cellStyle name="Гиперссылка 2" xfId="29893" hidden="1"/>
    <cellStyle name="Гиперссылка 2" xfId="29898" hidden="1"/>
    <cellStyle name="Гиперссылка 2" xfId="29897" hidden="1"/>
    <cellStyle name="Гиперссылка 2" xfId="29899" hidden="1"/>
    <cellStyle name="Гиперссылка 2" xfId="29900" hidden="1"/>
    <cellStyle name="Гиперссылка 2" xfId="29905" hidden="1"/>
    <cellStyle name="Гиперссылка 2" xfId="29906" hidden="1"/>
    <cellStyle name="Гиперссылка 2" xfId="29902" hidden="1"/>
    <cellStyle name="Гиперссылка 2" xfId="29901" hidden="1"/>
    <cellStyle name="Гиперссылка 2" xfId="29904" hidden="1"/>
    <cellStyle name="Гиперссылка 2" xfId="29903" hidden="1"/>
    <cellStyle name="Гиперссылка 2" xfId="29908" hidden="1"/>
    <cellStyle name="Гиперссылка 2" xfId="29907" hidden="1"/>
    <cellStyle name="Гиперссылка 2" xfId="29909" hidden="1"/>
    <cellStyle name="Гиперссылка 2" xfId="29910" hidden="1"/>
    <cellStyle name="Гиперссылка 2" xfId="29915" hidden="1"/>
    <cellStyle name="Гиперссылка 2" xfId="29916" hidden="1"/>
    <cellStyle name="Гиперссылка 2" xfId="29912" hidden="1"/>
    <cellStyle name="Гиперссылка 2" xfId="29911" hidden="1"/>
    <cellStyle name="Гиперссылка 2" xfId="29914" hidden="1"/>
    <cellStyle name="Гиперссылка 2" xfId="29913" hidden="1"/>
    <cellStyle name="Гиперссылка 2" xfId="29918" hidden="1"/>
    <cellStyle name="Гиперссылка 2" xfId="29917" hidden="1"/>
    <cellStyle name="Гиперссылка 2" xfId="29776" hidden="1"/>
    <cellStyle name="Гиперссылка 2" xfId="29255" hidden="1"/>
    <cellStyle name="Гиперссылка 2" xfId="29548" hidden="1"/>
    <cellStyle name="Гиперссылка 2" xfId="29406" hidden="1"/>
    <cellStyle name="Гиперссылка 2" xfId="29861" hidden="1"/>
    <cellStyle name="Гиперссылка 2" xfId="29885" hidden="1"/>
    <cellStyle name="Гиперссылка 2" xfId="29559" hidden="1"/>
    <cellStyle name="Гиперссылка 2" xfId="29854" hidden="1"/>
    <cellStyle name="Гиперссылка 2" xfId="29942" hidden="1"/>
    <cellStyle name="Гиперссылка 2" xfId="29941" hidden="1"/>
    <cellStyle name="Гиперссылка 2" xfId="29953" hidden="1"/>
    <cellStyle name="Гиперссылка 2" xfId="29954" hidden="1"/>
    <cellStyle name="Гиперссылка 2" xfId="29959" hidden="1"/>
    <cellStyle name="Гиперссылка 2" xfId="29960" hidden="1"/>
    <cellStyle name="Гиперссылка 2" xfId="29956" hidden="1"/>
    <cellStyle name="Гиперссылка 2" xfId="29955" hidden="1"/>
    <cellStyle name="Гиперссылка 2" xfId="29958" hidden="1"/>
    <cellStyle name="Гиперссылка 2" xfId="29957" hidden="1"/>
    <cellStyle name="Гиперссылка 2" xfId="29962" hidden="1"/>
    <cellStyle name="Гиперссылка 2" xfId="29961" hidden="1"/>
    <cellStyle name="Гиперссылка 2" xfId="29965" hidden="1"/>
    <cellStyle name="Гиперссылка 2" xfId="29966" hidden="1"/>
    <cellStyle name="Гиперссылка 2" xfId="29971" hidden="1"/>
    <cellStyle name="Гиперссылка 2" xfId="29972" hidden="1"/>
    <cellStyle name="Гиперссылка 2" xfId="29968" hidden="1"/>
    <cellStyle name="Гиперссылка 2" xfId="29967" hidden="1"/>
    <cellStyle name="Гиперссылка 2" xfId="29970" hidden="1"/>
    <cellStyle name="Гиперссылка 2" xfId="29969" hidden="1"/>
    <cellStyle name="Гиперссылка 2" xfId="29974" hidden="1"/>
    <cellStyle name="Гиперссылка 2" xfId="29973" hidden="1"/>
    <cellStyle name="Гиперссылка 2" xfId="29975" hidden="1"/>
    <cellStyle name="Гиперссылка 2" xfId="29976" hidden="1"/>
    <cellStyle name="Гиперссылка 2" xfId="29981" hidden="1"/>
    <cellStyle name="Гиперссылка 2" xfId="29982" hidden="1"/>
    <cellStyle name="Гиперссылка 2" xfId="29978" hidden="1"/>
    <cellStyle name="Гиперссылка 2" xfId="29977" hidden="1"/>
    <cellStyle name="Гиперссылка 2" xfId="29980" hidden="1"/>
    <cellStyle name="Гиперссылка 2" xfId="29979" hidden="1"/>
    <cellStyle name="Гиперссылка 2" xfId="29984" hidden="1"/>
    <cellStyle name="Гиперссылка 2" xfId="29983" hidden="1"/>
    <cellStyle name="Гиперссылка 2" xfId="29855" hidden="1"/>
    <cellStyle name="Гиперссылка 2" xfId="29394" hidden="1"/>
    <cellStyle name="Гиперссылка 2" xfId="29628" hidden="1"/>
    <cellStyle name="Гиперссылка 2" xfId="29488" hidden="1"/>
    <cellStyle name="Гиперссылка 2" xfId="29924" hidden="1"/>
    <cellStyle name="Гиперссылка 2" xfId="29948" hidden="1"/>
    <cellStyle name="Гиперссылка 2" xfId="29642" hidden="1"/>
    <cellStyle name="Гиперссылка 2" xfId="29920" hidden="1"/>
    <cellStyle name="Гиперссылка 2" xfId="30007" hidden="1"/>
    <cellStyle name="Гиперссылка 2" xfId="30006" hidden="1"/>
    <cellStyle name="Гиперссылка 2" xfId="30018" hidden="1"/>
    <cellStyle name="Гиперссылка 2" xfId="30019" hidden="1"/>
    <cellStyle name="Гиперссылка 2" xfId="30024" hidden="1"/>
    <cellStyle name="Гиперссылка 2" xfId="30025" hidden="1"/>
    <cellStyle name="Гиперссылка 2" xfId="30021" hidden="1"/>
    <cellStyle name="Гиперссылка 2" xfId="30020" hidden="1"/>
    <cellStyle name="Гиперссылка 2" xfId="30023" hidden="1"/>
    <cellStyle name="Гиперссылка 2" xfId="30022" hidden="1"/>
    <cellStyle name="Гиперссылка 2" xfId="30027" hidden="1"/>
    <cellStyle name="Гиперссылка 2" xfId="30026" hidden="1"/>
    <cellStyle name="Гиперссылка 2" xfId="30028" hidden="1"/>
    <cellStyle name="Гиперссылка 2" xfId="30029" hidden="1"/>
    <cellStyle name="Гиперссылка 2" xfId="30034" hidden="1"/>
    <cellStyle name="Гиперссылка 2" xfId="30035" hidden="1"/>
    <cellStyle name="Гиперссылка 2" xfId="30031" hidden="1"/>
    <cellStyle name="Гиперссылка 2" xfId="30030" hidden="1"/>
    <cellStyle name="Гиперссылка 2" xfId="30033" hidden="1"/>
    <cellStyle name="Гиперссылка 2" xfId="30032" hidden="1"/>
    <cellStyle name="Гиперссылка 2" xfId="30037" hidden="1"/>
    <cellStyle name="Гиперссылка 2" xfId="30036" hidden="1"/>
    <cellStyle name="Гиперссылка 2" xfId="30038" hidden="1"/>
    <cellStyle name="Гиперссылка 2" xfId="30039" hidden="1"/>
    <cellStyle name="Гиперссылка 2" xfId="30044" hidden="1"/>
    <cellStyle name="Гиперссылка 2" xfId="30045" hidden="1"/>
    <cellStyle name="Гиперссылка 2" xfId="30041" hidden="1"/>
    <cellStyle name="Гиперссылка 2" xfId="30040" hidden="1"/>
    <cellStyle name="Гиперссылка 2" xfId="30043" hidden="1"/>
    <cellStyle name="Гиперссылка 2" xfId="30042" hidden="1"/>
    <cellStyle name="Гиперссылка 2" xfId="30047" hidden="1"/>
    <cellStyle name="Гиперссылка 2" xfId="30046" hidden="1"/>
    <cellStyle name="Гиперссылка 2" xfId="29921" hidden="1"/>
    <cellStyle name="Гиперссылка 2" xfId="29478" hidden="1"/>
    <cellStyle name="Гиперссылка 2" xfId="29708" hidden="1"/>
    <cellStyle name="Гиперссылка 2" xfId="29565" hidden="1"/>
    <cellStyle name="Гиперссылка 2" xfId="29992" hidden="1"/>
    <cellStyle name="Гиперссылка 2" xfId="30014" hidden="1"/>
    <cellStyle name="Гиперссылка 2" xfId="29717" hidden="1"/>
    <cellStyle name="Гиперссылка 2" xfId="29988" hidden="1"/>
    <cellStyle name="Гиперссылка 2" xfId="30068" hidden="1"/>
    <cellStyle name="Гиперссылка 2" xfId="30067" hidden="1"/>
    <cellStyle name="Гиперссылка 2" xfId="30075" hidden="1"/>
    <cellStyle name="Гиперссылка 2" xfId="30076" hidden="1"/>
    <cellStyle name="Гиперссылка 2" xfId="30081" hidden="1"/>
    <cellStyle name="Гиперссылка 2" xfId="30082" hidden="1"/>
    <cellStyle name="Гиперссылка 2" xfId="30078" hidden="1"/>
    <cellStyle name="Гиперссылка 2" xfId="30077" hidden="1"/>
    <cellStyle name="Гиперссылка 2" xfId="30080" hidden="1"/>
    <cellStyle name="Гиперссылка 2" xfId="30079" hidden="1"/>
    <cellStyle name="Гиперссылка 2" xfId="30084" hidden="1"/>
    <cellStyle name="Гиперссылка 2" xfId="30083" hidden="1"/>
    <cellStyle name="Гиперссылка 2" xfId="30086" hidden="1"/>
    <cellStyle name="Гиперссылка 2" xfId="30087" hidden="1"/>
    <cellStyle name="Гиперссылка 2" xfId="30092" hidden="1"/>
    <cellStyle name="Гиперссылка 2" xfId="30093" hidden="1"/>
    <cellStyle name="Гиперссылка 2" xfId="30089" hidden="1"/>
    <cellStyle name="Гиперссылка 2" xfId="30088" hidden="1"/>
    <cellStyle name="Гиперссылка 2" xfId="30091" hidden="1"/>
    <cellStyle name="Гиперссылка 2" xfId="30090" hidden="1"/>
    <cellStyle name="Гиперссылка 2" xfId="30095" hidden="1"/>
    <cellStyle name="Гиперссылка 2" xfId="30094" hidden="1"/>
    <cellStyle name="Гиперссылка 2" xfId="30096" hidden="1"/>
    <cellStyle name="Гиперссылка 2" xfId="30097" hidden="1"/>
    <cellStyle name="Гиперссылка 2" xfId="30102" hidden="1"/>
    <cellStyle name="Гиперссылка 2" xfId="30103" hidden="1"/>
    <cellStyle name="Гиперссылка 2" xfId="30099" hidden="1"/>
    <cellStyle name="Гиперссылка 2" xfId="30098" hidden="1"/>
    <cellStyle name="Гиперссылка 2" xfId="30101" hidden="1"/>
    <cellStyle name="Гиперссылка 2" xfId="30100" hidden="1"/>
    <cellStyle name="Гиперссылка 2" xfId="30105" hidden="1"/>
    <cellStyle name="Гиперссылка 2" xfId="30104" hidden="1"/>
    <cellStyle name="Гиперссылка 2" xfId="29989" hidden="1"/>
    <cellStyle name="Гиперссылка 2" xfId="29554" hidden="1"/>
    <cellStyle name="Гиперссылка 2" xfId="29783" hidden="1"/>
    <cellStyle name="Гиперссылка 2" xfId="29648" hidden="1"/>
    <cellStyle name="Гиперссылка 2" xfId="30051" hidden="1"/>
    <cellStyle name="Гиперссылка 2" xfId="30073" hidden="1"/>
    <cellStyle name="Гиперссылка 2" xfId="29795" hidden="1"/>
    <cellStyle name="Гиперссылка 2" xfId="30049" hidden="1"/>
    <cellStyle name="Гиперссылка 2" xfId="30118" hidden="1"/>
    <cellStyle name="Гиперссылка 2" xfId="30117" hidden="1"/>
    <cellStyle name="Гиперссылка 2" xfId="30122" hidden="1"/>
    <cellStyle name="Гиперссылка 2" xfId="30123" hidden="1"/>
    <cellStyle name="Гиперссылка 2" xfId="30128" hidden="1"/>
    <cellStyle name="Гиперссылка 2" xfId="30129" hidden="1"/>
    <cellStyle name="Гиперссылка 2" xfId="30125" hidden="1"/>
    <cellStyle name="Гиперссылка 2" xfId="30124" hidden="1"/>
    <cellStyle name="Гиперссылка 2" xfId="30127" hidden="1"/>
    <cellStyle name="Гиперссылка 2" xfId="30126" hidden="1"/>
    <cellStyle name="Гиперссылка 2" xfId="30131" hidden="1"/>
    <cellStyle name="Гиперссылка 2" xfId="30130" hidden="1"/>
    <cellStyle name="Гиперссылка 2" xfId="30132" hidden="1"/>
    <cellStyle name="Гиперссылка 2" xfId="30133" hidden="1"/>
    <cellStyle name="Гиперссылка 2" xfId="30138" hidden="1"/>
    <cellStyle name="Гиперссылка 2" xfId="30139" hidden="1"/>
    <cellStyle name="Гиперссылка 2" xfId="30135" hidden="1"/>
    <cellStyle name="Гиперссылка 2" xfId="30134" hidden="1"/>
    <cellStyle name="Гиперссылка 2" xfId="30137" hidden="1"/>
    <cellStyle name="Гиперссылка 2" xfId="30136" hidden="1"/>
    <cellStyle name="Гиперссылка 2" xfId="30141" hidden="1"/>
    <cellStyle name="Гиперссылка 2" xfId="30140" hidden="1"/>
    <cellStyle name="Гиперссылка 2" xfId="30142" hidden="1"/>
    <cellStyle name="Гиперссылка 2" xfId="30143" hidden="1"/>
    <cellStyle name="Гиперссылка 2" xfId="30148" hidden="1"/>
    <cellStyle name="Гиперссылка 2" xfId="30149" hidden="1"/>
    <cellStyle name="Гиперссылка 2" xfId="30145" hidden="1"/>
    <cellStyle name="Гиперссылка 2" xfId="30144" hidden="1"/>
    <cellStyle name="Гиперссылка 2" xfId="30147" hidden="1"/>
    <cellStyle name="Гиперссылка 2" xfId="30146" hidden="1"/>
    <cellStyle name="Гиперссылка 2" xfId="30151" hidden="1"/>
    <cellStyle name="Гиперссылка 2" xfId="30150" hidden="1"/>
    <cellStyle name="Гиперссылка 2" xfId="30050" hidden="1"/>
    <cellStyle name="Гиперссылка 2" xfId="29636" hidden="1"/>
    <cellStyle name="Гиперссылка 2" xfId="29860" hidden="1"/>
    <cellStyle name="Гиперссылка 2" xfId="29723" hidden="1"/>
    <cellStyle name="Гиперссылка 2" xfId="30110" hidden="1"/>
    <cellStyle name="Гиперссылка 2" xfId="30121" hidden="1"/>
    <cellStyle name="Гиперссылка 2" xfId="29868" hidden="1"/>
    <cellStyle name="Гиперссылка 2" xfId="30107" hidden="1"/>
    <cellStyle name="Гиперссылка 2" xfId="30153" hidden="1"/>
    <cellStyle name="Гиперссылка 2" xfId="30152" hidden="1"/>
    <cellStyle name="Гиперссылка 2" xfId="30154" hidden="1"/>
    <cellStyle name="Гиперссылка 2" xfId="30155" hidden="1"/>
    <cellStyle name="Гиперссылка 2" xfId="30160" hidden="1"/>
    <cellStyle name="Гиперссылка 2" xfId="30161" hidden="1"/>
    <cellStyle name="Гиперссылка 2" xfId="30157" hidden="1"/>
    <cellStyle name="Гиперссылка 2" xfId="30156" hidden="1"/>
    <cellStyle name="Гиперссылка 2" xfId="30159" hidden="1"/>
    <cellStyle name="Гиперссылка 2" xfId="30158" hidden="1"/>
    <cellStyle name="Гиперссылка 2" xfId="30163" hidden="1"/>
    <cellStyle name="Гиперссылка 2" xfId="30162" hidden="1"/>
    <cellStyle name="Гиперссылка 2" xfId="30164" hidden="1"/>
    <cellStyle name="Гиперссылка 2" xfId="30165" hidden="1"/>
    <cellStyle name="Гиперссылка 2" xfId="30170" hidden="1"/>
    <cellStyle name="Гиперссылка 2" xfId="30171" hidden="1"/>
    <cellStyle name="Гиперссылка 2" xfId="30167" hidden="1"/>
    <cellStyle name="Гиперссылка 2" xfId="30166" hidden="1"/>
    <cellStyle name="Гиперссылка 2" xfId="30169" hidden="1"/>
    <cellStyle name="Гиперссылка 2" xfId="30168" hidden="1"/>
    <cellStyle name="Гиперссылка 2" xfId="30173" hidden="1"/>
    <cellStyle name="Гиперссылка 2" xfId="30172" hidden="1"/>
    <cellStyle name="Гиперссылка 2" xfId="30174" hidden="1"/>
    <cellStyle name="Гиперссылка 2" xfId="30175" hidden="1"/>
    <cellStyle name="Гиперссылка 2" xfId="30180" hidden="1"/>
    <cellStyle name="Гиперссылка 2" xfId="30181" hidden="1"/>
    <cellStyle name="Гиперссылка 2" xfId="30177" hidden="1"/>
    <cellStyle name="Гиперссылка 2" xfId="30176" hidden="1"/>
    <cellStyle name="Гиперссылка 2" xfId="30179" hidden="1"/>
    <cellStyle name="Гиперссылка 2" xfId="30178" hidden="1"/>
    <cellStyle name="Гиперссылка 2" xfId="30183" hidden="1"/>
    <cellStyle name="Гиперссылка 2" xfId="30182" hidden="1"/>
    <cellStyle name="Гиперссылка 2" xfId="29588" hidden="1"/>
    <cellStyle name="Гиперссылка 2" xfId="25805" hidden="1"/>
    <cellStyle name="Гиперссылка 2" xfId="29944" hidden="1"/>
    <cellStyle name="Гиперссылка 2" xfId="29014" hidden="1"/>
    <cellStyle name="Гиперссылка 2" xfId="29791" hidden="1"/>
    <cellStyle name="Гиперссылка 2" xfId="29260" hidden="1"/>
    <cellStyle name="Гиперссылка 2" xfId="29172" hidden="1"/>
    <cellStyle name="Гиперссылка 2" xfId="29163" hidden="1"/>
    <cellStyle name="Гиперссылка 2" xfId="29182" hidden="1"/>
    <cellStyle name="Гиперссылка 2" xfId="29006" hidden="1"/>
    <cellStyle name="Гиперссылка 2" xfId="30062" hidden="1"/>
    <cellStyle name="Гиперссылка 2" xfId="29934" hidden="1"/>
    <cellStyle name="Гиперссылка 2" xfId="29491" hidden="1"/>
    <cellStyle name="Гиперссылка 2" xfId="25691" hidden="1"/>
    <cellStyle name="Гиперссылка 2" xfId="29874" hidden="1"/>
    <cellStyle name="Гиперссылка 2" xfId="30003" hidden="1"/>
    <cellStyle name="Гиперссылка 2" xfId="29652" hidden="1"/>
    <cellStyle name="Гиперссылка 2" xfId="29727" hidden="1"/>
    <cellStyle name="Гиперссылка 2" xfId="29716" hidden="1"/>
    <cellStyle name="Гиперссылка 2" xfId="25720" hidden="1"/>
    <cellStyle name="Гиперссылка 2" xfId="25799" hidden="1"/>
    <cellStyle name="Гиперссылка 2" xfId="29249" hidden="1"/>
    <cellStyle name="Гиперссылка 2" xfId="29049" hidden="1"/>
    <cellStyle name="Гиперссылка 2" xfId="29046" hidden="1"/>
    <cellStyle name="Гиперссылка 2" xfId="29338" hidden="1"/>
    <cellStyle name="Гиперссылка 2" xfId="29353" hidden="1"/>
    <cellStyle name="Гиперссылка 2" xfId="29151" hidden="1"/>
    <cellStyle name="Гиперссылка 2" xfId="29154" hidden="1"/>
    <cellStyle name="Гиперссылка 2" xfId="29206" hidden="1"/>
    <cellStyle name="Гиперссылка 2" xfId="29035" hidden="1"/>
    <cellStyle name="Гиперссылка 2" xfId="29148" hidden="1"/>
    <cellStyle name="Гиперссылка 2" xfId="29098" hidden="1"/>
    <cellStyle name="Гиперссылка 2" xfId="29139" hidden="1"/>
    <cellStyle name="Гиперссылка 2" xfId="29108" hidden="1"/>
    <cellStyle name="Гиперссылка 2" xfId="29128" hidden="1"/>
    <cellStyle name="Гиперссылка 2" xfId="29190" hidden="1"/>
    <cellStyle name="Гиперссылка 2" xfId="29200" hidden="1"/>
    <cellStyle name="Гиперссылка 2" xfId="28989" hidden="1"/>
    <cellStyle name="Гиперссылка 2" xfId="29143" hidden="1"/>
    <cellStyle name="Гиперссылка 2" xfId="29184" hidden="1"/>
    <cellStyle name="Гиперссылка 2" xfId="25700" hidden="1"/>
    <cellStyle name="Гиперссылка 2" xfId="29271" hidden="1"/>
    <cellStyle name="Гиперссылка 2" xfId="29178" hidden="1"/>
    <cellStyle name="Гиперссылка 2" xfId="29117" hidden="1"/>
    <cellStyle name="Гиперссылка 2" xfId="29199" hidden="1"/>
    <cellStyle name="Гиперссылка 2" xfId="29469" hidden="1"/>
    <cellStyle name="Гиперссылка 2" xfId="29996" hidden="1"/>
    <cellStyle name="Гиперссылка 2" xfId="30056" hidden="1"/>
    <cellStyle name="Гиперссылка 2" xfId="29082" hidden="1"/>
    <cellStyle name="Гиперссылка 2" xfId="29310" hidden="1"/>
    <cellStyle name="Гиперссылка 2" xfId="29778" hidden="1"/>
    <cellStyle name="Гиперссылка 2" xfId="29627" hidden="1"/>
    <cellStyle name="Гиперссылка 2" xfId="29113" hidden="1"/>
    <cellStyle name="Гиперссылка 2" xfId="29667" hidden="1"/>
    <cellStyle name="Гиперссылка 2" xfId="29402" hidden="1"/>
    <cellStyle name="Гиперссылка 2" xfId="25716" hidden="1"/>
    <cellStyle name="Гиперссылка 2" xfId="29175" hidden="1"/>
    <cellStyle name="Гиперссылка 2" xfId="29159" hidden="1"/>
    <cellStyle name="Гиперссылка 2" xfId="29342" hidden="1"/>
    <cellStyle name="Гиперссылка 2" xfId="29425" hidden="1"/>
    <cellStyle name="Гиперссылка 2" xfId="30015" hidden="1"/>
    <cellStyle name="Гиперссылка 2" xfId="29886" hidden="1"/>
    <cellStyle name="Гиперссылка 2" xfId="29645" hidden="1"/>
    <cellStyle name="Гиперссылка 2" xfId="25715" hidden="1"/>
    <cellStyle name="Гиперссылка 2" xfId="30000" hidden="1"/>
    <cellStyle name="Гиперссылка 2" xfId="30113" hidden="1"/>
    <cellStyle name="Гиперссылка 2" xfId="29798" hidden="1"/>
    <cellStyle name="Гиперссылка 2" xfId="29870" hidden="1"/>
    <cellStyle name="Гиперссылка 2" xfId="29161" hidden="1"/>
    <cellStyle name="Гиперссылка 2" xfId="29241" hidden="1"/>
    <cellStyle name="Гиперссылка 2" xfId="29079" hidden="1"/>
    <cellStyle name="Гиперссылка 2" xfId="29662" hidden="1"/>
    <cellStyle name="Гиперссылка 2" xfId="29882" hidden="1"/>
    <cellStyle name="Гиперссылка 2" xfId="29733" hidden="1"/>
    <cellStyle name="Гиперссылка 2" xfId="29361" hidden="1"/>
    <cellStyle name="Гиперссылка 2" xfId="29420" hidden="1"/>
    <cellStyle name="Гиперссылка 2" xfId="30011" hidden="1"/>
    <cellStyle name="Гиперссылка 2" xfId="29077" hidden="1"/>
    <cellStyle name="Гиперссылка 2" xfId="30012" hidden="1"/>
    <cellStyle name="Гиперссылка 2" xfId="30071" hidden="1"/>
    <cellStyle name="Гиперссылка 2" xfId="29494" hidden="1"/>
    <cellStyle name="Гиперссылка 2" xfId="29481" hidden="1"/>
    <cellStyle name="Гиперссылка 2" xfId="29935" hidden="1"/>
    <cellStyle name="Гиперссылка 2" xfId="29057" hidden="1"/>
    <cellStyle name="Гиперссылка 2" xfId="29374" hidden="1"/>
    <cellStyle name="Гиперссылка 2" xfId="29245" hidden="1"/>
    <cellStyle name="Гиперссылка 2" xfId="29712" hidden="1"/>
    <cellStyle name="Гиперссылка 2" xfId="29707" hidden="1"/>
    <cellStyle name="Гиперссылка 2" xfId="29168" hidden="1"/>
    <cellStyle name="Гиперссылка 2" xfId="29173" hidden="1"/>
    <cellStyle name="Гиперссылка 2" xfId="29301" hidden="1"/>
    <cellStyle name="Гиперссылка 2" xfId="29242" hidden="1"/>
    <cellStyle name="Гиперссылка 2" xfId="29600" hidden="1"/>
    <cellStyle name="Гиперссылка 2" xfId="29439" hidden="1"/>
    <cellStyle name="Гиперссылка 2" xfId="29963" hidden="1"/>
    <cellStyle name="Гиперссылка 2" xfId="29268" hidden="1"/>
    <cellStyle name="Гиперссылка 2" xfId="29752" hidden="1"/>
    <cellStyle name="Гиперссылка 2" xfId="29829" hidden="1"/>
    <cellStyle name="Гиперссылка 2" xfId="25705" hidden="1"/>
    <cellStyle name="Гиперссылка 2" xfId="25712" hidden="1"/>
    <cellStyle name="Гиперссылка 2" xfId="29718" hidden="1"/>
    <cellStyle name="Гиперссылка 2" xfId="29643" hidden="1"/>
    <cellStyle name="Гиперссылка 2" xfId="25800" hidden="1"/>
    <cellStyle name="Гиперссылка 2" xfId="29126" hidden="1"/>
    <cellStyle name="Гиперссылка 2" xfId="29336" hidden="1"/>
    <cellStyle name="Гиперссылка 2" xfId="29400" hidden="1"/>
    <cellStyle name="Гиперссылка 2" xfId="28995" hidden="1"/>
    <cellStyle name="Гиперссылка 2" xfId="29022" hidden="1"/>
    <cellStyle name="Гиперссылка 2" xfId="29038" hidden="1"/>
    <cellStyle name="Гиперссылка 2" xfId="29041" hidden="1"/>
    <cellStyle name="Гиперссылка 2" xfId="29205" hidden="1"/>
    <cellStyle name="Гиперссылка 2" xfId="29147" hidden="1"/>
    <cellStyle name="Гиперссылка 2" xfId="29201" hidden="1"/>
    <cellStyle name="Гиперссылка 2" xfId="29141" hidden="1"/>
    <cellStyle name="Гиперссылка 2" xfId="29192" hidden="1"/>
    <cellStyle name="Гиперссылка 2" xfId="29031" hidden="1"/>
    <cellStyle name="Гиперссылка 2" xfId="29099" hidden="1"/>
    <cellStyle name="Гиперссылка 2" xfId="29131" hidden="1"/>
    <cellStyle name="Гиперссылка 2" xfId="29203" hidden="1"/>
    <cellStyle name="Гиперссылка 2" xfId="29103" hidden="1"/>
    <cellStyle name="Гиперссылка 2" xfId="29625" hidden="1"/>
    <cellStyle name="Гиперссылка 2" xfId="29289" hidden="1"/>
    <cellStyle name="Гиперссылка 2" xfId="29198" hidden="1"/>
    <cellStyle name="Гиперссылка 2" xfId="29120" hidden="1"/>
    <cellStyle name="Гиперссылка 2" xfId="28990" hidden="1"/>
    <cellStyle name="Гиперссылка 2" xfId="25713" hidden="1"/>
    <cellStyle name="Гиперссылка 2" xfId="29940" hidden="1"/>
    <cellStyle name="Гиперссылка 2" xfId="29337" hidden="1"/>
    <cellStyle name="Гиперссылка 2" xfId="25689" hidden="1"/>
    <cellStyle name="Гиперссылка 2" xfId="29030" hidden="1"/>
    <cellStyle name="Гиперссылка 2" xfId="29719" hidden="1"/>
    <cellStyle name="Гиперссылка 2" xfId="29560" hidden="1"/>
    <cellStyle name="Гиперссылка 2" xfId="29257" hidden="1"/>
    <cellStyle name="Гиперссылка 2" xfId="29324" hidden="1"/>
    <cellStyle name="Гиперссылка 2" xfId="30058" hidden="1"/>
    <cellStyle name="Гиперссылка 2" xfId="29069" hidden="1"/>
    <cellStyle name="Гиперссылка 2" xfId="29869" hidden="1"/>
    <cellStyle name="Гиперссылка 2" xfId="29932" hidden="1"/>
    <cellStyle name="Гиперссылка 2" xfId="29018" hidden="1"/>
    <cellStyle name="Гиперссылка 2" xfId="29368" hidden="1"/>
    <cellStyle name="Гиперссылка 2" xfId="29280" hidden="1"/>
    <cellStyle name="Гиперссылка 2" xfId="29013" hidden="1"/>
    <cellStyle name="Гиперссылка 2" xfId="29335" hidden="1"/>
    <cellStyle name="Гиперссылка 2" xfId="29067" hidden="1"/>
    <cellStyle name="Гиперссылка 2" xfId="29460" hidden="1"/>
    <cellStyle name="Гиперссылка 2" xfId="29129" hidden="1"/>
    <cellStyle name="Гиперссылка 2" xfId="29352" hidden="1"/>
    <cellStyle name="Гиперссылка 2" xfId="29287" hidden="1"/>
    <cellStyle name="Гиперссылка 2" xfId="29621" hidden="1"/>
    <cellStyle name="Гиперссылка 2" xfId="29703" hidden="1"/>
    <cellStyle name="Гиперссылка 2" xfId="29009" hidden="1"/>
    <cellStyle name="Гиперссылка 2" xfId="29544" hidden="1"/>
    <cellStyle name="Гиперссылка 2" xfId="29412" hidden="1"/>
    <cellStyle name="Гиперссылка 2" xfId="29167" hidden="1"/>
    <cellStyle name="Гиперссылка 2" xfId="29334" hidden="1"/>
    <cellStyle name="Гиперссылка 2" xfId="29313" hidden="1"/>
    <cellStyle name="Гиперссылка 2" xfId="25804" hidden="1"/>
    <cellStyle name="Гиперссылка 2" xfId="29252" hidden="1"/>
    <cellStyle name="Гиперссылка 2" xfId="29580" hidden="1"/>
    <cellStyle name="Гиперссылка 2" xfId="29073" hidden="1"/>
    <cellStyle name="Гиперссылка 2" xfId="29372" hidden="1"/>
    <cellStyle name="Гиперссылка 2" xfId="29853" hidden="1"/>
    <cellStyle name="Гиперссылка 2" xfId="29669" hidden="1"/>
    <cellStyle name="Гиперссылка 2" xfId="29258" hidden="1"/>
    <cellStyle name="Гиперссылка 2" xfId="29036" hidden="1"/>
    <cellStyle name="Гиперссылка 2" xfId="29864" hidden="1"/>
    <cellStyle name="Гиперссылка 2" xfId="29119" hidden="1"/>
    <cellStyle name="Гиперссылка 2" xfId="25816" hidden="1"/>
    <cellStyle name="Гиперссылка 2" xfId="29064" hidden="1"/>
    <cellStyle name="Гиперссылка 2" xfId="29293" hidden="1"/>
    <cellStyle name="Гиперссылка 2" xfId="30001" hidden="1"/>
    <cellStyle name="Гиперссылка 2" xfId="29871" hidden="1"/>
    <cellStyle name="Гиперссылка 2" xfId="25704" hidden="1"/>
    <cellStyle name="Гиперссылка 2" xfId="25719" hidden="1"/>
    <cellStyle name="Гиперссылка 2" xfId="25699" hidden="1"/>
    <cellStyle name="Гиперссылка 2" xfId="29563" hidden="1"/>
    <cellStyle name="Гиперссылка 2" xfId="25709" hidden="1"/>
    <cellStyle name="Гиперссылка 2" xfId="25693" hidden="1"/>
    <cellStyle name="Гиперссылка 2" xfId="25724" hidden="1"/>
    <cellStyle name="Гиперссылка 2" xfId="25698" hidden="1"/>
    <cellStyle name="Гиперссылка 2" xfId="29193" hidden="1"/>
    <cellStyle name="Гиперссылка 2" xfId="29132" hidden="1"/>
    <cellStyle name="Гиперссылка 2" xfId="30115" hidden="1"/>
    <cellStyle name="Гиперссылка 2" xfId="30002" hidden="1"/>
    <cellStyle name="Гиперссылка 2" xfId="29566" hidden="1"/>
    <cellStyle name="Гиперссылка 2" xfId="29724" hidden="1"/>
    <cellStyle name="Гиперссылка 2" xfId="29297" hidden="1"/>
    <cellStyle name="Гиперссылка 2" xfId="29407" hidden="1"/>
    <cellStyle name="Гиперссылка 2" xfId="29794" hidden="1"/>
    <cellStyle name="Гиперссылка 2" xfId="29010" hidden="1"/>
    <cellStyle name="Гиперссылка 2" xfId="29639" hidden="1"/>
    <cellStyle name="Гиперссылка 2" xfId="29485" hidden="1"/>
    <cellStyle name="Гиперссылка 2" xfId="29162" hidden="1"/>
    <cellStyle name="Гиперссылка 2" xfId="29100" hidden="1"/>
    <cellStyle name="Гиперссылка 2" xfId="25793" hidden="1"/>
    <cellStyle name="Гиперссылка 2" xfId="29348" hidden="1"/>
    <cellStyle name="Гиперссылка 2" xfId="29016" hidden="1"/>
    <cellStyle name="Гиперссылка 2" xfId="29349" hidden="1"/>
    <cellStyle name="Гиперссылка 2" xfId="29281" hidden="1"/>
    <cellStyle name="Гиперссылка 2" xfId="29240" hidden="1"/>
    <cellStyle name="Гиперссылка 2" xfId="25815" hidden="1"/>
    <cellStyle name="Гиперссылка 2" xfId="29254" hidden="1"/>
    <cellStyle name="Гиперссылка 2" xfId="29152" hidden="1"/>
    <cellStyle name="Гиперссылка 2" xfId="29740" hidden="1"/>
    <cellStyle name="Гиперссылка 2" xfId="30061" hidden="1"/>
    <cellStyle name="Гиперссылка 2" xfId="29637" hidden="1"/>
    <cellStyle name="Гиперссылка 2" xfId="29585" hidden="1"/>
    <cellStyle name="Гиперссылка 2" xfId="30066" hidden="1"/>
    <cellStyle name="Гиперссылка 2" xfId="29275" hidden="1"/>
    <cellStyle name="Гиперссылка 2" xfId="29422" hidden="1"/>
    <cellStyle name="Гиперссылка 2" xfId="30085" hidden="1"/>
    <cellStyle name="Гиперссылка 2" xfId="29964" hidden="1"/>
    <cellStyle name="Гиперссылка 2" xfId="29298" hidden="1"/>
    <cellStyle name="Гиперссылка 2" xfId="25794" hidden="1"/>
    <cellStyle name="Гиперссылка 2" xfId="29635" hidden="1"/>
    <cellStyle name="Гиперссылка 2" xfId="29788" hidden="1"/>
    <cellStyle name="Гиперссылка 2" xfId="29393" hidden="1"/>
    <cellStyle name="Гиперссылка 2" xfId="29477" hidden="1"/>
    <cellStyle name="Гиперссылка 2" xfId="29191" hidden="1"/>
    <cellStyle name="Гиперссылка 2" xfId="28993" hidden="1"/>
    <cellStyle name="Гиперссылка 2" xfId="29471" hidden="1"/>
    <cellStyle name="Гиперссылка 2" xfId="29356" hidden="1"/>
    <cellStyle name="Гиперссылка 2" xfId="29549" hidden="1"/>
    <cellStyle name="Гиперссылка 2" xfId="30116" hidden="1"/>
    <cellStyle name="Гиперссылка 2" xfId="29061" hidden="1"/>
    <cellStyle name="Гиперссылка 2" xfId="29279" hidden="1"/>
    <cellStyle name="Гиперссылка 2" xfId="29709" hidden="1"/>
    <cellStyle name="Гиперссылка 2" xfId="29784" hidden="1"/>
    <cellStyle name="Гиперссылка 2" xfId="29873" hidden="1"/>
    <cellStyle name="Гиперссылка 2" xfId="29936" hidden="1"/>
    <cellStyle name="Гиперссылка 2" xfId="29725" hidden="1"/>
    <cellStyle name="Гиперссылка 2" xfId="29568" hidden="1"/>
    <cellStyle name="Гиперссылка 2" xfId="29499" hidden="1"/>
    <cellStyle name="Гиперссылка 2" xfId="29316" hidden="1"/>
    <cellStyle name="Гиперссылка 2" xfId="29164" hidden="1"/>
    <cellStyle name="Гиперссылка 2" xfId="29358" hidden="1"/>
    <cellStyle name="Гиперссылка 2" xfId="29076" hidden="1"/>
    <cellStyle name="Гиперссылка 2" xfId="29066" hidden="1"/>
    <cellStyle name="Гиперссылка 2" xfId="29059" hidden="1"/>
    <cellStyle name="Гиперссылка 2" xfId="29286" hidden="1"/>
    <cellStyle name="Гиперссылка 2" xfId="30005" hidden="1"/>
    <cellStyle name="Гиперссылка 2" xfId="30055" hidden="1"/>
    <cellStyle name="Гиперссылка 2" xfId="29115" hidden="1"/>
    <cellStyle name="Гиперссылка 2" xfId="29483" hidden="1"/>
    <cellStyle name="Гиперссылка 2" xfId="30120" hidden="1"/>
    <cellStyle name="Гиперссылка 2" xfId="29012" hidden="1"/>
    <cellStyle name="Гиперссылка 2" xfId="30010" hidden="1"/>
    <cellStyle name="Гиперссылка 2" xfId="29654" hidden="1"/>
    <cellStyle name="Гиперссылка 2" xfId="30191" hidden="1"/>
    <cellStyle name="Гиперссылка 2" xfId="30190" hidden="1"/>
    <cellStyle name="Гиперссылка 2" xfId="30198" hidden="1"/>
    <cellStyle name="Гиперссылка 2" xfId="30199" hidden="1"/>
    <cellStyle name="Гиперссылка 2" xfId="30204" hidden="1"/>
    <cellStyle name="Гиперссылка 2" xfId="30205" hidden="1"/>
    <cellStyle name="Гиперссылка 2" xfId="30201" hidden="1"/>
    <cellStyle name="Гиперссылка 2" xfId="30200" hidden="1"/>
    <cellStyle name="Гиперссылка 2" xfId="30203" hidden="1"/>
    <cellStyle name="Гиперссылка 2" xfId="30202" hidden="1"/>
    <cellStyle name="Гиперссылка 2" xfId="30207" hidden="1"/>
    <cellStyle name="Гиперссылка 2" xfId="30206" hidden="1"/>
    <cellStyle name="Гиперссылка 2" xfId="30209" hidden="1"/>
    <cellStyle name="Гиперссылка 2" xfId="30210" hidden="1"/>
    <cellStyle name="Гиперссылка 2" xfId="30215" hidden="1"/>
    <cellStyle name="Гиперссылка 2" xfId="30216" hidden="1"/>
    <cellStyle name="Гиперссылка 2" xfId="30212" hidden="1"/>
    <cellStyle name="Гиперссылка 2" xfId="30211" hidden="1"/>
    <cellStyle name="Гиперссылка 2" xfId="30214" hidden="1"/>
    <cellStyle name="Гиперссылка 2" xfId="30213" hidden="1"/>
    <cellStyle name="Гиперссылка 2" xfId="30218" hidden="1"/>
    <cellStyle name="Гиперссылка 2" xfId="30217" hidden="1"/>
    <cellStyle name="Гиперссылка 2" xfId="30219" hidden="1"/>
    <cellStyle name="Гиперссылка 2" xfId="30220" hidden="1"/>
    <cellStyle name="Гиперссылка 2" xfId="30225" hidden="1"/>
    <cellStyle name="Гиперссылка 2" xfId="30226" hidden="1"/>
    <cellStyle name="Гиперссылка 2" xfId="30222" hidden="1"/>
    <cellStyle name="Гиперссылка 2" xfId="30221" hidden="1"/>
    <cellStyle name="Гиперссылка 2" xfId="30224" hidden="1"/>
    <cellStyle name="Гиперссылка 2" xfId="30223" hidden="1"/>
    <cellStyle name="Гиперссылка 2" xfId="30228" hidden="1"/>
    <cellStyle name="Гиперссылка 2" xfId="30227" hidden="1"/>
    <cellStyle name="Гиперссылка 2" xfId="29572" hidden="1"/>
    <cellStyle name="Гиперссылка 2" xfId="29253" hidden="1"/>
    <cellStyle name="Гиперссылка 2" xfId="29389" hidden="1"/>
    <cellStyle name="Гиперссылка 2" xfId="29385" hidden="1"/>
    <cellStyle name="Гиперссылка 2" xfId="29919" hidden="1"/>
    <cellStyle name="Гиперссылка 2" xfId="30195" hidden="1"/>
    <cellStyle name="Гиперссылка 2" xfId="29303" hidden="1"/>
    <cellStyle name="Гиперссылка 2" xfId="29482" hidden="1"/>
    <cellStyle name="Гиперссылка 2" xfId="30254" hidden="1"/>
    <cellStyle name="Гиперссылка 2" xfId="30253" hidden="1"/>
    <cellStyle name="Гиперссылка 2" xfId="30261" hidden="1"/>
    <cellStyle name="Гиперссылка 2" xfId="30262" hidden="1"/>
    <cellStyle name="Гиперссылка 2" xfId="30267" hidden="1"/>
    <cellStyle name="Гиперссылка 2" xfId="30268" hidden="1"/>
    <cellStyle name="Гиперссылка 2" xfId="30264" hidden="1"/>
    <cellStyle name="Гиперссылка 2" xfId="30263" hidden="1"/>
    <cellStyle name="Гиперссылка 2" xfId="30266" hidden="1"/>
    <cellStyle name="Гиперссылка 2" xfId="30265" hidden="1"/>
    <cellStyle name="Гиперссылка 2" xfId="30270" hidden="1"/>
    <cellStyle name="Гиперссылка 2" xfId="30269" hidden="1"/>
    <cellStyle name="Гиперссылка 2" xfId="30271" hidden="1"/>
    <cellStyle name="Гиперссылка 2" xfId="30272" hidden="1"/>
    <cellStyle name="Гиперссылка 2" xfId="30277" hidden="1"/>
    <cellStyle name="Гиперссылка 2" xfId="30278" hidden="1"/>
    <cellStyle name="Гиперссылка 2" xfId="30274" hidden="1"/>
    <cellStyle name="Гиперссылка 2" xfId="30273" hidden="1"/>
    <cellStyle name="Гиперссылка 2" xfId="30276" hidden="1"/>
    <cellStyle name="Гиперссылка 2" xfId="30275" hidden="1"/>
    <cellStyle name="Гиперссылка 2" xfId="30280" hidden="1"/>
    <cellStyle name="Гиперссылка 2" xfId="30279" hidden="1"/>
    <cellStyle name="Гиперссылка 2" xfId="30281" hidden="1"/>
    <cellStyle name="Гиперссылка 2" xfId="30282" hidden="1"/>
    <cellStyle name="Гиперссылка 2" xfId="30287" hidden="1"/>
    <cellStyle name="Гиперссылка 2" xfId="30288" hidden="1"/>
    <cellStyle name="Гиперссылка 2" xfId="30284" hidden="1"/>
    <cellStyle name="Гиперссылка 2" xfId="30283" hidden="1"/>
    <cellStyle name="Гиперссылка 2" xfId="30286" hidden="1"/>
    <cellStyle name="Гиперссылка 2" xfId="30285" hidden="1"/>
    <cellStyle name="Гиперссылка 2" xfId="30290" hidden="1"/>
    <cellStyle name="Гиперссылка 2" xfId="30289" hidden="1"/>
    <cellStyle name="Гиперссылка 2" xfId="25710" hidden="1"/>
    <cellStyle name="Гиперссылка 2" xfId="29403" hidden="1"/>
    <cellStyle name="Гиперссылка 2" xfId="29033" hidden="1"/>
    <cellStyle name="Гиперссылка 2" xfId="30009" hidden="1"/>
    <cellStyle name="Гиперссылка 2" xfId="30237" hidden="1"/>
    <cellStyle name="Гиперссылка 2" xfId="30258" hidden="1"/>
    <cellStyle name="Гиперссылка 2" xfId="29323" hidden="1"/>
    <cellStyle name="Гиперссылка 2" xfId="30231" hidden="1"/>
    <cellStyle name="Гиперссылка 2" xfId="30312" hidden="1"/>
    <cellStyle name="Гиперссылка 2" xfId="30311" hidden="1"/>
    <cellStyle name="Гиперссылка 2" xfId="30323" hidden="1"/>
    <cellStyle name="Гиперссылка 2" xfId="30324" hidden="1"/>
    <cellStyle name="Гиперссылка 2" xfId="30329" hidden="1"/>
    <cellStyle name="Гиперссылка 2" xfId="30330" hidden="1"/>
    <cellStyle name="Гиперссылка 2" xfId="30326" hidden="1"/>
    <cellStyle name="Гиперссылка 2" xfId="30325" hidden="1"/>
    <cellStyle name="Гиперссылка 2" xfId="30328" hidden="1"/>
    <cellStyle name="Гиперссылка 2" xfId="30327" hidden="1"/>
    <cellStyle name="Гиперссылка 2" xfId="30332" hidden="1"/>
    <cellStyle name="Гиперссылка 2" xfId="30331" hidden="1"/>
    <cellStyle name="Гиперссылка 2" xfId="30335" hidden="1"/>
    <cellStyle name="Гиперссылка 2" xfId="30336" hidden="1"/>
    <cellStyle name="Гиперссылка 2" xfId="30341" hidden="1"/>
    <cellStyle name="Гиперссылка 2" xfId="30342" hidden="1"/>
    <cellStyle name="Гиперссылка 2" xfId="30338" hidden="1"/>
    <cellStyle name="Гиперссылка 2" xfId="30337" hidden="1"/>
    <cellStyle name="Гиперссылка 2" xfId="30340" hidden="1"/>
    <cellStyle name="Гиперссылка 2" xfId="30339" hidden="1"/>
    <cellStyle name="Гиперссылка 2" xfId="30344" hidden="1"/>
    <cellStyle name="Гиперссылка 2" xfId="30343" hidden="1"/>
    <cellStyle name="Гиперссылка 2" xfId="30345" hidden="1"/>
    <cellStyle name="Гиперссылка 2" xfId="30346" hidden="1"/>
    <cellStyle name="Гиперссылка 2" xfId="30351" hidden="1"/>
    <cellStyle name="Гиперссылка 2" xfId="30352" hidden="1"/>
    <cellStyle name="Гиперссылка 2" xfId="30348" hidden="1"/>
    <cellStyle name="Гиперссылка 2" xfId="30347" hidden="1"/>
    <cellStyle name="Гиперссылка 2" xfId="30350" hidden="1"/>
    <cellStyle name="Гиперссылка 2" xfId="30349" hidden="1"/>
    <cellStyle name="Гиперссылка 2" xfId="30354" hidden="1"/>
    <cellStyle name="Гиперссылка 2" xfId="30353" hidden="1"/>
    <cellStyle name="Гиперссылка 2" xfId="30232" hidden="1"/>
    <cellStyle name="Гиперссылка 2" xfId="29796" hidden="1"/>
    <cellStyle name="Гиперссылка 2" xfId="29562" hidden="1"/>
    <cellStyle name="Гиперссылка 2" xfId="29054" hidden="1"/>
    <cellStyle name="Гиперссылка 2" xfId="30297" hidden="1"/>
    <cellStyle name="Гиперссылка 2" xfId="30318" hidden="1"/>
    <cellStyle name="Гиперссылка 2" xfId="29867" hidden="1"/>
    <cellStyle name="Гиперссылка 2" xfId="30293" hidden="1"/>
    <cellStyle name="Гиперссылка 2" xfId="30371" hidden="1"/>
    <cellStyle name="Гиперссылка 2" xfId="30370" hidden="1"/>
    <cellStyle name="Гиперссылка 2" xfId="30381" hidden="1"/>
    <cellStyle name="Гиперссылка 2" xfId="30382" hidden="1"/>
    <cellStyle name="Гиперссылка 2" xfId="30387" hidden="1"/>
    <cellStyle name="Гиперссылка 2" xfId="30388" hidden="1"/>
    <cellStyle name="Гиперссылка 2" xfId="30384" hidden="1"/>
    <cellStyle name="Гиперссылка 2" xfId="30383" hidden="1"/>
    <cellStyle name="Гиперссылка 2" xfId="30386" hidden="1"/>
    <cellStyle name="Гиперссылка 2" xfId="30385" hidden="1"/>
    <cellStyle name="Гиперссылка 2" xfId="30390" hidden="1"/>
    <cellStyle name="Гиперссылка 2" xfId="30389" hidden="1"/>
    <cellStyle name="Гиперссылка 2" xfId="30391" hidden="1"/>
    <cellStyle name="Гиперссылка 2" xfId="30392" hidden="1"/>
    <cellStyle name="Гиперссылка 2" xfId="30397" hidden="1"/>
    <cellStyle name="Гиперссылка 2" xfId="30398" hidden="1"/>
    <cellStyle name="Гиперссылка 2" xfId="30394" hidden="1"/>
    <cellStyle name="Гиперссылка 2" xfId="30393" hidden="1"/>
    <cellStyle name="Гиперссылка 2" xfId="30396" hidden="1"/>
    <cellStyle name="Гиперссылка 2" xfId="30395" hidden="1"/>
    <cellStyle name="Гиперссылка 2" xfId="30400" hidden="1"/>
    <cellStyle name="Гиперссылка 2" xfId="30399" hidden="1"/>
    <cellStyle name="Гиперссылка 2" xfId="30401" hidden="1"/>
    <cellStyle name="Гиперссылка 2" xfId="30402" hidden="1"/>
    <cellStyle name="Гиперссылка 2" xfId="30407" hidden="1"/>
    <cellStyle name="Гиперссылка 2" xfId="30408" hidden="1"/>
    <cellStyle name="Гиперссылка 2" xfId="30404" hidden="1"/>
    <cellStyle name="Гиперссылка 2" xfId="30403" hidden="1"/>
    <cellStyle name="Гиперссылка 2" xfId="30406" hidden="1"/>
    <cellStyle name="Гиперссылка 2" xfId="30405" hidden="1"/>
    <cellStyle name="Гиперссылка 2" xfId="30410" hidden="1"/>
    <cellStyle name="Гиперссылка 2" xfId="30409" hidden="1"/>
    <cellStyle name="Гиперссылка 2" xfId="30294" hidden="1"/>
    <cellStyle name="Гиперссылка 2" xfId="29777" hidden="1"/>
    <cellStyle name="Гиперссылка 2" xfId="29663" hidden="1"/>
    <cellStyle name="Гиперссылка 2" xfId="29371" hidden="1"/>
    <cellStyle name="Гиперссылка 2" xfId="30360" hidden="1"/>
    <cellStyle name="Гиперссылка 2" xfId="30377" hidden="1"/>
    <cellStyle name="Гиперссылка 2" xfId="29949" hidden="1"/>
    <cellStyle name="Гиперссылка 2" xfId="30357" hidden="1"/>
    <cellStyle name="Гиперссылка 2" xfId="30425" hidden="1"/>
    <cellStyle name="Гиперссылка 2" xfId="30424" hidden="1"/>
    <cellStyle name="Гиперссылка 2" xfId="30430" hidden="1"/>
    <cellStyle name="Гиперссылка 2" xfId="30431" hidden="1"/>
    <cellStyle name="Гиперссылка 2" xfId="30436" hidden="1"/>
    <cellStyle name="Гиперссылка 2" xfId="30437" hidden="1"/>
    <cellStyle name="Гиперссылка 2" xfId="30433" hidden="1"/>
    <cellStyle name="Гиперссылка 2" xfId="30432" hidden="1"/>
    <cellStyle name="Гиперссылка 2" xfId="30435" hidden="1"/>
    <cellStyle name="Гиперссылка 2" xfId="30434" hidden="1"/>
    <cellStyle name="Гиперссылка 2" xfId="30439" hidden="1"/>
    <cellStyle name="Гиперссылка 2" xfId="30438" hidden="1"/>
    <cellStyle name="Гиперссылка 2" xfId="30441" hidden="1"/>
    <cellStyle name="Гиперссылка 2" xfId="30442" hidden="1"/>
    <cellStyle name="Гиперссылка 2" xfId="30447" hidden="1"/>
    <cellStyle name="Гиперссылка 2" xfId="30448" hidden="1"/>
    <cellStyle name="Гиперссылка 2" xfId="30444" hidden="1"/>
    <cellStyle name="Гиперссылка 2" xfId="30443" hidden="1"/>
    <cellStyle name="Гиперссылка 2" xfId="30446" hidden="1"/>
    <cellStyle name="Гиперссылка 2" xfId="30445" hidden="1"/>
    <cellStyle name="Гиперссылка 2" xfId="30450" hidden="1"/>
    <cellStyle name="Гиперссылка 2" xfId="30449" hidden="1"/>
    <cellStyle name="Гиперссылка 2" xfId="30451" hidden="1"/>
    <cellStyle name="Гиперссылка 2" xfId="30452" hidden="1"/>
    <cellStyle name="Гиперссылка 2" xfId="30457" hidden="1"/>
    <cellStyle name="Гиперссылка 2" xfId="30458" hidden="1"/>
    <cellStyle name="Гиперссылка 2" xfId="30454" hidden="1"/>
    <cellStyle name="Гиперссылка 2" xfId="30453" hidden="1"/>
    <cellStyle name="Гиперссылка 2" xfId="30456" hidden="1"/>
    <cellStyle name="Гиперссылка 2" xfId="30455" hidden="1"/>
    <cellStyle name="Гиперссылка 2" xfId="30460" hidden="1"/>
    <cellStyle name="Гиперссылка 2" xfId="30459" hidden="1"/>
    <cellStyle name="Гиперссылка 2" xfId="30358" hidden="1"/>
    <cellStyle name="Гиперссылка 2" xfId="29862" hidden="1"/>
    <cellStyle name="Гиперссылка 2" xfId="29285" hidden="1"/>
    <cellStyle name="Гиперссылка 2" xfId="29655" hidden="1"/>
    <cellStyle name="Гиперссылка 2" xfId="30413" hidden="1"/>
    <cellStyle name="Гиперссылка 2" xfId="30429" hidden="1"/>
    <cellStyle name="Гиперссылка 2" xfId="30184" hidden="1"/>
    <cellStyle name="Гиперссылка 2" xfId="30411" hidden="1"/>
    <cellStyle name="Гиперссылка 2" xfId="30472" hidden="1"/>
    <cellStyle name="Гиперссылка 2" xfId="30471" hidden="1"/>
    <cellStyle name="Гиперссылка 2" xfId="30475" hidden="1"/>
    <cellStyle name="Гиперссылка 2" xfId="30476" hidden="1"/>
    <cellStyle name="Гиперссылка 2" xfId="30481" hidden="1"/>
    <cellStyle name="Гиперссылка 2" xfId="30482" hidden="1"/>
    <cellStyle name="Гиперссылка 2" xfId="30478" hidden="1"/>
    <cellStyle name="Гиперссылка 2" xfId="30477" hidden="1"/>
    <cellStyle name="Гиперссылка 2" xfId="30480" hidden="1"/>
    <cellStyle name="Гиперссылка 2" xfId="30479" hidden="1"/>
    <cellStyle name="Гиперссылка 2" xfId="30484" hidden="1"/>
    <cellStyle name="Гиперссылка 2" xfId="30483" hidden="1"/>
    <cellStyle name="Гиперссылка 2" xfId="30485" hidden="1"/>
    <cellStyle name="Гиперссылка 2" xfId="30486" hidden="1"/>
    <cellStyle name="Гиперссылка 2" xfId="30491" hidden="1"/>
    <cellStyle name="Гиперссылка 2" xfId="30492" hidden="1"/>
    <cellStyle name="Гиперссылка 2" xfId="30488" hidden="1"/>
    <cellStyle name="Гиперссылка 2" xfId="30487" hidden="1"/>
    <cellStyle name="Гиперссылка 2" xfId="30490" hidden="1"/>
    <cellStyle name="Гиперссылка 2" xfId="30489" hidden="1"/>
    <cellStyle name="Гиперссылка 2" xfId="30494" hidden="1"/>
    <cellStyle name="Гиперссылка 2" xfId="30493" hidden="1"/>
    <cellStyle name="Гиперссылка 2" xfId="30495" hidden="1"/>
    <cellStyle name="Гиперссылка 2" xfId="30496" hidden="1"/>
    <cellStyle name="Гиперссылка 2" xfId="30501" hidden="1"/>
    <cellStyle name="Гиперссылка 2" xfId="30502" hidden="1"/>
    <cellStyle name="Гиперссылка 2" xfId="30498" hidden="1"/>
    <cellStyle name="Гиперссылка 2" xfId="30497" hidden="1"/>
    <cellStyle name="Гиперссылка 2" xfId="30500" hidden="1"/>
    <cellStyle name="Гиперссылка 2" xfId="30499" hidden="1"/>
    <cellStyle name="Гиперссылка 2" xfId="30504" hidden="1"/>
    <cellStyle name="Гиперссылка 2" xfId="30503" hidden="1"/>
    <cellStyle name="Гиперссылка 2" xfId="30412" hidden="1"/>
    <cellStyle name="Гиперссылка 2" xfId="29571" hidden="1"/>
    <cellStyle name="Гиперссылка 2" xfId="30236" hidden="1"/>
    <cellStyle name="Гиперссылка 2" xfId="29367" hidden="1"/>
    <cellStyle name="Гиперссылка 2" xfId="30464" hidden="1"/>
    <cellStyle name="Гиперссылка 2" xfId="30474" hidden="1"/>
    <cellStyle name="Гиперссылка 2" xfId="30244" hidden="1"/>
    <cellStyle name="Гиперссылка 2" xfId="30462" hidden="1"/>
    <cellStyle name="Гиперссылка 2" xfId="30506" hidden="1"/>
    <cellStyle name="Гиперссылка 2" xfId="30505" hidden="1"/>
    <cellStyle name="Гиперссылка 2" xfId="30507" hidden="1"/>
    <cellStyle name="Гиперссылка 2" xfId="30508" hidden="1"/>
    <cellStyle name="Гиперссылка 2" xfId="30513" hidden="1"/>
    <cellStyle name="Гиперссылка 2" xfId="30514" hidden="1"/>
    <cellStyle name="Гиперссылка 2" xfId="30510" hidden="1"/>
    <cellStyle name="Гиперссылка 2" xfId="30509" hidden="1"/>
    <cellStyle name="Гиперссылка 2" xfId="30512" hidden="1"/>
    <cellStyle name="Гиперссылка 2" xfId="30511" hidden="1"/>
    <cellStyle name="Гиперссылка 2" xfId="30516" hidden="1"/>
    <cellStyle name="Гиперссылка 2" xfId="30515" hidden="1"/>
    <cellStyle name="Гиперссылка 2" xfId="30517" hidden="1"/>
    <cellStyle name="Гиперссылка 2" xfId="30518" hidden="1"/>
    <cellStyle name="Гиперссылка 2" xfId="30523" hidden="1"/>
    <cellStyle name="Гиперссылка 2" xfId="30524" hidden="1"/>
    <cellStyle name="Гиперссылка 2" xfId="30520" hidden="1"/>
    <cellStyle name="Гиперссылка 2" xfId="30519" hidden="1"/>
    <cellStyle name="Гиперссылка 2" xfId="30522" hidden="1"/>
    <cellStyle name="Гиперссылка 2" xfId="30521" hidden="1"/>
    <cellStyle name="Гиперссылка 2" xfId="30526" hidden="1"/>
    <cellStyle name="Гиперссылка 2" xfId="30525" hidden="1"/>
    <cellStyle name="Гиперссылка 2" xfId="30527" hidden="1"/>
    <cellStyle name="Гиперссылка 2" xfId="30528" hidden="1"/>
    <cellStyle name="Гиперссылка 2" xfId="30533" hidden="1"/>
    <cellStyle name="Гиперссылка 2" xfId="30534" hidden="1"/>
    <cellStyle name="Гиперссылка 2" xfId="30530" hidden="1"/>
    <cellStyle name="Гиперссылка 2" xfId="30529" hidden="1"/>
    <cellStyle name="Гиперссылка 2" xfId="30532" hidden="1"/>
    <cellStyle name="Гиперссылка 2" xfId="30531" hidden="1"/>
    <cellStyle name="Гиперссылка 2" xfId="30536" hidden="1"/>
    <cellStyle name="Гиперссылка 2" xfId="30535" hidden="1"/>
    <cellStyle name="Гиперссылка 2" xfId="29068" hidden="1"/>
    <cellStyle name="Гиперссылка 2" xfId="29007" hidden="1"/>
    <cellStyle name="Гиперссылка 2" xfId="30314" hidden="1"/>
    <cellStyle name="Гиперссылка 2" xfId="29299" hidden="1"/>
    <cellStyle name="Гиперссылка 2" xfId="25723" hidden="1"/>
    <cellStyle name="Гиперссылка 2" xfId="29668" hidden="1"/>
    <cellStyle name="Гиперссылка 2" xfId="30070" hidden="1"/>
    <cellStyle name="Гиперссылка 2" xfId="29503" hidden="1"/>
    <cellStyle name="Гиперссылка 2" xfId="29872" hidden="1"/>
    <cellStyle name="Гиперссылка 2" xfId="29138" hidden="1"/>
    <cellStyle name="Гиперссылка 2" xfId="30421" hidden="1"/>
    <cellStyle name="Гиперссылка 2" xfId="30304" hidden="1"/>
    <cellStyle name="Гиперссылка 2" xfId="30059" hidden="1"/>
    <cellStyle name="Гиперссылка 2" xfId="29322" hidden="1"/>
    <cellStyle name="Гиперссылка 2" xfId="30251" hidden="1"/>
    <cellStyle name="Гиперссылка 2" xfId="30368" hidden="1"/>
    <cellStyle name="Гиперссылка 2" xfId="29413" hidden="1"/>
    <cellStyle name="Гиперссылка 2" xfId="29792" hidden="1"/>
    <cellStyle name="Гиперссылка 2" xfId="29266" hidden="1"/>
    <cellStyle name="Гиперссылка 2" xfId="29204" hidden="1"/>
    <cellStyle name="Гиперссылка 2" xfId="29093" hidden="1"/>
    <cellStyle name="Гиперссылка 2" xfId="29937" hidden="1"/>
    <cellStyle name="Гиперссылка 2" xfId="29295" hidden="1"/>
    <cellStyle name="Гиперссылка 2" xfId="29180" hidden="1"/>
    <cellStyle name="Гиперссылка 2" xfId="29858" hidden="1"/>
    <cellStyle name="Гиперссылка 2" xfId="29558" hidden="1"/>
    <cellStyle name="Гиперссылка 2" xfId="29857" hidden="1"/>
    <cellStyle name="Гиперссылка 2" xfId="29387" hidden="1"/>
    <cellStyle name="Гиперссылка 2" xfId="29408" hidden="1"/>
    <cellStyle name="Гиперссылка 2" xfId="25708" hidden="1"/>
    <cellStyle name="Гиперссылка 2" xfId="29419" hidden="1"/>
    <cellStyle name="Гиперссылка 2" xfId="29641" hidden="1"/>
    <cellStyle name="Гиперссылка 2" xfId="29722" hidden="1"/>
    <cellStyle name="Гиперссылка 2" xfId="29075" hidden="1"/>
    <cellStyle name="Гиперссылка 2" xfId="29626" hidden="1"/>
    <cellStyle name="Гиперссылка 2" xfId="29863" hidden="1"/>
    <cellStyle name="Гиперссылка 2" xfId="29670" hidden="1"/>
    <cellStyle name="Гиперссылка 2" xfId="29302" hidden="1"/>
    <cellStyle name="Гиперссылка 2" xfId="29355" hidden="1"/>
    <cellStyle name="Гиперссылка 2" xfId="29166" hidden="1"/>
    <cellStyle name="Гиперссылка 2" xfId="29145" hidden="1"/>
    <cellStyle name="Гиперссылка 2" xfId="29574" hidden="1"/>
    <cellStyle name="Гиперссылка 2" xfId="29309" hidden="1"/>
    <cellStyle name="Гиперссылка 2" xfId="29398" hidden="1"/>
    <cellStyle name="Гиперссылка 2" xfId="29888" hidden="1"/>
    <cellStyle name="Гиперссылка 2" xfId="29474" hidden="1"/>
    <cellStyle name="Гиперссылка 2" xfId="30363" hidden="1"/>
    <cellStyle name="Гиперссылка 2" xfId="30416" hidden="1"/>
    <cellStyle name="Гиперссылка 2" xfId="25726" hidden="1"/>
    <cellStyle name="Гиперссылка 2" xfId="29472" hidden="1"/>
    <cellStyle name="Гиперссылка 2" xfId="29169" hidden="1"/>
    <cellStyle name="Гиперссылка 2" xfId="29653" hidden="1"/>
    <cellStyle name="Гиперссылка 2" xfId="29947" hidden="1"/>
    <cellStyle name="Гиперссылка 2" xfId="29291" hidden="1"/>
    <cellStyle name="Гиперссылка 2" xfId="29156" hidden="1"/>
    <cellStyle name="Гиперссылка 2" xfId="30017" hidden="1"/>
    <cellStyle name="Гиперссылка 2" xfId="29985" hidden="1"/>
    <cellStyle name="Гиперссылка 2" xfId="29629" hidden="1"/>
    <cellStyle name="Гиперссылка 2" xfId="25795" hidden="1"/>
    <cellStyle name="Гиперссылка 2" xfId="29307" hidden="1"/>
    <cellStyle name="Гиперссылка 2" xfId="30378" hidden="1"/>
    <cellStyle name="Гиперссылка 2" xfId="30259" hidden="1"/>
    <cellStyle name="Гиперссылка 2" xfId="29118" hidden="1"/>
    <cellStyle name="Гиперссылка 2" xfId="29739" hidden="1"/>
    <cellStyle name="Гиперссылка 2" xfId="30365" hidden="1"/>
    <cellStyle name="Гиперссылка 2" xfId="30467" hidden="1"/>
    <cellStyle name="Гиперссылка 2" xfId="30187" hidden="1"/>
    <cellStyle name="Гиперссылка 2" xfId="30246" hidden="1"/>
    <cellStyle name="Гиперссылка 2" xfId="28991" hidden="1"/>
    <cellStyle name="Гиперссылка 2" xfId="25797" hidden="1"/>
    <cellStyle name="Гиперссылка 2" xfId="29943" hidden="1"/>
    <cellStyle name="Гиперссылка 2" xfId="29664" hidden="1"/>
    <cellStyle name="Гиперссылка 2" xfId="30256" hidden="1"/>
    <cellStyle name="Гиперссылка 2" xfId="29990" hidden="1"/>
    <cellStyle name="Гиперссылка 2" xfId="29248" hidden="1"/>
    <cellStyle name="Гиперссылка 2" xfId="29570" hidden="1"/>
    <cellStyle name="Гиперссылка 2" xfId="30374" hidden="1"/>
    <cellStyle name="Гиперссылка 2" xfId="29025" hidden="1"/>
    <cellStyle name="Гиперссылка 2" xfId="30375" hidden="1"/>
    <cellStyle name="Гиперссылка 2" xfId="30427" hidden="1"/>
    <cellStyle name="Гиперссылка 2" xfId="29332" hidden="1"/>
    <cellStyle name="Гиперссылка 2" xfId="30072" hidden="1"/>
    <cellStyle name="Гиперссылка 2" xfId="30305" hidden="1"/>
    <cellStyle name="Гиперссылка 2" xfId="29250" hidden="1"/>
    <cellStyle name="Гиперссылка 2" xfId="29251" hidden="1"/>
    <cellStyle name="Гиперссылка 2" xfId="25707" hidden="1"/>
    <cellStyle name="Гиперссылка 2" xfId="29502" hidden="1"/>
    <cellStyle name="Гиперссылка 2" xfId="29493" hidden="1"/>
    <cellStyle name="Гиперссылка 2" xfId="28999" hidden="1"/>
    <cellStyle name="Гиперссылка 2" xfId="29881" hidden="1"/>
    <cellStyle name="Гиперссылка 2" xfId="29538" hidden="1"/>
    <cellStyle name="Гиперссылка 2" xfId="25807" hidden="1"/>
    <cellStyle name="Гиперссылка 2" xfId="29239" hidden="1"/>
    <cellStyle name="Гиперссылка 2" xfId="29078" hidden="1"/>
    <cellStyle name="Гиперссылка 2" xfId="30333" hidden="1"/>
    <cellStyle name="Гиперссылка 2" xfId="29259" hidden="1"/>
    <cellStyle name="Гиперссылка 2" xfId="29130" hidden="1"/>
    <cellStyle name="Гиперссылка 2" xfId="30208" hidden="1"/>
    <cellStyle name="Гиперссылка 2" xfId="29186" hidden="1"/>
    <cellStyle name="Гиперссылка 2" xfId="29092" hidden="1"/>
    <cellStyle name="Гиперссылка 2" xfId="29738" hidden="1"/>
    <cellStyle name="Гиперссылка 2" xfId="29640" hidden="1"/>
    <cellStyle name="Гиперссылка 2" xfId="29146" hidden="1"/>
    <cellStyle name="Гиперссылка 2" xfId="29922" hidden="1"/>
    <cellStyle name="Гиперссылка 2" xfId="30108" hidden="1"/>
    <cellStyle name="Гиперссылка 2" xfId="29814" hidden="1"/>
    <cellStyle name="Гиперссылка 2" xfId="29246" hidden="1"/>
    <cellStyle name="Гиперссылка 2" xfId="29288" hidden="1"/>
    <cellStyle name="Гиперссылка 2" xfId="29086" hidden="1"/>
    <cellStyle name="Гиперссылка 2" xfId="29818" hidden="1"/>
    <cellStyle name="Гиперссылка 2" xfId="29567" hidden="1"/>
    <cellStyle name="Гиперссылка 2" xfId="29581" hidden="1"/>
    <cellStyle name="Гиперссылка 2" xfId="29506" hidden="1"/>
    <cellStyle name="Гиперссылка 2" xfId="29564" hidden="1"/>
    <cellStyle name="Гиперссылка 2" xfId="29552" hidden="1"/>
    <cellStyle name="Гиперссылка 2" xfId="29728" hidden="1"/>
    <cellStyle name="Гиперссылка 2" xfId="29021" hidden="1"/>
    <cellStyle name="Гиперссылка 2" xfId="29359" hidden="1"/>
    <cellStyle name="Гиперссылка 2" xfId="29011" hidden="1"/>
    <cellStyle name="Гиперссылка 2" xfId="29720" hidden="1"/>
    <cellStyle name="Гиперссылка 2" xfId="29938" hidden="1"/>
    <cellStyle name="Гиперссылка 2" xfId="29993" hidden="1"/>
    <cellStyle name="Гиперссылка 2" xfId="29952" hidden="1"/>
    <cellStyle name="Гиперссылка 2" xfId="29381" hidden="1"/>
    <cellStyle name="Гиперссылка 2" xfId="29328" hidden="1"/>
    <cellStyle name="Гиперссылка 2" xfId="25706" hidden="1"/>
    <cellStyle name="Гиперссылка 2" xfId="30309" hidden="1"/>
    <cellStyle name="Гиперссылка 2" xfId="29923" hidden="1"/>
    <cellStyle name="Гиперссылка 2" xfId="28992" hidden="1"/>
    <cellStyle name="Гиперссылка 2" xfId="29806" hidden="1"/>
    <cellStyle name="Гиперссылка 2" xfId="29666" hidden="1"/>
    <cellStyle name="Гиперссылка 2" xfId="29187" hidden="1"/>
    <cellStyle name="Гиперссылка 2" xfId="30016" hidden="1"/>
    <cellStyle name="Гиперссылка 2" xfId="29817" hidden="1"/>
    <cellStyle name="Гиперссылка 2" xfId="30417" hidden="1"/>
    <cellStyle name="Гиперссылка 2" xfId="30111" hidden="1"/>
    <cellStyle name="Гиперссылка 2" xfId="30245" hidden="1"/>
    <cellStyle name="Гиперссылка 2" xfId="30302" hidden="1"/>
    <cellStyle name="Гиперссылка 2" xfId="29987" hidden="1"/>
    <cellStyle name="Гиперссылка 2" xfId="29083" hidden="1"/>
    <cellStyle name="Гиперссылка 2" xfId="29782" hidden="1"/>
    <cellStyle name="Гиперссылка 2" xfId="29579" hidden="1"/>
    <cellStyle name="Гиперссылка 2" xfId="29026" hidden="1"/>
    <cellStyle name="Гиперссылка 2" xfId="29555" hidden="1"/>
    <cellStyle name="Гиперссылка 2" xfId="29883" hidden="1"/>
    <cellStyle name="Гиперссылка 2" xfId="29543" hidden="1"/>
    <cellStyle name="Гиперссылка 2" xfId="29364" hidden="1"/>
    <cellStyle name="Гиперссылка 2" xfId="29106" hidden="1"/>
    <cellStyle name="Гиперссылка 2" xfId="29418" hidden="1"/>
    <cellStyle name="Гиперссылка 2" xfId="29339" hidden="1"/>
    <cellStyle name="Гиперссылка 2" xfId="29202" hidden="1"/>
    <cellStyle name="Гиперссылка 2" xfId="25814" hidden="1"/>
    <cellStyle name="Гиперссылка 2" xfId="29411" hidden="1"/>
    <cellStyle name="Гиперссылка 2" xfId="29365" hidden="1"/>
    <cellStyle name="Гиперссылка 2" xfId="30112" hidden="1"/>
    <cellStyle name="Гиперссылка 2" xfId="29476" hidden="1"/>
    <cellStyle name="Гиперссылка 2" xfId="29125" hidden="1"/>
    <cellStyle name="Гиперссылка 2" xfId="29426" hidden="1"/>
    <cellStyle name="Гиперссылка 2" xfId="29065" hidden="1"/>
    <cellStyle name="Гиперссылка 2" xfId="29197" hidden="1"/>
    <cellStyle name="Гиперссылка 2" xfId="29196" hidden="1"/>
    <cellStyle name="Гиперссылка 2" xfId="30230" hidden="1"/>
    <cellStyle name="Гиперссылка 2" xfId="29994" hidden="1"/>
    <cellStyle name="Гиперссылка 2" xfId="29950" hidden="1"/>
    <cellStyle name="Гиперссылка 2" xfId="29346" hidden="1"/>
    <cellStyle name="Гиперссылка 2" xfId="30240" hidden="1"/>
    <cellStyle name="Гиперссылка 2" xfId="29779" hidden="1"/>
    <cellStyle name="Гиперссылка 2" xfId="29283" hidden="1"/>
    <cellStyle name="Гиперссылка 2" xfId="29391" hidden="1"/>
    <cellStyle name="Гиперссылка 2" xfId="30064" hidden="1"/>
    <cellStyle name="Гиперссылка 2" xfId="30366" hidden="1"/>
    <cellStyle name="Гиперссылка 2" xfId="30248" hidden="1"/>
    <cellStyle name="Гиперссылка 2" xfId="25703" hidden="1"/>
    <cellStyle name="Гиперссылка 2" xfId="29101" hidden="1"/>
    <cellStyle name="Гиперссылка 2" xfId="25702" hidden="1"/>
    <cellStyle name="Гиперссылка 2" xfId="25714" hidden="1"/>
    <cellStyle name="Гиперссылка 2" xfId="25695" hidden="1"/>
    <cellStyle name="Гиперссылка 2" xfId="29153" hidden="1"/>
    <cellStyle name="Гиперссылка 2" xfId="25692" hidden="1"/>
    <cellStyle name="Гиперссылка 2" xfId="29034" hidden="1"/>
    <cellStyle name="Гиперссылка 2" xfId="29270" hidden="1"/>
    <cellStyle name="Гиперссылка 2" xfId="29405" hidden="1"/>
    <cellStyle name="Гиперссылка 2" xfId="30469" hidden="1"/>
    <cellStyle name="Гиперссылка 2" xfId="30367" hidden="1"/>
    <cellStyle name="Гиперссылка 2" xfId="29003" hidden="1"/>
    <cellStyle name="Гиперссылка 2" xfId="29294" hidden="1"/>
    <cellStyle name="Гиперссылка 2" xfId="29183" hidden="1"/>
    <cellStyle name="Гиперссылка 2" xfId="29945" hidden="1"/>
    <cellStyle name="Гиперссылка 2" xfId="29043" hidden="1"/>
    <cellStyle name="Гиперссылка 2" xfId="29142" hidden="1"/>
    <cellStyle name="Гиперссылка 2" xfId="29330" hidden="1"/>
    <cellStyle name="Гиперссылка 2" xfId="29047" hidden="1"/>
    <cellStyle name="Гиперссылка 2" xfId="29074" hidden="1"/>
    <cellStyle name="Гиперссылка 2" xfId="30060" hidden="1"/>
    <cellStyle name="Гиперссылка 2" xfId="29404" hidden="1"/>
    <cellStyle name="Гиперссылка 2" xfId="29396" hidden="1"/>
    <cellStyle name="Гиперссылка 2" xfId="29376" hidden="1"/>
    <cellStyle name="Гиперссылка 2" xfId="29713" hidden="1"/>
    <cellStyle name="Гиперссылка 2" xfId="29189" hidden="1"/>
    <cellStyle name="Гиперссылка 2" xfId="29089" hidden="1"/>
    <cellStyle name="Гиперссылка 2" xfId="29312" hidden="1"/>
    <cellStyle name="Гиперссылка 2" xfId="29051" hidden="1"/>
    <cellStyle name="Гиперссылка 2" xfId="29780" hidden="1"/>
    <cellStyle name="Гиперссылка 2" xfId="29517" hidden="1"/>
    <cellStyle name="Гиперссылка 2" xfId="30420" hidden="1"/>
    <cellStyle name="Гиперссылка 2" xfId="29114" hidden="1"/>
    <cellStyle name="Гиперссылка 2" xfId="25697" hidden="1"/>
    <cellStyle name="Гиперссылка 2" xfId="30423" hidden="1"/>
    <cellStyle name="Гиперссылка 2" xfId="29174" hidden="1"/>
    <cellStyle name="Гиперссылка 2" xfId="29071" hidden="1"/>
    <cellStyle name="Гиперссылка 2" xfId="30440" hidden="1"/>
    <cellStyle name="Гиперссылка 2" xfId="30334" hidden="1"/>
    <cellStyle name="Гиперссылка 2" xfId="29140" hidden="1"/>
    <cellStyle name="Гиперссылка 2" xfId="29121" hidden="1"/>
    <cellStyle name="Гиперссылка 2" xfId="29803" hidden="1"/>
    <cellStyle name="Гиперссылка 2" xfId="29587" hidden="1"/>
    <cellStyle name="Гиперссылка 2" xfId="29998" hidden="1"/>
    <cellStyle name="Гиперссылка 2" xfId="29304" hidden="1"/>
    <cellStyle name="Гиперссылка 2" xfId="29633" hidden="1"/>
    <cellStyle name="Гиперссылка 2" xfId="29369" hidden="1"/>
    <cellStyle name="Гиперссылка 2" xfId="29318" hidden="1"/>
    <cellStyle name="Гиперссылка 2" xfId="29929" hidden="1"/>
    <cellStyle name="Гиперссылка 2" xfId="29032" hidden="1"/>
    <cellStyle name="Гиперссылка 2" xfId="30470" hidden="1"/>
    <cellStyle name="Гиперссылка 2" xfId="29315" hidden="1"/>
    <cellStyle name="Гиперссылка 2" xfId="29859" hidden="1"/>
    <cellStyle name="Гиперссылка 2" xfId="29582" hidden="1"/>
    <cellStyle name="Гиперссылка 2" xfId="29058" hidden="1"/>
    <cellStyle name="Гиперссылка 2" xfId="30250" hidden="1"/>
    <cellStyle name="Гиперссылка 2" xfId="30306" hidden="1"/>
    <cellStyle name="Гиперссылка 2" xfId="29781" hidden="1"/>
    <cellStyle name="Гиперссылка 2" xfId="29721" hidden="1"/>
    <cellStyle name="Гиперссылка 2" xfId="29561" hidden="1"/>
    <cellStyle name="Гиперссылка 2" xfId="29927" hidden="1"/>
    <cellStyle name="Гиперссылка 2" xfId="29866" hidden="1"/>
    <cellStyle name="Гиперссылка 2" xfId="29876" hidden="1"/>
    <cellStyle name="Гиперссылка 2" xfId="29865" hidden="1"/>
    <cellStyle name="Гиперссылка 2" xfId="29484" hidden="1"/>
    <cellStyle name="Гиперссылка 2" xfId="29366" hidden="1"/>
    <cellStyle name="Гиперссылка 2" xfId="29392" hidden="1"/>
    <cellStyle name="Гиперссылка 2" xfId="30369" hidden="1"/>
    <cellStyle name="Гиперссылка 2" xfId="30415" hidden="1"/>
    <cellStyle name="Гиперссылка 2" xfId="29793" hidden="1"/>
    <cellStyle name="Гиперссылка 2" xfId="29272" hidden="1"/>
    <cellStyle name="Гиперссылка 2" xfId="30473" hidden="1"/>
    <cellStyle name="Гиперссылка 2" xfId="29933" hidden="1"/>
    <cellStyle name="Гиперссылка 2" xfId="30373" hidden="1"/>
    <cellStyle name="Гиперссылка 2" xfId="29053" hidden="1"/>
    <cellStyle name="Гиперссылка 2" xfId="30541" hidden="1"/>
    <cellStyle name="Гиперссылка 2" xfId="30540" hidden="1"/>
    <cellStyle name="Гиперссылка 2" xfId="30545" hidden="1"/>
    <cellStyle name="Гиперссылка 2" xfId="30546" hidden="1"/>
    <cellStyle name="Гиперссылка 2" xfId="30551" hidden="1"/>
    <cellStyle name="Гиперссылка 2" xfId="30552" hidden="1"/>
    <cellStyle name="Гиперссылка 2" xfId="30548" hidden="1"/>
    <cellStyle name="Гиперссылка 2" xfId="30547" hidden="1"/>
    <cellStyle name="Гиперссылка 2" xfId="30550" hidden="1"/>
    <cellStyle name="Гиперссылка 2" xfId="30549" hidden="1"/>
    <cellStyle name="Гиперссылка 2" xfId="30554" hidden="1"/>
    <cellStyle name="Гиперссылка 2" xfId="30553" hidden="1"/>
    <cellStyle name="Гиперссылка 2" xfId="30556" hidden="1"/>
    <cellStyle name="Гиперссылка 2" xfId="30557" hidden="1"/>
    <cellStyle name="Гиперссылка 2" xfId="30562" hidden="1"/>
    <cellStyle name="Гиперссылка 2" xfId="30563" hidden="1"/>
    <cellStyle name="Гиперссылка 2" xfId="30559" hidden="1"/>
    <cellStyle name="Гиперссылка 2" xfId="30558" hidden="1"/>
    <cellStyle name="Гиперссылка 2" xfId="30561" hidden="1"/>
    <cellStyle name="Гиперссылка 2" xfId="30560" hidden="1"/>
    <cellStyle name="Гиперссылка 2" xfId="30565" hidden="1"/>
    <cellStyle name="Гиперссылка 2" xfId="30564" hidden="1"/>
    <cellStyle name="Гиперссылка 2" xfId="30566" hidden="1"/>
    <cellStyle name="Гиперссылка 2" xfId="30567" hidden="1"/>
    <cellStyle name="Гиперссылка 2" xfId="30572" hidden="1"/>
    <cellStyle name="Гиперссылка 2" xfId="30573" hidden="1"/>
    <cellStyle name="Гиперссылка 2" xfId="30569" hidden="1"/>
    <cellStyle name="Гиперссылка 2" xfId="30568" hidden="1"/>
    <cellStyle name="Гиперссылка 2" xfId="30571" hidden="1"/>
    <cellStyle name="Гиперссылка 2" xfId="30570" hidden="1"/>
    <cellStyle name="Гиперссылка 2" xfId="30575" hidden="1"/>
    <cellStyle name="Гиперссылка 2" xfId="30574" hidden="1"/>
    <cellStyle name="Гиперссылка 2" xfId="29329" hidden="1"/>
    <cellStyle name="Гиперссылка 2" xfId="29063" hidden="1"/>
    <cellStyle name="Гиперссылка 2" xfId="30106" hidden="1"/>
    <cellStyle name="Гиперссылка 2" xfId="29105" hidden="1"/>
    <cellStyle name="Гиперссылка 2" xfId="30291" hidden="1"/>
    <cellStyle name="Гиперссылка 2" xfId="30542" hidden="1"/>
    <cellStyle name="Гиперссылка 2" xfId="29773" hidden="1"/>
    <cellStyle name="Гиперссылка 2" xfId="29735" hidden="1"/>
    <cellStyle name="Гиперссылка 2" xfId="30596" hidden="1"/>
    <cellStyle name="Гиперссылка 2" xfId="30595" hidden="1"/>
    <cellStyle name="Гиперссылка 2" xfId="30601" hidden="1"/>
    <cellStyle name="Гиперссылка 2" xfId="30602" hidden="1"/>
    <cellStyle name="Гиперссылка 2" xfId="30607" hidden="1"/>
    <cellStyle name="Гиперссылка 2" xfId="30608" hidden="1"/>
    <cellStyle name="Гиперссылка 2" xfId="30604" hidden="1"/>
    <cellStyle name="Гиперссылка 2" xfId="30603" hidden="1"/>
    <cellStyle name="Гиперссылка 2" xfId="30606" hidden="1"/>
    <cellStyle name="Гиперссылка 2" xfId="30605" hidden="1"/>
    <cellStyle name="Гиперссылка 2" xfId="30610" hidden="1"/>
    <cellStyle name="Гиперссылка 2" xfId="30609" hidden="1"/>
    <cellStyle name="Гиперссылка 2" xfId="30611" hidden="1"/>
    <cellStyle name="Гиперссылка 2" xfId="30612" hidden="1"/>
    <cellStyle name="Гиперссылка 2" xfId="30617" hidden="1"/>
    <cellStyle name="Гиперссылка 2" xfId="30618" hidden="1"/>
    <cellStyle name="Гиперссылка 2" xfId="30614" hidden="1"/>
    <cellStyle name="Гиперссылка 2" xfId="30613" hidden="1"/>
    <cellStyle name="Гиперссылка 2" xfId="30616" hidden="1"/>
    <cellStyle name="Гиперссылка 2" xfId="30615" hidden="1"/>
    <cellStyle name="Гиперссылка 2" xfId="30620" hidden="1"/>
    <cellStyle name="Гиперссылка 2" xfId="30619" hidden="1"/>
    <cellStyle name="Гиперссылка 2" xfId="30621" hidden="1"/>
    <cellStyle name="Гиперссылка 2" xfId="30622" hidden="1"/>
    <cellStyle name="Гиперссылка 2" xfId="30627" hidden="1"/>
    <cellStyle name="Гиперссылка 2" xfId="30628" hidden="1"/>
    <cellStyle name="Гиперссылка 2" xfId="30624" hidden="1"/>
    <cellStyle name="Гиперссылка 2" xfId="30623" hidden="1"/>
    <cellStyle name="Гиперссылка 2" xfId="30626" hidden="1"/>
    <cellStyle name="Гиперссылка 2" xfId="30625" hidden="1"/>
    <cellStyle name="Гиперссылка 2" xfId="30630" hidden="1"/>
    <cellStyle name="Гиперссылка 2" xfId="30629" hidden="1"/>
    <cellStyle name="Гиперссылка 2" xfId="29144" hidden="1"/>
    <cellStyle name="Гиперссылка 2" xfId="29660" hidden="1"/>
    <cellStyle name="Гиперссылка 2" xfId="29649" hidden="1"/>
    <cellStyle name="Гиперссылка 2" xfId="30372" hidden="1"/>
    <cellStyle name="Гиперссылка 2" xfId="30583" hidden="1"/>
    <cellStyle name="Гиперссылка 2" xfId="30599" hidden="1"/>
    <cellStyle name="Гиперссылка 2" xfId="29290" hidden="1"/>
    <cellStyle name="Гиперссылка 2" xfId="30578" hidden="1"/>
    <cellStyle name="Гиперссылка 2" xfId="30644" hidden="1"/>
    <cellStyle name="Гиперссылка 2" xfId="30643" hidden="1"/>
    <cellStyle name="Гиперссылка 2" xfId="30648" hidden="1"/>
    <cellStyle name="Гиперссылка 2" xfId="30649" hidden="1"/>
    <cellStyle name="Гиперссылка 2" xfId="30654" hidden="1"/>
    <cellStyle name="Гиперссылка 2" xfId="30655" hidden="1"/>
    <cellStyle name="Гиперссылка 2" xfId="30651" hidden="1"/>
    <cellStyle name="Гиперссылка 2" xfId="30650" hidden="1"/>
    <cellStyle name="Гиперссылка 2" xfId="30653" hidden="1"/>
    <cellStyle name="Гиперссылка 2" xfId="30652" hidden="1"/>
    <cellStyle name="Гиперссылка 2" xfId="30657" hidden="1"/>
    <cellStyle name="Гиперссылка 2" xfId="30656" hidden="1"/>
    <cellStyle name="Гиперссылка 2" xfId="30660" hidden="1"/>
    <cellStyle name="Гиперссылка 2" xfId="30661" hidden="1"/>
    <cellStyle name="Гиперссылка 2" xfId="30666" hidden="1"/>
    <cellStyle name="Гиперссылка 2" xfId="30667" hidden="1"/>
    <cellStyle name="Гиперссылка 2" xfId="30663" hidden="1"/>
    <cellStyle name="Гиперссылка 2" xfId="30662" hidden="1"/>
    <cellStyle name="Гиперссылка 2" xfId="30665" hidden="1"/>
    <cellStyle name="Гиперссылка 2" xfId="30664" hidden="1"/>
    <cellStyle name="Гиперссылка 2" xfId="30669" hidden="1"/>
    <cellStyle name="Гиперссылка 2" xfId="30668" hidden="1"/>
    <cellStyle name="Гиперссылка 2" xfId="30670" hidden="1"/>
    <cellStyle name="Гиперссылка 2" xfId="30671" hidden="1"/>
    <cellStyle name="Гиперссылка 2" xfId="30676" hidden="1"/>
    <cellStyle name="Гиперссылка 2" xfId="30677" hidden="1"/>
    <cellStyle name="Гиперссылка 2" xfId="30673" hidden="1"/>
    <cellStyle name="Гиперссылка 2" xfId="30672" hidden="1"/>
    <cellStyle name="Гиперссылка 2" xfId="30675" hidden="1"/>
    <cellStyle name="Гиперссылка 2" xfId="30674" hidden="1"/>
    <cellStyle name="Гиперссылка 2" xfId="30679" hidden="1"/>
    <cellStyle name="Гиперссылка 2" xfId="30678" hidden="1"/>
    <cellStyle name="Гиперссылка 2" xfId="30579" hidden="1"/>
    <cellStyle name="Гиперссылка 2" xfId="30185" hidden="1"/>
    <cellStyle name="Гиперссылка 2" xfId="25718" hidden="1"/>
    <cellStyle name="Гиперссылка 2" xfId="29487" hidden="1"/>
    <cellStyle name="Гиперссылка 2" xfId="30634" hidden="1"/>
    <cellStyle name="Гиперссылка 2" xfId="30646" hidden="1"/>
    <cellStyle name="Гиперссылка 2" xfId="30243" hidden="1"/>
    <cellStyle name="Гиперссылка 2" xfId="30632" hidden="1"/>
    <cellStyle name="Гиперссылка 2" xfId="30691" hidden="1"/>
    <cellStyle name="Гиперссылка 2" xfId="30690" hidden="1"/>
    <cellStyle name="Гиперссылка 2" xfId="30698" hidden="1"/>
    <cellStyle name="Гиперссылка 2" xfId="30699" hidden="1"/>
    <cellStyle name="Гиперссылка 2" xfId="30704" hidden="1"/>
    <cellStyle name="Гиперссылка 2" xfId="30705" hidden="1"/>
    <cellStyle name="Гиперссылка 2" xfId="30701" hidden="1"/>
    <cellStyle name="Гиперссылка 2" xfId="30700" hidden="1"/>
    <cellStyle name="Гиперссылка 2" xfId="30703" hidden="1"/>
    <cellStyle name="Гиперссылка 2" xfId="30702" hidden="1"/>
    <cellStyle name="Гиперссылка 2" xfId="30707" hidden="1"/>
    <cellStyle name="Гиперссылка 2" xfId="30706" hidden="1"/>
    <cellStyle name="Гиперссылка 2" xfId="30708" hidden="1"/>
    <cellStyle name="Гиперссылка 2" xfId="30709" hidden="1"/>
    <cellStyle name="Гиперссылка 2" xfId="30714" hidden="1"/>
    <cellStyle name="Гиперссылка 2" xfId="30715" hidden="1"/>
    <cellStyle name="Гиперссылка 2" xfId="30711" hidden="1"/>
    <cellStyle name="Гиперссылка 2" xfId="30710" hidden="1"/>
    <cellStyle name="Гиперссылка 2" xfId="30713" hidden="1"/>
    <cellStyle name="Гиперссылка 2" xfId="30712" hidden="1"/>
    <cellStyle name="Гиперссылка 2" xfId="30717" hidden="1"/>
    <cellStyle name="Гиперссылка 2" xfId="30716" hidden="1"/>
    <cellStyle name="Гиперссылка 2" xfId="30718" hidden="1"/>
    <cellStyle name="Гиперссылка 2" xfId="30719" hidden="1"/>
    <cellStyle name="Гиперссылка 2" xfId="30724" hidden="1"/>
    <cellStyle name="Гиперссылка 2" xfId="30725" hidden="1"/>
    <cellStyle name="Гиперссылка 2" xfId="30721" hidden="1"/>
    <cellStyle name="Гиперссылка 2" xfId="30720" hidden="1"/>
    <cellStyle name="Гиперссылка 2" xfId="30723" hidden="1"/>
    <cellStyle name="Гиперссылка 2" xfId="30722" hidden="1"/>
    <cellStyle name="Гиперссылка 2" xfId="30727" hidden="1"/>
    <cellStyle name="Гиперссылка 2" xfId="30726" hidden="1"/>
    <cellStyle name="Гиперссылка 2" xfId="30633" hidden="1"/>
    <cellStyle name="Гиперссылка 2" xfId="29327" hidden="1"/>
    <cellStyle name="Гиперссылка 2" xfId="29060" hidden="1"/>
    <cellStyle name="Гиперссылка 2" xfId="25819" hidden="1"/>
    <cellStyle name="Гиперссылка 2" xfId="30683" hidden="1"/>
    <cellStyle name="Гиперссылка 2" xfId="30696" hidden="1"/>
    <cellStyle name="Гиперссылка 2" xfId="30319" hidden="1"/>
    <cellStyle name="Гиперссылка 2" xfId="30680" hidden="1"/>
    <cellStyle name="Гиперссылка 2" xfId="30740" hidden="1"/>
    <cellStyle name="Гиперссылка 2" xfId="30739" hidden="1"/>
    <cellStyle name="Гиперссылка 2" xfId="30744" hidden="1"/>
    <cellStyle name="Гиперссылка 2" xfId="30745" hidden="1"/>
    <cellStyle name="Гиперссылка 2" xfId="30750" hidden="1"/>
    <cellStyle name="Гиперссылка 2" xfId="30751" hidden="1"/>
    <cellStyle name="Гиперссылка 2" xfId="30747" hidden="1"/>
    <cellStyle name="Гиперссылка 2" xfId="30746" hidden="1"/>
    <cellStyle name="Гиперссылка 2" xfId="30749" hidden="1"/>
    <cellStyle name="Гиперссылка 2" xfId="30748" hidden="1"/>
    <cellStyle name="Гиперссылка 2" xfId="30753" hidden="1"/>
    <cellStyle name="Гиперссылка 2" xfId="30752" hidden="1"/>
    <cellStyle name="Гиперссылка 2" xfId="30755" hidden="1"/>
    <cellStyle name="Гиперссылка 2" xfId="30756" hidden="1"/>
    <cellStyle name="Гиперссылка 2" xfId="30761" hidden="1"/>
    <cellStyle name="Гиперссылка 2" xfId="30762" hidden="1"/>
    <cellStyle name="Гиперссылка 2" xfId="30758" hidden="1"/>
    <cellStyle name="Гиперссылка 2" xfId="30757" hidden="1"/>
    <cellStyle name="Гиперссылка 2" xfId="30760" hidden="1"/>
    <cellStyle name="Гиперссылка 2" xfId="30759" hidden="1"/>
    <cellStyle name="Гиперссылка 2" xfId="30764" hidden="1"/>
    <cellStyle name="Гиперссылка 2" xfId="30763" hidden="1"/>
    <cellStyle name="Гиперссылка 2" xfId="30765" hidden="1"/>
    <cellStyle name="Гиперссылка 2" xfId="30766" hidden="1"/>
    <cellStyle name="Гиперссылка 2" xfId="30771" hidden="1"/>
    <cellStyle name="Гиперссылка 2" xfId="30772" hidden="1"/>
    <cellStyle name="Гиперссылка 2" xfId="30768" hidden="1"/>
    <cellStyle name="Гиперссылка 2" xfId="30767" hidden="1"/>
    <cellStyle name="Гиперссылка 2" xfId="30770" hidden="1"/>
    <cellStyle name="Гиперссылка 2" xfId="30769" hidden="1"/>
    <cellStyle name="Гиперссылка 2" xfId="30774" hidden="1"/>
    <cellStyle name="Гиперссылка 2" xfId="30773" hidden="1"/>
    <cellStyle name="Гиперссылка 2" xfId="30681" hidden="1"/>
    <cellStyle name="Гиперссылка 2" xfId="30238" hidden="1"/>
    <cellStyle name="Гиперссылка 2" xfId="29553" hidden="1"/>
    <cellStyle name="Гиперссылка 2" xfId="29492" hidden="1"/>
    <cellStyle name="Гиперссылка 2" xfId="30731" hidden="1"/>
    <cellStyle name="Гиперссылка 2" xfId="30743" hidden="1"/>
    <cellStyle name="Гиперссылка 2" xfId="30537" hidden="1"/>
    <cellStyle name="Гиперссылка 2" xfId="30729" hidden="1"/>
    <cellStyle name="Гиперссылка 2" xfId="30783" hidden="1"/>
    <cellStyle name="Гиперссылка 2" xfId="30782" hidden="1"/>
    <cellStyle name="Гиперссылка 2" xfId="30787" hidden="1"/>
    <cellStyle name="Гиперссылка 2" xfId="30788" hidden="1"/>
    <cellStyle name="Гиперссылка 2" xfId="30793" hidden="1"/>
    <cellStyle name="Гиперссылка 2" xfId="30794" hidden="1"/>
    <cellStyle name="Гиперссылка 2" xfId="30790" hidden="1"/>
    <cellStyle name="Гиперссылка 2" xfId="30789" hidden="1"/>
    <cellStyle name="Гиперссылка 2" xfId="30792" hidden="1"/>
    <cellStyle name="Гиперссылка 2" xfId="30791" hidden="1"/>
    <cellStyle name="Гиперссылка 2" xfId="30796" hidden="1"/>
    <cellStyle name="Гиперссылка 2" xfId="30795" hidden="1"/>
    <cellStyle name="Гиперссылка 2" xfId="30797" hidden="1"/>
    <cellStyle name="Гиперссылка 2" xfId="30798" hidden="1"/>
    <cellStyle name="Гиперссылка 2" xfId="30803" hidden="1"/>
    <cellStyle name="Гиперссылка 2" xfId="30804" hidden="1"/>
    <cellStyle name="Гиперссылка 2" xfId="30800" hidden="1"/>
    <cellStyle name="Гиперссылка 2" xfId="30799" hidden="1"/>
    <cellStyle name="Гиперссылка 2" xfId="30802" hidden="1"/>
    <cellStyle name="Гиперссылка 2" xfId="30801" hidden="1"/>
    <cellStyle name="Гиперссылка 2" xfId="30806" hidden="1"/>
    <cellStyle name="Гиперссылка 2" xfId="30805" hidden="1"/>
    <cellStyle name="Гиперссылка 2" xfId="30807" hidden="1"/>
    <cellStyle name="Гиперссылка 2" xfId="30808" hidden="1"/>
    <cellStyle name="Гиперссылка 2" xfId="30813" hidden="1"/>
    <cellStyle name="Гиперссылка 2" xfId="30814" hidden="1"/>
    <cellStyle name="Гиперссылка 2" xfId="30810" hidden="1"/>
    <cellStyle name="Гиперссылка 2" xfId="30809" hidden="1"/>
    <cellStyle name="Гиперссылка 2" xfId="30812" hidden="1"/>
    <cellStyle name="Гиперссылка 2" xfId="30811" hidden="1"/>
    <cellStyle name="Гиперссылка 2" xfId="30816" hidden="1"/>
    <cellStyle name="Гиперссылка 2" xfId="30815" hidden="1"/>
    <cellStyle name="Гиперссылка 2" xfId="30730" hidden="1"/>
    <cellStyle name="Гиперссылка 2" xfId="30114" hidden="1"/>
    <cellStyle name="Гиперссылка 2" xfId="30580" hidden="1"/>
    <cellStyle name="Гиперссылка 2" xfId="29341" hidden="1"/>
    <cellStyle name="Гиперссылка 2" xfId="30776" hidden="1"/>
    <cellStyle name="Гиперссылка 2" xfId="30786" hidden="1"/>
    <cellStyle name="Гиперссылка 2" xfId="30589" hidden="1"/>
    <cellStyle name="Гиперссылка 2" xfId="30775" hidden="1"/>
    <cellStyle name="Гиперссылка 2" xfId="30818" hidden="1"/>
    <cellStyle name="Гиперссылка 2" xfId="30817" hidden="1"/>
    <cellStyle name="Гиперссылка 2" xfId="30819" hidden="1"/>
    <cellStyle name="Гиперссылка 2" xfId="30820" hidden="1"/>
    <cellStyle name="Гиперссылка 2" xfId="30825" hidden="1"/>
    <cellStyle name="Гиперссылка 2" xfId="30826" hidden="1"/>
    <cellStyle name="Гиперссылка 2" xfId="30822" hidden="1"/>
    <cellStyle name="Гиперссылка 2" xfId="30821" hidden="1"/>
    <cellStyle name="Гиперссылка 2" xfId="30824" hidden="1"/>
    <cellStyle name="Гиперссылка 2" xfId="30823" hidden="1"/>
    <cellStyle name="Гиперссылка 2" xfId="30828" hidden="1"/>
    <cellStyle name="Гиперссылка 2" xfId="30827" hidden="1"/>
    <cellStyle name="Гиперссылка 2" xfId="30829" hidden="1"/>
    <cellStyle name="Гиперссылка 2" xfId="30830" hidden="1"/>
    <cellStyle name="Гиперссылка 2" xfId="30835" hidden="1"/>
    <cellStyle name="Гиперссылка 2" xfId="30836" hidden="1"/>
    <cellStyle name="Гиперссылка 2" xfId="30832" hidden="1"/>
    <cellStyle name="Гиперссылка 2" xfId="30831" hidden="1"/>
    <cellStyle name="Гиперссылка 2" xfId="30834" hidden="1"/>
    <cellStyle name="Гиперссылка 2" xfId="30833" hidden="1"/>
    <cellStyle name="Гиперссылка 2" xfId="30838" hidden="1"/>
    <cellStyle name="Гиперссылка 2" xfId="30837" hidden="1"/>
    <cellStyle name="Гиперссылка 2" xfId="30839" hidden="1"/>
    <cellStyle name="Гиперссылка 2" xfId="30840" hidden="1"/>
    <cellStyle name="Гиперссылка 2" xfId="30845" hidden="1"/>
    <cellStyle name="Гиперссылка 2" xfId="30846" hidden="1"/>
    <cellStyle name="Гиперссылка 2" xfId="30842" hidden="1"/>
    <cellStyle name="Гиперссылка 2" xfId="30841" hidden="1"/>
    <cellStyle name="Гиперссылка 2" xfId="30844" hidden="1"/>
    <cellStyle name="Гиперссылка 2" xfId="30843" hidden="1"/>
    <cellStyle name="Гиперссылка 2" xfId="30848" hidden="1"/>
    <cellStyle name="Гиперссылка 2" xfId="30847" hidden="1"/>
    <cellStyle name="Гиперссылка 2" xfId="29479" hidden="1"/>
    <cellStyle name="Гиперссылка 2" xfId="29107" hidden="1"/>
    <cellStyle name="Гиперссылка 2" xfId="30645" hidden="1"/>
    <cellStyle name="Гиперссылка 2" xfId="29102" hidden="1"/>
    <cellStyle name="Гиперссылка 2" xfId="29109" hidden="1"/>
    <cellStyle name="Гиперссылка 2" xfId="29062" hidden="1"/>
    <cellStyle name="Гиперссылка 2" xfId="30426" hidden="1"/>
    <cellStyle name="Гиперссылка 2" xfId="29480" hidden="1"/>
    <cellStyle name="Гиперссылка 2" xfId="30249" hidden="1"/>
    <cellStyle name="Гиперссылка 2" xfId="29801" hidden="1"/>
    <cellStyle name="Гиперссылка 2" xfId="30736" hidden="1"/>
    <cellStyle name="Гиперссылка 2" xfId="30639" hidden="1"/>
    <cellStyle name="Гиперссылка 2" xfId="30418" hidden="1"/>
    <cellStyle name="Гиперссылка 2" xfId="28996" hidden="1"/>
    <cellStyle name="Гиперссылка 2" xfId="30594" hidden="1"/>
    <cellStyle name="Гиперссылка 2" xfId="30688" hidden="1"/>
    <cellStyle name="Гиперссылка 2" xfId="29176" hidden="1"/>
    <cellStyle name="Гиперссылка 2" xfId="28987" hidden="1"/>
    <cellStyle name="Гиперссылка 2" xfId="29557" hidden="1"/>
    <cellStyle name="Гиперссылка 2" xfId="29650" hidden="1"/>
    <cellStyle name="Гиперссылка 2" xfId="29005" hidden="1"/>
    <cellStyle name="Гиперссылка 2" xfId="30307" hidden="1"/>
    <cellStyle name="Гиперссылка 2" xfId="29127" hidden="1"/>
    <cellStyle name="Гиперссылка 2" xfId="29001" hidden="1"/>
    <cellStyle name="Гиперссылка 2" xfId="30234" hidden="1"/>
    <cellStyle name="Гиперссылка 2" xfId="29028" hidden="1"/>
    <cellStyle name="Гиперссылка 2" xfId="30233" hidden="1"/>
    <cellStyle name="Гиперссылка 2" xfId="29539" hidden="1"/>
    <cellStyle name="Гиперссылка 2" xfId="29812" hidden="1"/>
    <cellStyle name="Гиперссылка 2" xfId="29096" hidden="1"/>
    <cellStyle name="Гиперссылка 2" xfId="30004" hidden="1"/>
    <cellStyle name="Гиперссылка 2" xfId="29930" hidden="1"/>
    <cellStyle name="Гиперссылка 2" xfId="29384" hidden="1"/>
    <cellStyle name="Гиперссылка 2" xfId="29790" hidden="1"/>
    <cellStyle name="Гиперссылка 2" xfId="29804" hidden="1"/>
    <cellStyle name="Гиперссылка 2" xfId="30239" hidden="1"/>
    <cellStyle name="Гиперссылка 2" xfId="29002" hidden="1"/>
    <cellStyle name="Гиперссылка 2" xfId="29091" hidden="1"/>
    <cellStyle name="Гиперссылка 2" xfId="29084" hidden="1"/>
    <cellStyle name="Гиперссылка 2" xfId="29397" hidden="1"/>
    <cellStyle name="Гиперссылка 2" xfId="29731" hidden="1"/>
    <cellStyle name="Гиперссылка 2" xfId="29264" hidden="1"/>
    <cellStyle name="Гиперссылка 2" xfId="29550" hidden="1"/>
    <cellStyle name="Гиперссылка 2" xfId="29311" hidden="1"/>
    <cellStyle name="Гиперссылка 2" xfId="30260" hidden="1"/>
    <cellStyle name="Гиперссылка 2" xfId="29104" hidden="1"/>
    <cellStyle name="Гиперссылка 2" xfId="30684" hidden="1"/>
    <cellStyle name="Гиперссылка 2" xfId="30733" hidden="1"/>
    <cellStyle name="Гиперссылка 2" xfId="29055" hidden="1"/>
    <cellStyle name="Гиперссылка 2" xfId="25721" hidden="1"/>
    <cellStyle name="Гиперссылка 2" xfId="29111" hidden="1"/>
    <cellStyle name="Гиперссылка 2" xfId="29504" hidden="1"/>
    <cellStyle name="Гиперссылка 2" xfId="30316" hidden="1"/>
    <cellStyle name="Гиперссылка 2" xfId="29787" hidden="1"/>
    <cellStyle name="Гиперссылка 2" xfId="29110" hidden="1"/>
    <cellStyle name="Гиперссылка 2" xfId="30380" hidden="1"/>
    <cellStyle name="Гиперссылка 2" xfId="30355" hidden="1"/>
    <cellStyle name="Гиперссылка 2" xfId="29296" hidden="1"/>
    <cellStyle name="Гиперссылка 2" xfId="29157" hidden="1"/>
    <cellStyle name="Гиперссылка 2" xfId="29785" hidden="1"/>
    <cellStyle name="Гиперссылка 2" xfId="30697" hidden="1"/>
    <cellStyle name="Гиперссылка 2" xfId="30600" hidden="1"/>
    <cellStyle name="Гиперссылка 2" xfId="29928" hidden="1"/>
    <cellStyle name="Гиперссылка 2" xfId="29682" hidden="1"/>
    <cellStyle name="Гиперссылка 2" xfId="30685" hidden="1"/>
    <cellStyle name="Гиперссылка 2" xfId="30778" hidden="1"/>
    <cellStyle name="Гиперссылка 2" xfId="30539" hidden="1"/>
    <cellStyle name="Гиперссылка 2" xfId="30591" hidden="1"/>
    <cellStyle name="Гиперссылка 2" xfId="29185" hidden="1"/>
    <cellStyle name="Гиперссылка 2" xfId="25786" hidden="1"/>
    <cellStyle name="Гиперссылка 2" xfId="30313" hidden="1"/>
    <cellStyle name="Гиперссылка 2" xfId="29715" hidden="1"/>
    <cellStyle name="Гиперссылка 2" xfId="30598" hidden="1"/>
    <cellStyle name="Гиперссылка 2" xfId="30359" hidden="1"/>
    <cellStyle name="Гиперссылка 2" xfId="30109" hidden="1"/>
    <cellStyle name="Гиперссылка 2" xfId="29072" hidden="1"/>
    <cellStyle name="Гиперссылка 2" xfId="30694" hidden="1"/>
    <cellStyle name="Гиперссылка 2" xfId="29300" hidden="1"/>
    <cellStyle name="Гиперссылка 2" xfId="30695" hidden="1"/>
    <cellStyle name="Гиперссылка 2" xfId="30741" hidden="1"/>
    <cellStyle name="Гиперссылка 2" xfId="29714" hidden="1"/>
    <cellStyle name="Гиперссылка 2" xfId="30428" hidden="1"/>
    <cellStyle name="Гиперссылка 2" xfId="30640" hidden="1"/>
    <cellStyle name="Гиперссылка 2" xfId="29875" hidden="1"/>
    <cellStyle name="Гиперссылка 2" xfId="29410" hidden="1"/>
    <cellStyle name="Гиперссылка 2" xfId="29591" hidden="1"/>
    <cellStyle name="Гиперссылка 2" xfId="29789" hidden="1"/>
    <cellStyle name="Гиперссылка 2" xfId="29347" hidden="1"/>
    <cellStyle name="Гиперссылка 2" xfId="29070" hidden="1"/>
    <cellStyle name="Гиперссылка 2" xfId="30255" hidden="1"/>
    <cellStyle name="Гиперссылка 2" xfId="29122" hidden="1"/>
    <cellStyle name="Гиперссылка 2" xfId="29704" hidden="1"/>
    <cellStyle name="Гиперссылка 2" xfId="29090" hidden="1"/>
    <cellStyle name="Гиперссылка 2" xfId="30008" hidden="1"/>
    <cellStyle name="Гиперссылка 2" xfId="30658" hidden="1"/>
    <cellStyle name="Гиперссылка 2" xfId="29887" hidden="1"/>
    <cellStyle name="Гиперссылка 2" xfId="29380" hidden="1"/>
    <cellStyle name="Гиперссылка 2" xfId="30555" hidden="1"/>
    <cellStyle name="Гиперссылка 2" xfId="29020" hidden="1"/>
    <cellStyle name="Гиперссылка 2" xfId="29809" hidden="1"/>
    <cellStyle name="Гиперссылка 2" xfId="29050" hidden="1"/>
    <cellStyle name="Гиперссылка 2" xfId="29004" hidden="1"/>
    <cellStyle name="Гиперссылка 2" xfId="29659" hidden="1"/>
    <cellStyle name="Гиперссылка 2" xfId="30295" hidden="1"/>
    <cellStyle name="Гиперссылка 2" xfId="30463" hidden="1"/>
    <cellStyle name="Гиперссылка 2" xfId="30193" hidden="1"/>
    <cellStyle name="Гиперссылка 2" xfId="25694" hidden="1"/>
    <cellStyle name="Гиперссылка 2" xfId="29282" hidden="1"/>
    <cellStyle name="Гиперссылка 2" xfId="29265" hidden="1"/>
    <cellStyle name="Гиперссылка 2" xfId="30197" hidden="1"/>
    <cellStyle name="Гиперссылка 2" xfId="29165" hidden="1"/>
    <cellStyle name="Гиперссылка 2" xfId="29815" hidden="1"/>
    <cellStyle name="Гиперссылка 2" xfId="29321" hidden="1"/>
    <cellStyle name="Гиперссылка 2" xfId="28994" hidden="1"/>
    <cellStyle name="Гиперссылка 2" xfId="29135" hidden="1"/>
    <cellStyle name="Гиперссылка 2" xfId="29160" hidden="1"/>
    <cellStyle name="Гиперссылка 2" xfId="29292" hidden="1"/>
    <cellStyle name="Гиперссылка 2" xfId="29805" hidden="1"/>
    <cellStyle name="Гиперссылка 2" xfId="29939" hidden="1"/>
    <cellStyle name="Гиперссылка 2" xfId="29424" hidden="1"/>
    <cellStyle name="Гиперссылка 2" xfId="30308" hidden="1"/>
    <cellStyle name="Гиперссылка 2" xfId="30361" hidden="1"/>
    <cellStyle name="Гиперссылка 2" xfId="30322" hidden="1"/>
    <cellStyle name="Гиперссылка 2" xfId="29540" hidden="1"/>
    <cellStyle name="Гиперссылка 2" xfId="29651" hidden="1"/>
    <cellStyle name="Гиперссылка 2" xfId="29210" hidden="1"/>
    <cellStyle name="Гиперссылка 2" xfId="30642" hidden="1"/>
    <cellStyle name="Гиперссылка 2" xfId="30296" hidden="1"/>
    <cellStyle name="Гиперссылка 2" xfId="29123" hidden="1"/>
    <cellStyle name="Гиперссылка 2" xfId="30189" hidden="1"/>
    <cellStyle name="Гиперссылка 2" xfId="29395" hidden="1"/>
    <cellStyle name="Гиперссылка 2" xfId="29734" hidden="1"/>
    <cellStyle name="Гиперссылка 2" xfId="30379" hidden="1"/>
    <cellStyle name="Гиперссылка 2" xfId="30196" hidden="1"/>
    <cellStyle name="Гиперссылка 2" xfId="30734" hidden="1"/>
    <cellStyle name="Гиперссылка 2" xfId="30465" hidden="1"/>
    <cellStyle name="Гиперссылка 2" xfId="30590" hidden="1"/>
    <cellStyle name="Гиперссылка 2" xfId="30637" hidden="1"/>
    <cellStyle name="Гиперссылка 2" xfId="30356" hidden="1"/>
    <cellStyle name="Гиперссылка 2" xfId="30054" hidden="1"/>
    <cellStyle name="Гиперссылка 2" xfId="29373" hidden="1"/>
    <cellStyle name="Гиперссылка 2" xfId="29056" hidden="1"/>
    <cellStyle name="Гиперссылка 2" xfId="29188" hidden="1"/>
    <cellStyle name="Гиперссылка 2" xfId="29711" hidden="1"/>
    <cellStyle name="Гиперссылка 2" xfId="30257" hidden="1"/>
    <cellStyle name="Гиперссылка 2" xfId="25796" hidden="1"/>
    <cellStyle name="Гиперссылка 2" xfId="29658" hidden="1"/>
    <cellStyle name="Гиперссылка 2" xfId="29244" hidden="1"/>
    <cellStyle name="Гиперссылка 2" xfId="30065" hidden="1"/>
    <cellStyle name="Гиперссылка 2" xfId="29464" hidden="1"/>
    <cellStyle name="Гиперссылка 2" xfId="25701" hidden="1"/>
    <cellStyle name="Гиперссылка 2" xfId="29951" hidden="1"/>
    <cellStyle name="Гиперссылка 2" xfId="29314" hidden="1"/>
    <cellStyle name="Гиперссылка 2" xfId="29577" hidden="1"/>
    <cellStyle name="Гиперссылка 2" xfId="30466" hidden="1"/>
    <cellStyle name="Гиперссылка 2" xfId="29379" hidden="1"/>
    <cellStyle name="Гиперссылка 2" xfId="29017" hidden="1"/>
    <cellStyle name="Гиперссылка 2" xfId="29080" hidden="1"/>
    <cellStyle name="Гиперссылка 2" xfId="29256" hidden="1"/>
    <cellStyle name="Гиперссылка 2" xfId="29262" hidden="1"/>
    <cellStyle name="Гиперссылка 2" xfId="29343" hidden="1"/>
    <cellStyle name="Гиперссылка 2" xfId="30577" hidden="1"/>
    <cellStyle name="Гиперссылка 2" xfId="30362" hidden="1"/>
    <cellStyle name="Гиперссылка 2" xfId="30320" hidden="1"/>
    <cellStyle name="Гиперссылка 2" xfId="29995" hidden="1"/>
    <cellStyle name="Гиперссылка 2" xfId="30587" hidden="1"/>
    <cellStyle name="Гиперссылка 2" xfId="29081" hidden="1"/>
    <cellStyle name="Гиперссылка 2" xfId="29409" hidden="1"/>
    <cellStyle name="Гиперссылка 2" xfId="29986" hidden="1"/>
    <cellStyle name="Гиперссылка 2" xfId="30422" hidden="1"/>
    <cellStyle name="Гиперссылка 2" xfId="30686" hidden="1"/>
    <cellStyle name="Гиперссылка 2" xfId="30592" hidden="1"/>
    <cellStyle name="Гиперссылка 2" xfId="29097" hidden="1"/>
    <cellStyle name="Гиперссылка 2" xfId="29999" hidden="1"/>
    <cellStyle name="Гиперссылка 2" xfId="29094" hidden="1"/>
    <cellStyle name="Гиперссылка 2" xfId="25711" hidden="1"/>
    <cellStyle name="Гиперссылка 2" xfId="29428" hidden="1"/>
    <cellStyle name="Гиперссылка 2" xfId="29547" hidden="1"/>
    <cellStyle name="Гиперссылка 2" xfId="29095" hidden="1"/>
    <cellStyle name="Гиперссылка 2" xfId="29489" hidden="1"/>
    <cellStyle name="Гиперссылка 2" xfId="29877" hidden="1"/>
    <cellStyle name="Гиперссылка 2" xfId="30069" hidden="1"/>
    <cellStyle name="Гиперссылка 2" xfId="30779" hidden="1"/>
    <cellStyle name="Гиперссылка 2" xfId="30687" hidden="1"/>
    <cellStyle name="Гиперссылка 2" xfId="29631" hidden="1"/>
    <cellStyle name="Гиперссылка 2" xfId="29726" hidden="1"/>
    <cellStyle name="Гиперссылка 2" xfId="29390" hidden="1"/>
    <cellStyle name="Гиперссылка 2" xfId="30315" hidden="1"/>
    <cellStyle name="Гиперссылка 2" xfId="29671" hidden="1"/>
    <cellStyle name="Гиперссылка 2" xfId="29383" hidden="1"/>
    <cellStyle name="Гиперссылка 2" xfId="29468" hidden="1"/>
    <cellStyle name="Гиперссылка 2" xfId="29137" hidden="1"/>
    <cellStyle name="Гиперссылка 2" xfId="29116" hidden="1"/>
    <cellStyle name="Гиперссылка 2" xfId="30419" hidden="1"/>
    <cellStyle name="Гиперссылка 2" xfId="29247" hidden="1"/>
    <cellStyle name="Гиперссылка 2" xfId="28988" hidden="1"/>
    <cellStyle name="Гиперссылка 2" xfId="29856" hidden="1"/>
    <cellStyle name="Гиперссылка 2" xfId="29354" hidden="1"/>
    <cellStyle name="Гиперссылка 2" xfId="30052" hidden="1"/>
    <cellStyle name="Гиперссылка 2" xfId="29556" hidden="1"/>
    <cellStyle name="Гиперссылка 2" xfId="29179" hidden="1"/>
    <cellStyle name="Гиперссылка 2" xfId="29545" hidden="1"/>
    <cellStyle name="Гиперссылка 2" xfId="29774" hidden="1"/>
    <cellStyle name="Гиперссылка 2" xfId="29797" hidden="1"/>
    <cellStyle name="Гиперссылка 2" xfId="30735" hidden="1"/>
    <cellStyle name="Гиперссылка 2" xfId="29243" hidden="1"/>
    <cellStyle name="Гиперссылка 2" xfId="29800" hidden="1"/>
    <cellStyle name="Гиперссылка 2" xfId="30738" hidden="1"/>
    <cellStyle name="Гиперссылка 2" xfId="30048" hidden="1"/>
    <cellStyle name="Гиперссылка 2" xfId="29997" hidden="1"/>
    <cellStyle name="Гиперссылка 2" xfId="30754" hidden="1"/>
    <cellStyle name="Гиперссылка 2" xfId="30659" hidden="1"/>
    <cellStyle name="Гиперссылка 2" xfId="29647" hidden="1"/>
    <cellStyle name="Гиперссылка 2" xfId="25690" hidden="1"/>
    <cellStyle name="Гиперссылка 2" xfId="30188" hidden="1"/>
    <cellStyle name="Гиперссылка 2" xfId="29158" hidden="1"/>
    <cellStyle name="Гиперссылка 2" xfId="30364" hidden="1"/>
    <cellStyle name="Гиперссылка 2" xfId="30063" hidden="1"/>
    <cellStyle name="Гиперссылка 2" xfId="29799" hidden="1"/>
    <cellStyle name="Гиперссылка 2" xfId="29880" hidden="1"/>
    <cellStyle name="Гиперссылка 2" xfId="25808" hidden="1"/>
    <cellStyle name="Гиперссылка 2" xfId="30301" hidden="1"/>
    <cellStyle name="Гиперссылка 2" xfId="29802" hidden="1"/>
    <cellStyle name="Гиперссылка 2" xfId="30780" hidden="1"/>
    <cellStyle name="Гиперссылка 2" xfId="29925" hidden="1"/>
    <cellStyle name="Гиперссылка 2" xfId="30235" hidden="1"/>
    <cellStyle name="Гиперссылка 2" xfId="30053" hidden="1"/>
    <cellStyle name="Гиперссылка 2" xfId="29306" hidden="1"/>
    <cellStyle name="Гиперссылка 2" xfId="30593" hidden="1"/>
    <cellStyle name="Гиперссылка 2" xfId="30641" hidden="1"/>
    <cellStyle name="Гиперссылка 2" xfId="29462" hidden="1"/>
    <cellStyle name="Гиперссылка 2" xfId="29177" hidden="1"/>
    <cellStyle name="Гиперссылка 2" xfId="29124" hidden="1"/>
    <cellStyle name="Гиперссылка 2" xfId="30298" hidden="1"/>
    <cellStyle name="Гиперссылка 2" xfId="30242" hidden="1"/>
    <cellStyle name="Гиперссылка 2" xfId="30252" hidden="1"/>
    <cellStyle name="Гиперссылка 2" xfId="30241" hidden="1"/>
    <cellStyle name="Гиперссылка 2" xfId="29136" hidden="1"/>
    <cellStyle name="Гиперссылка 2" xfId="29498" hidden="1"/>
    <cellStyle name="Гиперссылка 2" xfId="29024" hidden="1"/>
    <cellStyle name="Гиперссылка 2" xfId="30689" hidden="1"/>
    <cellStyle name="Гиперссылка 2" xfId="30732" hidden="1"/>
    <cellStyle name="Гиперссылка 2" xfId="25722" hidden="1"/>
    <cellStyle name="Гиперссылка 2" xfId="29414" hidden="1"/>
    <cellStyle name="Гиперссылка 2" xfId="30785" hidden="1"/>
    <cellStyle name="Гиперссылка 2" xfId="30303" hidden="1"/>
    <cellStyle name="Гиперссылка 2" xfId="30693" hidden="1"/>
    <cellStyle name="Гиперссылка 2" xfId="29644" hidden="1"/>
    <cellStyle name="Гиперссылка 2" xfId="30852" hidden="1"/>
    <cellStyle name="Гиперссылка 2" xfId="30851" hidden="1"/>
    <cellStyle name="Гиперссылка 2" xfId="30858" hidden="1"/>
    <cellStyle name="Гиперссылка 2" xfId="30859" hidden="1"/>
    <cellStyle name="Гиперссылка 2" xfId="30864" hidden="1"/>
    <cellStyle name="Гиперссылка 2" xfId="30865" hidden="1"/>
    <cellStyle name="Гиперссылка 2" xfId="30861" hidden="1"/>
    <cellStyle name="Гиперссылка 2" xfId="30860" hidden="1"/>
    <cellStyle name="Гиперссылка 2" xfId="30863" hidden="1"/>
    <cellStyle name="Гиперссылка 2" xfId="30862" hidden="1"/>
    <cellStyle name="Гиперссылка 2" xfId="30867" hidden="1"/>
    <cellStyle name="Гиперссылка 2" xfId="30866" hidden="1"/>
    <cellStyle name="Гиперссылка 2" xfId="30868" hidden="1"/>
    <cellStyle name="Гиперссылка 2" xfId="30869" hidden="1"/>
    <cellStyle name="Гиперссылка 2" xfId="30874" hidden="1"/>
    <cellStyle name="Гиперссылка 2" xfId="30875" hidden="1"/>
    <cellStyle name="Гиперссылка 2" xfId="30871" hidden="1"/>
    <cellStyle name="Гиперссылка 2" xfId="30870" hidden="1"/>
    <cellStyle name="Гиперссылка 2" xfId="30873" hidden="1"/>
    <cellStyle name="Гиперссылка 2" xfId="30872" hidden="1"/>
    <cellStyle name="Гиперссылка 2" xfId="30877" hidden="1"/>
    <cellStyle name="Гиперссылка 2" xfId="30876" hidden="1"/>
    <cellStyle name="Гиперссылка 2" xfId="30878" hidden="1"/>
    <cellStyle name="Гиперссылка 2" xfId="30879" hidden="1"/>
    <cellStyle name="Гиперссылка 2" xfId="30884" hidden="1"/>
    <cellStyle name="Гиперссылка 2" xfId="30885" hidden="1"/>
    <cellStyle name="Гиперссылка 2" xfId="30881" hidden="1"/>
    <cellStyle name="Гиперссылка 2" xfId="30880" hidden="1"/>
    <cellStyle name="Гиперссылка 2" xfId="30883" hidden="1"/>
    <cellStyle name="Гиперссылка 2" xfId="30882" hidden="1"/>
    <cellStyle name="Гиперссылка 2" xfId="30887" hidden="1"/>
    <cellStyle name="Гиперссылка 2" xfId="30886" hidden="1"/>
    <cellStyle name="Гиперссылка 2" xfId="29490" hidden="1"/>
    <cellStyle name="Гиперссылка 2" xfId="29475" hidden="1"/>
    <cellStyle name="Гиперссылка 2" xfId="30461" hidden="1"/>
    <cellStyle name="Гиперссылка 2" xfId="29421" hidden="1"/>
    <cellStyle name="Гиперссылка 2" xfId="30631" hidden="1"/>
    <cellStyle name="Гиперссылка 2" xfId="30854" hidden="1"/>
    <cellStyle name="Гиперссылка 2" xfId="29811" hidden="1"/>
    <cellStyle name="Гиперссылка 2" xfId="29546" hidden="1"/>
    <cellStyle name="Гиперссылка 2" xfId="30899" hidden="1"/>
    <cellStyle name="Гиперссылка 2" xfId="30898" hidden="1"/>
    <cellStyle name="Гиперссылка 2" xfId="30901" hidden="1"/>
    <cellStyle name="Гиперссылка 2" xfId="30902" hidden="1"/>
    <cellStyle name="Гиперссылка 2" xfId="30907" hidden="1"/>
    <cellStyle name="Гиперссылка 2" xfId="30908" hidden="1"/>
    <cellStyle name="Гиперссылка 2" xfId="30904" hidden="1"/>
    <cellStyle name="Гиперссылка 2" xfId="30903" hidden="1"/>
    <cellStyle name="Гиперссылка 2" xfId="30906" hidden="1"/>
    <cellStyle name="Гиперссылка 2" xfId="30905" hidden="1"/>
    <cellStyle name="Гиперссылка 2" xfId="30910" hidden="1"/>
    <cellStyle name="Гиперссылка 2" xfId="30909" hidden="1"/>
    <cellStyle name="Гиперссылка 2" xfId="30911" hidden="1"/>
    <cellStyle name="Гиперссылка 2" xfId="30912" hidden="1"/>
    <cellStyle name="Гиперссылка 2" xfId="30917" hidden="1"/>
    <cellStyle name="Гиперссылка 2" xfId="30918" hidden="1"/>
    <cellStyle name="Гиперссылка 2" xfId="30914" hidden="1"/>
    <cellStyle name="Гиперссылка 2" xfId="30913" hidden="1"/>
    <cellStyle name="Гиперссылка 2" xfId="30916" hidden="1"/>
    <cellStyle name="Гиперссылка 2" xfId="30915" hidden="1"/>
    <cellStyle name="Гиперссылка 2" xfId="30920" hidden="1"/>
    <cellStyle name="Гиперссылка 2" xfId="30919" hidden="1"/>
    <cellStyle name="Гиперссылка 2" xfId="30921" hidden="1"/>
    <cellStyle name="Гиперссылка 2" xfId="30922" hidden="1"/>
    <cellStyle name="Гиперссылка 2" xfId="30927" hidden="1"/>
    <cellStyle name="Гиперссылка 2" xfId="30928" hidden="1"/>
    <cellStyle name="Гиперссылка 2" xfId="30924" hidden="1"/>
    <cellStyle name="Гиперссылка 2" xfId="30923" hidden="1"/>
    <cellStyle name="Гиперссылка 2" xfId="30926" hidden="1"/>
    <cellStyle name="Гиперссылка 2" xfId="30925" hidden="1"/>
    <cellStyle name="Гиперссылка 2" xfId="30930" hidden="1"/>
    <cellStyle name="Гиперссылка 2" xfId="30929" hidden="1"/>
    <cellStyle name="Гиперссылка 2" xfId="29112" hidden="1"/>
    <cellStyle name="Гиперссылка 2" xfId="30013" hidden="1"/>
    <cellStyle name="Гиперссылка 2" xfId="29495" hidden="1"/>
    <cellStyle name="Гиперссылка 2" xfId="30692" hidden="1"/>
    <cellStyle name="Гиперссылка 2" xfId="30893" hidden="1"/>
    <cellStyle name="Гиперссылка 2" xfId="30900" hidden="1"/>
    <cellStyle name="Гиперссылка 2" xfId="29926" hidden="1"/>
    <cellStyle name="Гиперссылка 2" xfId="30889" hidden="1"/>
    <cellStyle name="Гиперссылка 2" xfId="30942" hidden="1"/>
    <cellStyle name="Гиперссылка 2" xfId="30941" hidden="1"/>
    <cellStyle name="Гиперссылка 2" xfId="30945" hidden="1"/>
    <cellStyle name="Гиперссылка 2" xfId="30946" hidden="1"/>
    <cellStyle name="Гиперссылка 2" xfId="30951" hidden="1"/>
    <cellStyle name="Гиперссылка 2" xfId="30952" hidden="1"/>
    <cellStyle name="Гиперссылка 2" xfId="30948" hidden="1"/>
    <cellStyle name="Гиперссылка 2" xfId="30947" hidden="1"/>
    <cellStyle name="Гиперссылка 2" xfId="30950" hidden="1"/>
    <cellStyle name="Гиперссылка 2" xfId="30949" hidden="1"/>
    <cellStyle name="Гиперссылка 2" xfId="30954" hidden="1"/>
    <cellStyle name="Гиперссылка 2" xfId="30953" hidden="1"/>
    <cellStyle name="Гиперссылка 2" xfId="30955" hidden="1"/>
    <cellStyle name="Гиперссылка 2" xfId="30956" hidden="1"/>
    <cellStyle name="Гиперссылка 2" xfId="30961" hidden="1"/>
    <cellStyle name="Гиперссылка 2" xfId="30962" hidden="1"/>
    <cellStyle name="Гиперссылка 2" xfId="30958" hidden="1"/>
    <cellStyle name="Гиперссылка 2" xfId="30957" hidden="1"/>
    <cellStyle name="Гиперссылка 2" xfId="30960" hidden="1"/>
    <cellStyle name="Гиперссылка 2" xfId="30959" hidden="1"/>
    <cellStyle name="Гиперссылка 2" xfId="30964" hidden="1"/>
    <cellStyle name="Гиперссылка 2" xfId="30963" hidden="1"/>
    <cellStyle name="Гиперссылка 2" xfId="30965" hidden="1"/>
    <cellStyle name="Гиперссылка 2" xfId="30966" hidden="1"/>
    <cellStyle name="Гиперссылка 2" xfId="30971" hidden="1"/>
    <cellStyle name="Гиперссылка 2" xfId="30972" hidden="1"/>
    <cellStyle name="Гиперссылка 2" xfId="30968" hidden="1"/>
    <cellStyle name="Гиперссылка 2" xfId="30967" hidden="1"/>
    <cellStyle name="Гиперссылка 2" xfId="30970" hidden="1"/>
    <cellStyle name="Гиперссылка 2" xfId="30969" hidden="1"/>
    <cellStyle name="Гиперссылка 2" xfId="30974" hidden="1"/>
    <cellStyle name="Гиперссылка 2" xfId="30973" hidden="1"/>
    <cellStyle name="Гиперссылка 2" xfId="30890" hidden="1"/>
    <cellStyle name="Гиперссылка 2" xfId="30538" hidden="1"/>
    <cellStyle name="Гиперссылка 2" xfId="28997" hidden="1"/>
    <cellStyle name="Гиперссылка 2" xfId="29946" hidden="1"/>
    <cellStyle name="Гиперссылка 2" xfId="30935" hidden="1"/>
    <cellStyle name="Гиперссылка 2" xfId="30943" hidden="1"/>
    <cellStyle name="Гиперссылка 2" xfId="30588" hidden="1"/>
    <cellStyle name="Гиперссылка 2" xfId="30931" hidden="1"/>
    <cellStyle name="Гиперссылка 2" xfId="30984" hidden="1"/>
    <cellStyle name="Гиперссылка 2" xfId="30983" hidden="1"/>
    <cellStyle name="Гиперссылка 2" xfId="30987" hidden="1"/>
    <cellStyle name="Гиперссылка 2" xfId="30988" hidden="1"/>
    <cellStyle name="Гиперссылка 2" xfId="30993" hidden="1"/>
    <cellStyle name="Гиперссылка 2" xfId="30994" hidden="1"/>
    <cellStyle name="Гиперссылка 2" xfId="30990" hidden="1"/>
    <cellStyle name="Гиперссылка 2" xfId="30989" hidden="1"/>
    <cellStyle name="Гиперссылка 2" xfId="30992" hidden="1"/>
    <cellStyle name="Гиперссылка 2" xfId="30991" hidden="1"/>
    <cellStyle name="Гиперссылка 2" xfId="30996" hidden="1"/>
    <cellStyle name="Гиперссылка 2" xfId="30995" hidden="1"/>
    <cellStyle name="Гиперссылка 2" xfId="30997" hidden="1"/>
    <cellStyle name="Гиперссылка 2" xfId="30998" hidden="1"/>
    <cellStyle name="Гиперссылка 2" xfId="31003" hidden="1"/>
    <cellStyle name="Гиперссылка 2" xfId="31004" hidden="1"/>
    <cellStyle name="Гиперссылка 2" xfId="31000" hidden="1"/>
    <cellStyle name="Гиперссылка 2" xfId="30999" hidden="1"/>
    <cellStyle name="Гиперссылка 2" xfId="31002" hidden="1"/>
    <cellStyle name="Гиперссылка 2" xfId="31001" hidden="1"/>
    <cellStyle name="Гиперссылка 2" xfId="31006" hidden="1"/>
    <cellStyle name="Гиперссылка 2" xfId="31005" hidden="1"/>
    <cellStyle name="Гиперссылка 2" xfId="31007" hidden="1"/>
    <cellStyle name="Гиперссылка 2" xfId="31008" hidden="1"/>
    <cellStyle name="Гиперссылка 2" xfId="31013" hidden="1"/>
    <cellStyle name="Гиперссылка 2" xfId="31014" hidden="1"/>
    <cellStyle name="Гиперссылка 2" xfId="31010" hidden="1"/>
    <cellStyle name="Гиперссылка 2" xfId="31009" hidden="1"/>
    <cellStyle name="Гиперссылка 2" xfId="31012" hidden="1"/>
    <cellStyle name="Гиперссылка 2" xfId="31011" hidden="1"/>
    <cellStyle name="Гиперссылка 2" xfId="31016" hidden="1"/>
    <cellStyle name="Гиперссылка 2" xfId="31015" hidden="1"/>
    <cellStyle name="Гиперссылка 2" xfId="30932" hidden="1"/>
    <cellStyle name="Гиперссылка 2" xfId="29586" hidden="1"/>
    <cellStyle name="Гиперссылка 2" xfId="29269" hidden="1"/>
    <cellStyle name="Гиперссылка 2" xfId="29622" hidden="1"/>
    <cellStyle name="Гиперссылка 2" xfId="30979" hidden="1"/>
    <cellStyle name="Гиперссылка 2" xfId="30985" hidden="1"/>
    <cellStyle name="Гиперссылка 2" xfId="30647" hidden="1"/>
    <cellStyle name="Гиперссылка 2" xfId="30976" hidden="1"/>
    <cellStyle name="Гиперссылка 2" xfId="31025" hidden="1"/>
    <cellStyle name="Гиперссылка 2" xfId="31024" hidden="1"/>
    <cellStyle name="Гиперссылка 2" xfId="31027" hidden="1"/>
    <cellStyle name="Гиперссылка 2" xfId="31028" hidden="1"/>
    <cellStyle name="Гиперссылка 2" xfId="31033" hidden="1"/>
    <cellStyle name="Гиперссылка 2" xfId="31034" hidden="1"/>
    <cellStyle name="Гиперссылка 2" xfId="31030" hidden="1"/>
    <cellStyle name="Гиперссылка 2" xfId="31029" hidden="1"/>
    <cellStyle name="Гиперссылка 2" xfId="31032" hidden="1"/>
    <cellStyle name="Гиперссылка 2" xfId="31031" hidden="1"/>
    <cellStyle name="Гиперссылка 2" xfId="31036" hidden="1"/>
    <cellStyle name="Гиперссылка 2" xfId="31035" hidden="1"/>
    <cellStyle name="Гиперссылка 2" xfId="31037" hidden="1"/>
    <cellStyle name="Гиперссылка 2" xfId="31038" hidden="1"/>
    <cellStyle name="Гиперссылка 2" xfId="31043" hidden="1"/>
    <cellStyle name="Гиперссылка 2" xfId="31044" hidden="1"/>
    <cellStyle name="Гиперссылка 2" xfId="31040" hidden="1"/>
    <cellStyle name="Гиперссылка 2" xfId="31039" hidden="1"/>
    <cellStyle name="Гиперссылка 2" xfId="31042" hidden="1"/>
    <cellStyle name="Гиперссылка 2" xfId="31041" hidden="1"/>
    <cellStyle name="Гиперссылка 2" xfId="31046" hidden="1"/>
    <cellStyle name="Гиперссылка 2" xfId="31045" hidden="1"/>
    <cellStyle name="Гиперссылка 2" xfId="31047" hidden="1"/>
    <cellStyle name="Гиперссылка 2" xfId="31048" hidden="1"/>
    <cellStyle name="Гиперссылка 2" xfId="31053" hidden="1"/>
    <cellStyle name="Гиперссылка 2" xfId="31054" hidden="1"/>
    <cellStyle name="Гиперссылка 2" xfId="31050" hidden="1"/>
    <cellStyle name="Гиперссылка 2" xfId="31049" hidden="1"/>
    <cellStyle name="Гиперссылка 2" xfId="31052" hidden="1"/>
    <cellStyle name="Гиперссылка 2" xfId="31051" hidden="1"/>
    <cellStyle name="Гиперссылка 2" xfId="31056" hidden="1"/>
    <cellStyle name="Гиперссылка 2" xfId="31055" hidden="1"/>
    <cellStyle name="Гиперссылка 2" xfId="30977" hidden="1"/>
    <cellStyle name="Гиперссылка 2" xfId="30584" hidden="1"/>
    <cellStyle name="Гиперссылка 2" xfId="29207" hidden="1"/>
    <cellStyle name="Гиперссылка 2" xfId="29569" hidden="1"/>
    <cellStyle name="Гиперссылка 2" xfId="31020" hidden="1"/>
    <cellStyle name="Гиперссылка 2" xfId="31026" hidden="1"/>
    <cellStyle name="Гиперссылка 2" xfId="30849" hidden="1"/>
    <cellStyle name="Гиперссылка 2" xfId="31017" hidden="1"/>
    <cellStyle name="Гиперссылка 2" xfId="31063" hidden="1"/>
    <cellStyle name="Гиперссылка 2" xfId="31062" hidden="1"/>
    <cellStyle name="Гиперссылка 2" xfId="31066" hidden="1"/>
    <cellStyle name="Гиперссылка 2" xfId="31067" hidden="1"/>
    <cellStyle name="Гиперссылка 2" xfId="31072" hidden="1"/>
    <cellStyle name="Гиперссылка 2" xfId="31073" hidden="1"/>
    <cellStyle name="Гиперссылка 2" xfId="31069" hidden="1"/>
    <cellStyle name="Гиперссылка 2" xfId="31068" hidden="1"/>
    <cellStyle name="Гиперссылка 2" xfId="31071" hidden="1"/>
    <cellStyle name="Гиперссылка 2" xfId="31070" hidden="1"/>
    <cellStyle name="Гиперссылка 2" xfId="31075" hidden="1"/>
    <cellStyle name="Гиперссылка 2" xfId="31074" hidden="1"/>
    <cellStyle name="Гиперссылка 2" xfId="31076" hidden="1"/>
    <cellStyle name="Гиперссылка 2" xfId="31077" hidden="1"/>
    <cellStyle name="Гиперссылка 2" xfId="31082" hidden="1"/>
    <cellStyle name="Гиперссылка 2" xfId="31083" hidden="1"/>
    <cellStyle name="Гиперссылка 2" xfId="31079" hidden="1"/>
    <cellStyle name="Гиперссылка 2" xfId="31078" hidden="1"/>
    <cellStyle name="Гиперссылка 2" xfId="31081" hidden="1"/>
    <cellStyle name="Гиперссылка 2" xfId="31080" hidden="1"/>
    <cellStyle name="Гиперссылка 2" xfId="31085" hidden="1"/>
    <cellStyle name="Гиперссылка 2" xfId="31084" hidden="1"/>
    <cellStyle name="Гиперссылка 2" xfId="31086" hidden="1"/>
    <cellStyle name="Гиперссылка 2" xfId="31087" hidden="1"/>
    <cellStyle name="Гиперссылка 2" xfId="31092" hidden="1"/>
    <cellStyle name="Гиперссылка 2" xfId="31093" hidden="1"/>
    <cellStyle name="Гиперссылка 2" xfId="31089" hidden="1"/>
    <cellStyle name="Гиперссылка 2" xfId="31088" hidden="1"/>
    <cellStyle name="Гиперссылка 2" xfId="31091" hidden="1"/>
    <cellStyle name="Гиперссылка 2" xfId="31090" hidden="1"/>
    <cellStyle name="Гиперссылка 2" xfId="31095" hidden="1"/>
    <cellStyle name="Гиперссылка 2" xfId="31094" hidden="1"/>
    <cellStyle name="Гиперссылка 2" xfId="31018" hidden="1"/>
    <cellStyle name="Гиперссылка 2" xfId="30468" hidden="1"/>
    <cellStyle name="Гиперссылка 2" xfId="30892" hidden="1"/>
    <cellStyle name="Гиперссылка 2" xfId="29317" hidden="1"/>
    <cellStyle name="Гиперссылка 2" xfId="31060" hidden="1"/>
    <cellStyle name="Гиперссылка 2" xfId="31064" hidden="1"/>
    <cellStyle name="Гиперссылка 2" xfId="30897" hidden="1"/>
    <cellStyle name="Гиперссылка 2" xfId="31058" hidden="1"/>
    <cellStyle name="Гиперссылка 2" xfId="31097" hidden="1"/>
    <cellStyle name="Гиперссылка 2" xfId="31096" hidden="1"/>
    <cellStyle name="Гиперссылка 2" xfId="31098" hidden="1"/>
    <cellStyle name="Гиперссылка 2" xfId="31099" hidden="1"/>
    <cellStyle name="Гиперссылка 2" xfId="31104" hidden="1"/>
    <cellStyle name="Гиперссылка 2" xfId="31105" hidden="1"/>
    <cellStyle name="Гиперссылка 2" xfId="31101" hidden="1"/>
    <cellStyle name="Гиперссылка 2" xfId="31100" hidden="1"/>
    <cellStyle name="Гиперссылка 2" xfId="31103" hidden="1"/>
    <cellStyle name="Гиперссылка 2" xfId="31102" hidden="1"/>
    <cellStyle name="Гиперссылка 2" xfId="31107" hidden="1"/>
    <cellStyle name="Гиперссылка 2" xfId="31106" hidden="1"/>
    <cellStyle name="Гиперссылка 2" xfId="31108" hidden="1"/>
    <cellStyle name="Гиперссылка 2" xfId="31109" hidden="1"/>
    <cellStyle name="Гиперссылка 2" xfId="31114" hidden="1"/>
    <cellStyle name="Гиперссылка 2" xfId="31115" hidden="1"/>
    <cellStyle name="Гиперссылка 2" xfId="31111" hidden="1"/>
    <cellStyle name="Гиперссылка 2" xfId="31110" hidden="1"/>
    <cellStyle name="Гиперссылка 2" xfId="31113" hidden="1"/>
    <cellStyle name="Гиперссылка 2" xfId="31112" hidden="1"/>
    <cellStyle name="Гиперссылка 2" xfId="31117" hidden="1"/>
    <cellStyle name="Гиперссылка 2" xfId="31116" hidden="1"/>
    <cellStyle name="Гиперссылка 2" xfId="31118" hidden="1"/>
    <cellStyle name="Гиперссылка 2" xfId="31119" hidden="1"/>
    <cellStyle name="Гиперссылка 2" xfId="31124" hidden="1"/>
    <cellStyle name="Гиперссылка 2" xfId="31125" hidden="1"/>
    <cellStyle name="Гиперссылка 2" xfId="31121" hidden="1"/>
    <cellStyle name="Гиперссылка 2" xfId="31120" hidden="1"/>
    <cellStyle name="Гиперссылка 2" xfId="31123" hidden="1"/>
    <cellStyle name="Гиперссылка 2" xfId="31122" hidden="1"/>
    <cellStyle name="Гиперссылка 2" xfId="31127" hidden="1"/>
    <cellStyle name="Гиперссылка 2" xfId="31126" hidden="1"/>
    <cellStyle name="Гиперссылка 2" xfId="30544" hidden="1"/>
    <cellStyle name="Гиперссылка 2" xfId="29382" hidden="1"/>
    <cellStyle name="Гиперссылка 2" xfId="29884" hidden="1"/>
    <cellStyle name="Гиперссылка 2" xfId="29852" hidden="1"/>
    <cellStyle name="Гиперссылка 2" xfId="30940" hidden="1"/>
    <cellStyle name="Гиперссылка 2" xfId="30229" hidden="1"/>
    <cellStyle name="Гиперссылка 2" xfId="29037" hidden="1"/>
    <cellStyle name="Гиперссылка 2" xfId="30292" hidden="1"/>
    <cellStyle name="Гиперссылка 2" xfId="29573" hidden="1"/>
    <cellStyle name="Гиперссылка 2" xfId="30317" hidden="1"/>
    <cellStyle name="Гиперссылка 2" xfId="30891" hidden="1"/>
    <cellStyle name="Гиперссылка 2" xfId="29501" hidden="1"/>
    <cellStyle name="Гиперссылка 2" xfId="29087" hidden="1"/>
    <cellStyle name="Гиперссылка 2" xfId="30543" hidden="1"/>
    <cellStyle name="Гиперссылка 2" xfId="29052" hidden="1"/>
    <cellStyle name="Гиперссылка 2" xfId="25725" hidden="1"/>
    <cellStyle name="Гиперссылка 2" xfId="30194" hidden="1"/>
    <cellStyle name="Гиперссылка 2" xfId="29171" hidden="1"/>
    <cellStyle name="Гиперссылка 2" xfId="30597" hidden="1"/>
    <cellStyle name="Гиперссылка 2" xfId="30784" hidden="1"/>
    <cellStyle name="Гиперссылка 2" xfId="31023" hidden="1"/>
    <cellStyle name="Гиперссылка 2" xfId="30938" hidden="1"/>
    <cellStyle name="Гиперссылка 2" xfId="29375" hidden="1"/>
    <cellStyle name="Гиперссылка 2" xfId="29085" hidden="1"/>
    <cellStyle name="Гиперссылка 2" xfId="30934" hidden="1"/>
    <cellStyle name="Гиперссылка 2" xfId="31019" hidden="1"/>
    <cellStyle name="Гиперссылка 2" xfId="29646" hidden="1"/>
    <cellStyle name="Гиперссылка 2" xfId="30728" hidden="1"/>
    <cellStyle name="Гиперссылка 2" xfId="29308" hidden="1"/>
    <cellStyle name="Гиперссылка 2" xfId="25688" hidden="1"/>
    <cellStyle name="Гиперссылка 2" xfId="30321" hidden="1"/>
    <cellStyle name="Гиперссылка 2" xfId="30186" hidden="1"/>
    <cellStyle name="Гиперссылка 2" xfId="29029" hidden="1"/>
    <cellStyle name="Гиперссылка 2" xfId="25809" hidden="1"/>
    <cellStyle name="Гиперссылка 2" xfId="29461" hidden="1"/>
    <cellStyle name="Гиперссылка 2" xfId="29810" hidden="1"/>
    <cellStyle name="Гиперссылка 2" xfId="30853" hidden="1"/>
    <cellStyle name="Гиперссылка 2" xfId="29040" hidden="1"/>
    <cellStyle name="Гиперссылка 2" xfId="29584" hidden="1"/>
    <cellStyle name="Гиперссылка 2" xfId="30895" hidden="1"/>
    <cellStyle name="Гиперссылка 2" xfId="29632" hidden="1"/>
    <cellStyle name="Гиперссылка 2" xfId="30857" hidden="1"/>
    <cellStyle name="Гиперссылка 2" xfId="30937" hidden="1"/>
    <cellStyle name="Гиперссылка 2" xfId="30855" hidden="1"/>
    <cellStyle name="Гиперссылка 2" xfId="29042" hidden="1"/>
    <cellStyle name="Гиперссылка 2" xfId="30742" hidden="1"/>
    <cellStyle name="Гиперссылка 2" xfId="30582" hidden="1"/>
    <cellStyle name="Гиперссылка 2" xfId="29931" hidden="1"/>
    <cellStyle name="Гиперссылка 2" xfId="30585" hidden="1"/>
    <cellStyle name="Гиперссылка 2" xfId="25696" hidden="1"/>
    <cellStyle name="Гиперссылка 2" xfId="29991" hidden="1"/>
    <cellStyle name="Гиперссылка 2" xfId="30581" hidden="1"/>
    <cellStyle name="Гиперссылка 2" xfId="31059" hidden="1"/>
    <cellStyle name="Гиперссылка 2" xfId="30978" hidden="1"/>
    <cellStyle name="Гиперссылка 2" xfId="29170" hidden="1"/>
    <cellStyle name="Гиперссылка 2" xfId="29305" hidden="1"/>
    <cellStyle name="Гиперссылка 2" xfId="30247" hidden="1"/>
    <cellStyle name="Гиперссылка 2" xfId="29284" hidden="1"/>
    <cellStyle name="Гиперссылка 2" xfId="30939" hidden="1"/>
    <cellStyle name="Гиперссылка 2" xfId="29851" hidden="1"/>
    <cellStyle name="Гиперссылка 2" xfId="30310" hidden="1"/>
    <cellStyle name="Гиперссылка 2" xfId="30638" hidden="1"/>
    <cellStyle name="Гиперссылка 2" xfId="29427" hidden="1"/>
    <cellStyle name="Гиперссылка 2" xfId="30300" hidden="1"/>
    <cellStyle name="Гиперссылка 2" xfId="30192" hidden="1"/>
    <cellStyle name="Гиперссылка 2" xfId="25798" hidden="1"/>
    <cellStyle name="Гиперссылка 2" xfId="30682" hidden="1"/>
    <cellStyle name="Гиперссылка 2" xfId="29467" hidden="1"/>
    <cellStyle name="Гиперссылка 2" xfId="29732" hidden="1"/>
    <cellStyle name="Гиперссылка 2" xfId="30376" hidden="1"/>
    <cellStyle name="Гиперссылка 2" xfId="30414" hidden="1"/>
    <cellStyle name="Гиперссылка 2" xfId="30982" hidden="1"/>
    <cellStyle name="Гиперссылка 2" xfId="30856" hidden="1"/>
    <cellStyle name="Гиперссылка 2" xfId="29813" hidden="1"/>
    <cellStyle name="Гиперссылка 2" xfId="31065" hidden="1"/>
    <cellStyle name="Гиперссылка 2" xfId="30850" hidden="1"/>
    <cellStyle name="Гиперссылка 2" xfId="30944" hidden="1"/>
    <cellStyle name="Гиперссылка 2" xfId="30986" hidden="1"/>
    <cellStyle name="Гиперссылка 2" xfId="29155" hidden="1"/>
    <cellStyle name="Гиперссылка 2" xfId="30586" hidden="1"/>
    <cellStyle name="Гиперссылка 2" xfId="30896" hidden="1"/>
    <cellStyle name="Гиперссылка 2" xfId="29500" hidden="1"/>
    <cellStyle name="Гиперссылка 2" xfId="29000" hidden="1"/>
    <cellStyle name="Гиперссылка 2" xfId="29737" hidden="1"/>
    <cellStyle name="Гиперссылка 2" xfId="29401" hidden="1"/>
    <cellStyle name="Гиперссылка 2" xfId="25787" hidden="1"/>
    <cellStyle name="Гиперссылка 2" xfId="28998" hidden="1"/>
    <cellStyle name="Гиперссылка 2" xfId="29417" hidden="1"/>
    <cellStyle name="Гиперссылка 2" xfId="30635" hidden="1"/>
    <cellStyle name="Гиперссылка 2" xfId="29039" hidden="1"/>
    <cellStyle name="Гиперссылка 2" xfId="30933" hidden="1"/>
    <cellStyle name="Гиперссылка 2" xfId="29463" hidden="1"/>
    <cellStyle name="Гиперссылка 2" xfId="29578" hidden="1"/>
    <cellStyle name="Гиперссылка 2" xfId="30057" hidden="1"/>
    <cellStyle name="Гиперссылка 2" xfId="29661" hidden="1"/>
    <cellStyle name="Гиперссылка 2" xfId="25830" hidden="1"/>
    <cellStyle name="Гиперссылка 2" xfId="30737" hidden="1"/>
    <cellStyle name="Гиперссылка 2" xfId="29850" hidden="1"/>
    <cellStyle name="Гиперссылка 2" xfId="30576" hidden="1"/>
    <cellStyle name="Гиперссылка 2" xfId="30299" hidden="1"/>
    <cellStyle name="Гиперссылка 2" xfId="31021" hidden="1"/>
    <cellStyle name="Гиперссылка 2" xfId="30936" hidden="1"/>
    <cellStyle name="Гиперссылка 2" xfId="30781" hidden="1"/>
    <cellStyle name="Гиперссылка 2" xfId="30119" hidden="1"/>
    <cellStyle name="Гиперссылка 2" xfId="30975" hidden="1"/>
    <cellStyle name="Гиперссылка 2" xfId="31057" hidden="1"/>
    <cellStyle name="Гиперссылка 2" xfId="29181" hidden="1"/>
    <cellStyle name="Гиперссылка 2" xfId="30888" hidden="1"/>
    <cellStyle name="Гиперссылка 2" xfId="29638" hidden="1"/>
    <cellStyle name="Гиперссылка 2" xfId="29741" hidden="1"/>
    <cellStyle name="Гиперссылка 2" xfId="30636" hidden="1"/>
    <cellStyle name="Гиперссылка 2" xfId="30074" hidden="1"/>
    <cellStyle name="Гиперссылка 2" xfId="30980" hidden="1"/>
    <cellStyle name="Гиперссылка 2" xfId="30894" hidden="1"/>
    <cellStyle name="Гиперссылка 2" xfId="30777" hidden="1"/>
    <cellStyle name="Гиперссылка 2" xfId="29634" hidden="1"/>
    <cellStyle name="Гиперссылка 2" xfId="31061" hidden="1"/>
    <cellStyle name="Гиперссылка 2" xfId="25717" hidden="1"/>
    <cellStyle name="Гиперссылка 2" xfId="30981" hidden="1"/>
    <cellStyle name="Гиперссылка 2" xfId="31022" hidden="1"/>
    <cellStyle name="Гиперссылка 2" xfId="31502" hidden="1"/>
    <cellStyle name="Гиперссылка 2" xfId="31503" hidden="1"/>
    <cellStyle name="Гиперссылка 2" xfId="31792" hidden="1"/>
    <cellStyle name="Гиперссылка 2" xfId="31793" hidden="1"/>
    <cellStyle name="Гиперссылка 2" xfId="31657" hidden="1"/>
    <cellStyle name="Гиперссылка 2" xfId="31508" hidden="1"/>
    <cellStyle name="Гиперссылка 2" xfId="31758" hidden="1"/>
    <cellStyle name="Гиперссылка 2" xfId="31757" hidden="1"/>
    <cellStyle name="Гиперссылка 2" xfId="31944" hidden="1"/>
    <cellStyle name="Гиперссылка 2" xfId="31943" hidden="1"/>
    <cellStyle name="Гиперссылка 2" xfId="31976" hidden="1"/>
    <cellStyle name="Гиперссылка 2" xfId="31977" hidden="1"/>
    <cellStyle name="Гиперссылка 2" xfId="31982" hidden="1"/>
    <cellStyle name="Гиперссылка 2" xfId="31983" hidden="1"/>
    <cellStyle name="Гиперссылка 2" xfId="31979" hidden="1"/>
    <cellStyle name="Гиперссылка 2" xfId="31978" hidden="1"/>
    <cellStyle name="Гиперссылка 2" xfId="31981" hidden="1"/>
    <cellStyle name="Гиперссылка 2" xfId="31980" hidden="1"/>
    <cellStyle name="Гиперссылка 2" xfId="31985" hidden="1"/>
    <cellStyle name="Гиперссылка 2" xfId="31984" hidden="1"/>
    <cellStyle name="Гиперссылка 2" xfId="31986" hidden="1"/>
    <cellStyle name="Гиперссылка 2" xfId="31987" hidden="1"/>
    <cellStyle name="Гиперссылка 2" xfId="31992" hidden="1"/>
    <cellStyle name="Гиперссылка 2" xfId="31993" hidden="1"/>
    <cellStyle name="Гиперссылка 2" xfId="31989" hidden="1"/>
    <cellStyle name="Гиперссылка 2" xfId="31988" hidden="1"/>
    <cellStyle name="Гиперссылка 2" xfId="31991" hidden="1"/>
    <cellStyle name="Гиперссылка 2" xfId="31990" hidden="1"/>
    <cellStyle name="Гиперссылка 2" xfId="31995" hidden="1"/>
    <cellStyle name="Гиперссылка 2" xfId="31994" hidden="1"/>
    <cellStyle name="Гиперссылка 2" xfId="31996" hidden="1"/>
    <cellStyle name="Гиперссылка 2" xfId="31997" hidden="1"/>
    <cellStyle name="Гиперссылка 2" xfId="32002" hidden="1"/>
    <cellStyle name="Гиперссылка 2" xfId="32003" hidden="1"/>
    <cellStyle name="Гиперссылка 2" xfId="31999" hidden="1"/>
    <cellStyle name="Гиперссылка 2" xfId="31998" hidden="1"/>
    <cellStyle name="Гиперссылка 2" xfId="32001" hidden="1"/>
    <cellStyle name="Гиперссылка 2" xfId="32000" hidden="1"/>
    <cellStyle name="Гиперссылка 2" xfId="32005" hidden="1"/>
    <cellStyle name="Гиперссылка 2" xfId="32004" hidden="1"/>
    <cellStyle name="Гиперссылка 2" xfId="32116" hidden="1"/>
    <cellStyle name="Гиперссылка 2" xfId="32117" hidden="1"/>
    <cellStyle name="Гиперссылка 2" xfId="32437" hidden="1"/>
    <cellStyle name="Гиперссылка 2" xfId="32438" hidden="1"/>
    <cellStyle name="Гиперссылка 2" xfId="32263" hidden="1"/>
    <cellStyle name="Гиперссылка 2" xfId="32123" hidden="1"/>
    <cellStyle name="Гиперссылка 2" xfId="32395" hidden="1"/>
    <cellStyle name="Гиперссылка 2" xfId="32394" hidden="1"/>
    <cellStyle name="Гиперссылка 2" xfId="32587" hidden="1"/>
    <cellStyle name="Гиперссылка 2" xfId="32586" hidden="1"/>
    <cellStyle name="Гиперссылка 2" xfId="32627" hidden="1"/>
    <cellStyle name="Гиперссылка 2" xfId="32628" hidden="1"/>
    <cellStyle name="Гиперссылка 2" xfId="32634" hidden="1"/>
    <cellStyle name="Гиперссылка 2" xfId="32635" hidden="1"/>
    <cellStyle name="Гиперссылка 2" xfId="32631" hidden="1"/>
    <cellStyle name="Гиперссылка 2" xfId="32630" hidden="1"/>
    <cellStyle name="Гиперссылка 2" xfId="32633" hidden="1"/>
    <cellStyle name="Гиперссылка 2" xfId="32632" hidden="1"/>
    <cellStyle name="Гиперссылка 2" xfId="32637" hidden="1"/>
    <cellStyle name="Гиперссылка 2" xfId="32636" hidden="1"/>
    <cellStyle name="Гиперссылка 2" xfId="32640" hidden="1"/>
    <cellStyle name="Гиперссылка 2" xfId="32641" hidden="1"/>
    <cellStyle name="Гиперссылка 2" xfId="32646" hidden="1"/>
    <cellStyle name="Гиперссылка 2" xfId="32647" hidden="1"/>
    <cellStyle name="Гиперссылка 2" xfId="32643" hidden="1"/>
    <cellStyle name="Гиперссылка 2" xfId="32642" hidden="1"/>
    <cellStyle name="Гиперссылка 2" xfId="32645" hidden="1"/>
    <cellStyle name="Гиперссылка 2" xfId="32644" hidden="1"/>
    <cellStyle name="Гиперссылка 2" xfId="32649" hidden="1"/>
    <cellStyle name="Гиперссылка 2" xfId="32648" hidden="1"/>
    <cellStyle name="Гиперссылка 2" xfId="32650" hidden="1"/>
    <cellStyle name="Гиперссылка 2" xfId="32651" hidden="1"/>
    <cellStyle name="Гиперссылка 2" xfId="32656" hidden="1"/>
    <cellStyle name="Гиперссылка 2" xfId="32657" hidden="1"/>
    <cellStyle name="Гиперссылка 2" xfId="32653" hidden="1"/>
    <cellStyle name="Гиперссылка 2" xfId="32652" hidden="1"/>
    <cellStyle name="Гиперссылка 2" xfId="32655" hidden="1"/>
    <cellStyle name="Гиперссылка 2" xfId="32654" hidden="1"/>
    <cellStyle name="Гиперссылка 2" xfId="32659" hidden="1"/>
    <cellStyle name="Гиперссылка 2" xfId="32658" hidden="1"/>
    <cellStyle name="Гиперссылка 2" xfId="32431" hidden="1"/>
    <cellStyle name="Гиперссылка 2" xfId="32300" hidden="1"/>
    <cellStyle name="Гиперссылка 2" xfId="32453" hidden="1"/>
    <cellStyle name="Гиперссылка 2" xfId="32128" hidden="1"/>
    <cellStyle name="Гиперссылка 2" xfId="32499" hidden="1"/>
    <cellStyle name="Гиперссылка 2" xfId="32612" hidden="1"/>
    <cellStyle name="Гиперссылка 2" xfId="32353" hidden="1"/>
    <cellStyle name="Гиперссылка 2" xfId="32475" hidden="1"/>
    <cellStyle name="Гиперссылка 2" xfId="32783" hidden="1"/>
    <cellStyle name="Гиперссылка 2" xfId="32782" hidden="1"/>
    <cellStyle name="Гиперссылка 2" xfId="32822" hidden="1"/>
    <cellStyle name="Гиперссылка 2" xfId="32823" hidden="1"/>
    <cellStyle name="Гиперссылка 2" xfId="32829" hidden="1"/>
    <cellStyle name="Гиперссылка 2" xfId="32830" hidden="1"/>
    <cellStyle name="Гиперссылка 2" xfId="32826" hidden="1"/>
    <cellStyle name="Гиперссылка 2" xfId="32825" hidden="1"/>
    <cellStyle name="Гиперссылка 2" xfId="32828" hidden="1"/>
    <cellStyle name="Гиперссылка 2" xfId="32827" hidden="1"/>
    <cellStyle name="Гиперссылка 2" xfId="32832" hidden="1"/>
    <cellStyle name="Гиперссылка 2" xfId="32831" hidden="1"/>
    <cellStyle name="Гиперссылка 2" xfId="32835" hidden="1"/>
    <cellStyle name="Гиперссылка 2" xfId="32836" hidden="1"/>
    <cellStyle name="Гиперссылка 2" xfId="32841" hidden="1"/>
    <cellStyle name="Гиперссылка 2" xfId="32842" hidden="1"/>
    <cellStyle name="Гиперссылка 2" xfId="32838" hidden="1"/>
    <cellStyle name="Гиперссылка 2" xfId="32837" hidden="1"/>
    <cellStyle name="Гиперссылка 2" xfId="32840" hidden="1"/>
    <cellStyle name="Гиперссылка 2" xfId="32839" hidden="1"/>
    <cellStyle name="Гиперссылка 2" xfId="32844" hidden="1"/>
    <cellStyle name="Гиперссылка 2" xfId="32843" hidden="1"/>
    <cellStyle name="Гиперссылка 2" xfId="32845" hidden="1"/>
    <cellStyle name="Гиперссылка 2" xfId="32846" hidden="1"/>
    <cellStyle name="Гиперссылка 2" xfId="32851" hidden="1"/>
    <cellStyle name="Гиперссылка 2" xfId="32852" hidden="1"/>
    <cellStyle name="Гиперссылка 2" xfId="32848" hidden="1"/>
    <cellStyle name="Гиперссылка 2" xfId="32847" hidden="1"/>
    <cellStyle name="Гиперссылка 2" xfId="32850" hidden="1"/>
    <cellStyle name="Гиперссылка 2" xfId="32849" hidden="1"/>
    <cellStyle name="Гиперссылка 2" xfId="32854" hidden="1"/>
    <cellStyle name="Гиперссылка 2" xfId="32853" hidden="1"/>
    <cellStyle name="Гиперссылка 2" xfId="32476" hidden="1"/>
    <cellStyle name="Гиперссылка 2" xfId="31365" hidden="1"/>
    <cellStyle name="Гиперссылка 2" xfId="31408" hidden="1"/>
    <cellStyle name="Гиперссылка 2" xfId="32265" hidden="1"/>
    <cellStyle name="Гиперссылка 2" xfId="32695" hidden="1"/>
    <cellStyle name="Гиперссылка 2" xfId="32808" hidden="1"/>
    <cellStyle name="Гиперссылка 2" xfId="32425" hidden="1"/>
    <cellStyle name="Гиперссылка 2" xfId="32671" hidden="1"/>
    <cellStyle name="Гиперссылка 2" xfId="32976" hidden="1"/>
    <cellStyle name="Гиперссылка 2" xfId="32975" hidden="1"/>
    <cellStyle name="Гиперссылка 2" xfId="33015" hidden="1"/>
    <cellStyle name="Гиперссылка 2" xfId="33016" hidden="1"/>
    <cellStyle name="Гиперссылка 2" xfId="33022" hidden="1"/>
    <cellStyle name="Гиперссылка 2" xfId="33023" hidden="1"/>
    <cellStyle name="Гиперссылка 2" xfId="33019" hidden="1"/>
    <cellStyle name="Гиперссылка 2" xfId="33018" hidden="1"/>
    <cellStyle name="Гиперссылка 2" xfId="33021" hidden="1"/>
    <cellStyle name="Гиперссылка 2" xfId="33020" hidden="1"/>
    <cellStyle name="Гиперссылка 2" xfId="33025" hidden="1"/>
    <cellStyle name="Гиперссылка 2" xfId="33024" hidden="1"/>
    <cellStyle name="Гиперссылка 2" xfId="33028" hidden="1"/>
    <cellStyle name="Гиперссылка 2" xfId="33029" hidden="1"/>
    <cellStyle name="Гиперссылка 2" xfId="33034" hidden="1"/>
    <cellStyle name="Гиперссылка 2" xfId="33035" hidden="1"/>
    <cellStyle name="Гиперссылка 2" xfId="33031" hidden="1"/>
    <cellStyle name="Гиперссылка 2" xfId="33030" hidden="1"/>
    <cellStyle name="Гиперссылка 2" xfId="33033" hidden="1"/>
    <cellStyle name="Гиперссылка 2" xfId="33032" hidden="1"/>
    <cellStyle name="Гиперссылка 2" xfId="33037" hidden="1"/>
    <cellStyle name="Гиперссылка 2" xfId="33036" hidden="1"/>
    <cellStyle name="Гиперссылка 2" xfId="33038" hidden="1"/>
    <cellStyle name="Гиперссылка 2" xfId="33039" hidden="1"/>
    <cellStyle name="Гиперссылка 2" xfId="33044" hidden="1"/>
    <cellStyle name="Гиперссылка 2" xfId="33045" hidden="1"/>
    <cellStyle name="Гиперссылка 2" xfId="33041" hidden="1"/>
    <cellStyle name="Гиперссылка 2" xfId="33040" hidden="1"/>
    <cellStyle name="Гиперссылка 2" xfId="33043" hidden="1"/>
    <cellStyle name="Гиперссылка 2" xfId="33042" hidden="1"/>
    <cellStyle name="Гиперссылка 2" xfId="33047" hidden="1"/>
    <cellStyle name="Гиперссылка 2" xfId="33046" hidden="1"/>
    <cellStyle name="Гиперссылка 2" xfId="32672" hidden="1"/>
    <cellStyle name="Гиперссылка 2" xfId="31422" hidden="1"/>
    <cellStyle name="Гиперссылка 2" xfId="32275" hidden="1"/>
    <cellStyle name="Гиперссылка 2" xfId="31433" hidden="1"/>
    <cellStyle name="Гиперссылка 2" xfId="32889" hidden="1"/>
    <cellStyle name="Гиперссылка 2" xfId="33001" hidden="1"/>
    <cellStyle name="Гиперссылка 2" xfId="32324" hidden="1"/>
    <cellStyle name="Гиперссылка 2" xfId="32866" hidden="1"/>
    <cellStyle name="Гиперссылка 2" xfId="33166" hidden="1"/>
    <cellStyle name="Гиперссылка 2" xfId="33165" hidden="1"/>
    <cellStyle name="Гиперссылка 2" xfId="33205" hidden="1"/>
    <cellStyle name="Гиперссылка 2" xfId="33206" hidden="1"/>
    <cellStyle name="Гиперссылка 2" xfId="33212" hidden="1"/>
    <cellStyle name="Гиперссылка 2" xfId="33213" hidden="1"/>
    <cellStyle name="Гиперссылка 2" xfId="33209" hidden="1"/>
    <cellStyle name="Гиперссылка 2" xfId="33208" hidden="1"/>
    <cellStyle name="Гиперссылка 2" xfId="33211" hidden="1"/>
    <cellStyle name="Гиперссылка 2" xfId="33210" hidden="1"/>
    <cellStyle name="Гиперссылка 2" xfId="33215" hidden="1"/>
    <cellStyle name="Гиперссылка 2" xfId="33214" hidden="1"/>
    <cellStyle name="Гиперссылка 2" xfId="33218" hidden="1"/>
    <cellStyle name="Гиперссылка 2" xfId="33219" hidden="1"/>
    <cellStyle name="Гиперссылка 2" xfId="33224" hidden="1"/>
    <cellStyle name="Гиперссылка 2" xfId="33225" hidden="1"/>
    <cellStyle name="Гиперссылка 2" xfId="33221" hidden="1"/>
    <cellStyle name="Гиперссылка 2" xfId="33220" hidden="1"/>
    <cellStyle name="Гиперссылка 2" xfId="33223" hidden="1"/>
    <cellStyle name="Гиперссылка 2" xfId="33222" hidden="1"/>
    <cellStyle name="Гиперссылка 2" xfId="33227" hidden="1"/>
    <cellStyle name="Гиперссылка 2" xfId="33226" hidden="1"/>
    <cellStyle name="Гиперссылка 2" xfId="33228" hidden="1"/>
    <cellStyle name="Гиперссылка 2" xfId="33229" hidden="1"/>
    <cellStyle name="Гиперссылка 2" xfId="33234" hidden="1"/>
    <cellStyle name="Гиперссылка 2" xfId="33235" hidden="1"/>
    <cellStyle name="Гиперссылка 2" xfId="33231" hidden="1"/>
    <cellStyle name="Гиперссылка 2" xfId="33230" hidden="1"/>
    <cellStyle name="Гиперссылка 2" xfId="33233" hidden="1"/>
    <cellStyle name="Гиперссылка 2" xfId="33232" hidden="1"/>
    <cellStyle name="Гиперссылка 2" xfId="33237" hidden="1"/>
    <cellStyle name="Гиперссылка 2" xfId="33236" hidden="1"/>
    <cellStyle name="Гиперссылка 2" xfId="32867" hidden="1"/>
    <cellStyle name="Гиперссылка 2" xfId="32291" hidden="1"/>
    <cellStyle name="Гиперссылка 2" xfId="32091" hidden="1"/>
    <cellStyle name="Гиперссылка 2" xfId="32274" hidden="1"/>
    <cellStyle name="Гиперссылка 2" xfId="33081" hidden="1"/>
    <cellStyle name="Гиперссылка 2" xfId="33191" hidden="1"/>
    <cellStyle name="Гиперссылка 2" xfId="32087" hidden="1"/>
    <cellStyle name="Гиперссылка 2" xfId="33059" hidden="1"/>
    <cellStyle name="Гиперссылка 2" xfId="33349" hidden="1"/>
    <cellStyle name="Гиперссылка 2" xfId="33348" hidden="1"/>
    <cellStyle name="Гиперссылка 2" xfId="33386" hidden="1"/>
    <cellStyle name="Гиперссылка 2" xfId="33387" hidden="1"/>
    <cellStyle name="Гиперссылка 2" xfId="33393" hidden="1"/>
    <cellStyle name="Гиперссылка 2" xfId="33394" hidden="1"/>
    <cellStyle name="Гиперссылка 2" xfId="33390" hidden="1"/>
    <cellStyle name="Гиперссылка 2" xfId="33389" hidden="1"/>
    <cellStyle name="Гиперссылка 2" xfId="33392" hidden="1"/>
    <cellStyle name="Гиперссылка 2" xfId="33391" hidden="1"/>
    <cellStyle name="Гиперссылка 2" xfId="33396" hidden="1"/>
    <cellStyle name="Гиперссылка 2" xfId="33395" hidden="1"/>
    <cellStyle name="Гиперссылка 2" xfId="33399" hidden="1"/>
    <cellStyle name="Гиперссылка 2" xfId="33400" hidden="1"/>
    <cellStyle name="Гиперссылка 2" xfId="33405" hidden="1"/>
    <cellStyle name="Гиперссылка 2" xfId="33406" hidden="1"/>
    <cellStyle name="Гиперссылка 2" xfId="33402" hidden="1"/>
    <cellStyle name="Гиперссылка 2" xfId="33401" hidden="1"/>
    <cellStyle name="Гиперссылка 2" xfId="33404" hidden="1"/>
    <cellStyle name="Гиперссылка 2" xfId="33403" hidden="1"/>
    <cellStyle name="Гиперссылка 2" xfId="33408" hidden="1"/>
    <cellStyle name="Гиперссылка 2" xfId="33407" hidden="1"/>
    <cellStyle name="Гиперссылка 2" xfId="33409" hidden="1"/>
    <cellStyle name="Гиперссылка 2" xfId="33410" hidden="1"/>
    <cellStyle name="Гиперссылка 2" xfId="33415" hidden="1"/>
    <cellStyle name="Гиперссылка 2" xfId="33416" hidden="1"/>
    <cellStyle name="Гиперссылка 2" xfId="33412" hidden="1"/>
    <cellStyle name="Гиперссылка 2" xfId="33411" hidden="1"/>
    <cellStyle name="Гиперссылка 2" xfId="33414" hidden="1"/>
    <cellStyle name="Гиперссылка 2" xfId="33413" hidden="1"/>
    <cellStyle name="Гиперссылка 2" xfId="33418" hidden="1"/>
    <cellStyle name="Гиперссылка 2" xfId="33417" hidden="1"/>
    <cellStyle name="Гиперссылка 2" xfId="33060" hidden="1"/>
    <cellStyle name="Гиперссылка 2" xfId="32367" hidden="1"/>
    <cellStyle name="Гиперссылка 2" xfId="32493" hidden="1"/>
    <cellStyle name="Гиперссылка 2" xfId="32104" hidden="1"/>
    <cellStyle name="Гиперссылка 2" xfId="33269" hidden="1"/>
    <cellStyle name="Гиперссылка 2" xfId="33373" hidden="1"/>
    <cellStyle name="Гиперссылка 2" xfId="32538" hidden="1"/>
    <cellStyle name="Гиперссылка 2" xfId="33249" hidden="1"/>
    <cellStyle name="Гиперссылка 2" xfId="33524" hidden="1"/>
    <cellStyle name="Гиперссылка 2" xfId="33523" hidden="1"/>
    <cellStyle name="Гиперссылка 2" xfId="33559" hidden="1"/>
    <cellStyle name="Гиперссылка 2" xfId="33560" hidden="1"/>
    <cellStyle name="Гиперссылка 2" xfId="33566" hidden="1"/>
    <cellStyle name="Гиперссылка 2" xfId="33567" hidden="1"/>
    <cellStyle name="Гиперссылка 2" xfId="33563" hidden="1"/>
    <cellStyle name="Гиперссылка 2" xfId="33562" hidden="1"/>
    <cellStyle name="Гиперссылка 2" xfId="33565" hidden="1"/>
    <cellStyle name="Гиперссылка 2" xfId="33564" hidden="1"/>
    <cellStyle name="Гиперссылка 2" xfId="33569" hidden="1"/>
    <cellStyle name="Гиперссылка 2" xfId="33568" hidden="1"/>
    <cellStyle name="Гиперссылка 2" xfId="33572" hidden="1"/>
    <cellStyle name="Гиперссылка 2" xfId="33573" hidden="1"/>
    <cellStyle name="Гиперссылка 2" xfId="33578" hidden="1"/>
    <cellStyle name="Гиперссылка 2" xfId="33579" hidden="1"/>
    <cellStyle name="Гиперссылка 2" xfId="33575" hidden="1"/>
    <cellStyle name="Гиперссылка 2" xfId="33574" hidden="1"/>
    <cellStyle name="Гиперссылка 2" xfId="33577" hidden="1"/>
    <cellStyle name="Гиперссылка 2" xfId="33576" hidden="1"/>
    <cellStyle name="Гиперссылка 2" xfId="33581" hidden="1"/>
    <cellStyle name="Гиперссылка 2" xfId="33580" hidden="1"/>
    <cellStyle name="Гиперссылка 2" xfId="33582" hidden="1"/>
    <cellStyle name="Гиперссылка 2" xfId="33583" hidden="1"/>
    <cellStyle name="Гиперссылка 2" xfId="33588" hidden="1"/>
    <cellStyle name="Гиперссылка 2" xfId="33589" hidden="1"/>
    <cellStyle name="Гиперссылка 2" xfId="33585" hidden="1"/>
    <cellStyle name="Гиперссылка 2" xfId="33584" hidden="1"/>
    <cellStyle name="Гиперссылка 2" xfId="33587" hidden="1"/>
    <cellStyle name="Гиперссылка 2" xfId="33586" hidden="1"/>
    <cellStyle name="Гиперссылка 2" xfId="33591" hidden="1"/>
    <cellStyle name="Гиперссылка 2" xfId="33590" hidden="1"/>
    <cellStyle name="Гиперссылка 2" xfId="33250" hidden="1"/>
    <cellStyle name="Гиперссылка 2" xfId="31478" hidden="1"/>
    <cellStyle name="Гиперссылка 2" xfId="32689" hidden="1"/>
    <cellStyle name="Гиперссылка 2" xfId="32124" hidden="1"/>
    <cellStyle name="Гиперссылка 2" xfId="33449" hidden="1"/>
    <cellStyle name="Гиперссылка 2" xfId="33547" hidden="1"/>
    <cellStyle name="Гиперссылка 2" xfId="32734" hidden="1"/>
    <cellStyle name="Гиперссылка 2" xfId="33430" hidden="1"/>
    <cellStyle name="Гиперссылка 2" xfId="33690" hidden="1"/>
    <cellStyle name="Гиперссылка 2" xfId="33689" hidden="1"/>
    <cellStyle name="Гиперссылка 2" xfId="33720" hidden="1"/>
    <cellStyle name="Гиперссылка 2" xfId="33721" hidden="1"/>
    <cellStyle name="Гиперссылка 2" xfId="33727" hidden="1"/>
    <cellStyle name="Гиперссылка 2" xfId="33728" hidden="1"/>
    <cellStyle name="Гиперссылка 2" xfId="33724" hidden="1"/>
    <cellStyle name="Гиперссылка 2" xfId="33723" hidden="1"/>
    <cellStyle name="Гиперссылка 2" xfId="33726" hidden="1"/>
    <cellStyle name="Гиперссылка 2" xfId="33725" hidden="1"/>
    <cellStyle name="Гиперссылка 2" xfId="33730" hidden="1"/>
    <cellStyle name="Гиперссылка 2" xfId="33729" hidden="1"/>
    <cellStyle name="Гиперссылка 2" xfId="33733" hidden="1"/>
    <cellStyle name="Гиперссылка 2" xfId="33734" hidden="1"/>
    <cellStyle name="Гиперссылка 2" xfId="33739" hidden="1"/>
    <cellStyle name="Гиперссылка 2" xfId="33740" hidden="1"/>
    <cellStyle name="Гиперссылка 2" xfId="33736" hidden="1"/>
    <cellStyle name="Гиперссылка 2" xfId="33735" hidden="1"/>
    <cellStyle name="Гиперссылка 2" xfId="33738" hidden="1"/>
    <cellStyle name="Гиперссылка 2" xfId="33737" hidden="1"/>
    <cellStyle name="Гиперссылка 2" xfId="33742" hidden="1"/>
    <cellStyle name="Гиперссылка 2" xfId="33741" hidden="1"/>
    <cellStyle name="Гиперссылка 2" xfId="33743" hidden="1"/>
    <cellStyle name="Гиперссылка 2" xfId="33744" hidden="1"/>
    <cellStyle name="Гиперссылка 2" xfId="33749" hidden="1"/>
    <cellStyle name="Гиперссылка 2" xfId="33750" hidden="1"/>
    <cellStyle name="Гиперссылка 2" xfId="33746" hidden="1"/>
    <cellStyle name="Гиперссылка 2" xfId="33745" hidden="1"/>
    <cellStyle name="Гиперссылка 2" xfId="33748" hidden="1"/>
    <cellStyle name="Гиперссылка 2" xfId="33747" hidden="1"/>
    <cellStyle name="Гиперссылка 2" xfId="33752" hidden="1"/>
    <cellStyle name="Гиперссылка 2" xfId="33751" hidden="1"/>
    <cellStyle name="Гиперссылка 2" xfId="33431" hidden="1"/>
    <cellStyle name="Гиперссылка 2" xfId="32071" hidden="1"/>
    <cellStyle name="Гиперссылка 2" xfId="32883" hidden="1"/>
    <cellStyle name="Гиперссылка 2" xfId="32561" hidden="1"/>
    <cellStyle name="Гиперссылка 2" xfId="33621" hidden="1"/>
    <cellStyle name="Гиперссылка 2" xfId="33710" hidden="1"/>
    <cellStyle name="Гиперссылка 2" xfId="32927" hidden="1"/>
    <cellStyle name="Гиперссылка 2" xfId="33602" hidden="1"/>
    <cellStyle name="Гиперссылка 2" xfId="33839" hidden="1"/>
    <cellStyle name="Гиперссылка 2" xfId="33838" hidden="1"/>
    <cellStyle name="Гиперссылка 2" xfId="33868" hidden="1"/>
    <cellStyle name="Гиперссылка 2" xfId="33869" hidden="1"/>
    <cellStyle name="Гиперссылка 2" xfId="33875" hidden="1"/>
    <cellStyle name="Гиперссылка 2" xfId="33876" hidden="1"/>
    <cellStyle name="Гиперссылка 2" xfId="33872" hidden="1"/>
    <cellStyle name="Гиперссылка 2" xfId="33871" hidden="1"/>
    <cellStyle name="Гиперссылка 2" xfId="33874" hidden="1"/>
    <cellStyle name="Гиперссылка 2" xfId="33873" hidden="1"/>
    <cellStyle name="Гиперссылка 2" xfId="33878" hidden="1"/>
    <cellStyle name="Гиперссылка 2" xfId="33877" hidden="1"/>
    <cellStyle name="Гиперссылка 2" xfId="33881" hidden="1"/>
    <cellStyle name="Гиперссылка 2" xfId="33882" hidden="1"/>
    <cellStyle name="Гиперссылка 2" xfId="33887" hidden="1"/>
    <cellStyle name="Гиперссылка 2" xfId="33888" hidden="1"/>
    <cellStyle name="Гиперссылка 2" xfId="33884" hidden="1"/>
    <cellStyle name="Гиперссылка 2" xfId="33883" hidden="1"/>
    <cellStyle name="Гиперссылка 2" xfId="33886" hidden="1"/>
    <cellStyle name="Гиперссылка 2" xfId="33885" hidden="1"/>
    <cellStyle name="Гиперссылка 2" xfId="33890" hidden="1"/>
    <cellStyle name="Гиперссылка 2" xfId="33889" hidden="1"/>
    <cellStyle name="Гиперссылка 2" xfId="33891" hidden="1"/>
    <cellStyle name="Гиперссылка 2" xfId="33892" hidden="1"/>
    <cellStyle name="Гиперссылка 2" xfId="33897" hidden="1"/>
    <cellStyle name="Гиперссылка 2" xfId="33898" hidden="1"/>
    <cellStyle name="Гиперссылка 2" xfId="33894" hidden="1"/>
    <cellStyle name="Гиперссылка 2" xfId="33893" hidden="1"/>
    <cellStyle name="Гиперссылка 2" xfId="33896" hidden="1"/>
    <cellStyle name="Гиперссылка 2" xfId="33895" hidden="1"/>
    <cellStyle name="Гиперссылка 2" xfId="33900" hidden="1"/>
    <cellStyle name="Гиперссылка 2" xfId="33899" hidden="1"/>
    <cellStyle name="Гиперссылка 2" xfId="33603" hidden="1"/>
    <cellStyle name="Гиперссылка 2" xfId="32512" hidden="1"/>
    <cellStyle name="Гиперссылка 2" xfId="33075" hidden="1"/>
    <cellStyle name="Гиперссылка 2" xfId="32757" hidden="1"/>
    <cellStyle name="Гиперссылка 2" xfId="33777" hidden="1"/>
    <cellStyle name="Гиперссылка 2" xfId="33858" hidden="1"/>
    <cellStyle name="Гиперссылка 2" xfId="33118" hidden="1"/>
    <cellStyle name="Гиперссылка 2" xfId="33762" hidden="1"/>
    <cellStyle name="Гиперссылка 2" xfId="33976" hidden="1"/>
    <cellStyle name="Гиперссылка 2" xfId="33975" hidden="1"/>
    <cellStyle name="Гиперссылка 2" xfId="34002" hidden="1"/>
    <cellStyle name="Гиперссылка 2" xfId="34003" hidden="1"/>
    <cellStyle name="Гиперссылка 2" xfId="34009" hidden="1"/>
    <cellStyle name="Гиперссылка 2" xfId="34010" hidden="1"/>
    <cellStyle name="Гиперссылка 2" xfId="34006" hidden="1"/>
    <cellStyle name="Гиперссылка 2" xfId="34005" hidden="1"/>
    <cellStyle name="Гиперссылка 2" xfId="34008" hidden="1"/>
    <cellStyle name="Гиперссылка 2" xfId="34007" hidden="1"/>
    <cellStyle name="Гиперссылка 2" xfId="34012" hidden="1"/>
    <cellStyle name="Гиперссылка 2" xfId="34011" hidden="1"/>
    <cellStyle name="Гиперссылка 2" xfId="34014" hidden="1"/>
    <cellStyle name="Гиперссылка 2" xfId="34015" hidden="1"/>
    <cellStyle name="Гиперссылка 2" xfId="34020" hidden="1"/>
    <cellStyle name="Гиперссылка 2" xfId="34021" hidden="1"/>
    <cellStyle name="Гиперссылка 2" xfId="34017" hidden="1"/>
    <cellStyle name="Гиперссылка 2" xfId="34016" hidden="1"/>
    <cellStyle name="Гиперссылка 2" xfId="34019" hidden="1"/>
    <cellStyle name="Гиперссылка 2" xfId="34018" hidden="1"/>
    <cellStyle name="Гиперссылка 2" xfId="34023" hidden="1"/>
    <cellStyle name="Гиперссылка 2" xfId="34022" hidden="1"/>
    <cellStyle name="Гиперссылка 2" xfId="34024" hidden="1"/>
    <cellStyle name="Гиперссылка 2" xfId="34025" hidden="1"/>
    <cellStyle name="Гиперссылка 2" xfId="34030" hidden="1"/>
    <cellStyle name="Гиперссылка 2" xfId="34031" hidden="1"/>
    <cellStyle name="Гиперссылка 2" xfId="34027" hidden="1"/>
    <cellStyle name="Гиперссылка 2" xfId="34026" hidden="1"/>
    <cellStyle name="Гиперссылка 2" xfId="34029" hidden="1"/>
    <cellStyle name="Гиперссылка 2" xfId="34028" hidden="1"/>
    <cellStyle name="Гиперссылка 2" xfId="34033" hidden="1"/>
    <cellStyle name="Гиперссылка 2" xfId="34032" hidden="1"/>
    <cellStyle name="Гиперссылка 2" xfId="33763" hidden="1"/>
    <cellStyle name="Гиперссылка 2" xfId="32708" hidden="1"/>
    <cellStyle name="Гиперссылка 2" xfId="33263" hidden="1"/>
    <cellStyle name="Гиперссылка 2" xfId="32950" hidden="1"/>
    <cellStyle name="Гиперссылка 2" xfId="33922" hidden="1"/>
    <cellStyle name="Гиперссылка 2" xfId="33993" hidden="1"/>
    <cellStyle name="Гиперссылка 2" xfId="33304" hidden="1"/>
    <cellStyle name="Гиперссылка 2" xfId="33909" hidden="1"/>
    <cellStyle name="Гиперссылка 2" xfId="34096" hidden="1"/>
    <cellStyle name="Гиперссылка 2" xfId="34095" hidden="1"/>
    <cellStyle name="Гиперссылка 2" xfId="34119" hidden="1"/>
    <cellStyle name="Гиперссылка 2" xfId="34120" hidden="1"/>
    <cellStyle name="Гиперссылка 2" xfId="34126" hidden="1"/>
    <cellStyle name="Гиперссылка 2" xfId="34127" hidden="1"/>
    <cellStyle name="Гиперссылка 2" xfId="34123" hidden="1"/>
    <cellStyle name="Гиперссылка 2" xfId="34122" hidden="1"/>
    <cellStyle name="Гиперссылка 2" xfId="34125" hidden="1"/>
    <cellStyle name="Гиперссылка 2" xfId="34124" hidden="1"/>
    <cellStyle name="Гиперссылка 2" xfId="34129" hidden="1"/>
    <cellStyle name="Гиперссылка 2" xfId="34128" hidden="1"/>
    <cellStyle name="Гиперссылка 2" xfId="34131" hidden="1"/>
    <cellStyle name="Гиперссылка 2" xfId="34132" hidden="1"/>
    <cellStyle name="Гиперссылка 2" xfId="34137" hidden="1"/>
    <cellStyle name="Гиперссылка 2" xfId="34138" hidden="1"/>
    <cellStyle name="Гиперссылка 2" xfId="34134" hidden="1"/>
    <cellStyle name="Гиперссылка 2" xfId="34133" hidden="1"/>
    <cellStyle name="Гиперссылка 2" xfId="34136" hidden="1"/>
    <cellStyle name="Гиперссылка 2" xfId="34135" hidden="1"/>
    <cellStyle name="Гиперссылка 2" xfId="34140" hidden="1"/>
    <cellStyle name="Гиперссылка 2" xfId="34139" hidden="1"/>
    <cellStyle name="Гиперссылка 2" xfId="34141" hidden="1"/>
    <cellStyle name="Гиперссылка 2" xfId="34142" hidden="1"/>
    <cellStyle name="Гиперссылка 2" xfId="34147" hidden="1"/>
    <cellStyle name="Гиперссылка 2" xfId="34148" hidden="1"/>
    <cellStyle name="Гиперссылка 2" xfId="34144" hidden="1"/>
    <cellStyle name="Гиперссылка 2" xfId="34143" hidden="1"/>
    <cellStyle name="Гиперссылка 2" xfId="34146" hidden="1"/>
    <cellStyle name="Гиперссылка 2" xfId="34145" hidden="1"/>
    <cellStyle name="Гиперссылка 2" xfId="34150" hidden="1"/>
    <cellStyle name="Гиперссылка 2" xfId="34149" hidden="1"/>
    <cellStyle name="Гиперссылка 2" xfId="33910" hidden="1"/>
    <cellStyle name="Гиперссылка 2" xfId="32901" hidden="1"/>
    <cellStyle name="Гиперссылка 2" xfId="33444" hidden="1"/>
    <cellStyle name="Гиперссылка 2" xfId="33140" hidden="1"/>
    <cellStyle name="Гиперссылка 2" xfId="34050" hidden="1"/>
    <cellStyle name="Гиперссылка 2" xfId="34112" hidden="1"/>
    <cellStyle name="Гиперссылка 2" xfId="33482" hidden="1"/>
    <cellStyle name="Гиперссылка 2" xfId="34040" hidden="1"/>
    <cellStyle name="Гиперссылка 2" xfId="34191" hidden="1"/>
    <cellStyle name="Гиперссылка 2" xfId="34190" hidden="1"/>
    <cellStyle name="Гиперссылка 2" xfId="34206" hidden="1"/>
    <cellStyle name="Гиперссылка 2" xfId="34207" hidden="1"/>
    <cellStyle name="Гиперссылка 2" xfId="34213" hidden="1"/>
    <cellStyle name="Гиперссылка 2" xfId="34214" hidden="1"/>
    <cellStyle name="Гиперссылка 2" xfId="34210" hidden="1"/>
    <cellStyle name="Гиперссылка 2" xfId="34209" hidden="1"/>
    <cellStyle name="Гиперссылка 2" xfId="34212" hidden="1"/>
    <cellStyle name="Гиперссылка 2" xfId="34211" hidden="1"/>
    <cellStyle name="Гиперссылка 2" xfId="34216" hidden="1"/>
    <cellStyle name="Гиперссылка 2" xfId="34215" hidden="1"/>
    <cellStyle name="Гиперссылка 2" xfId="34217" hidden="1"/>
    <cellStyle name="Гиперссылка 2" xfId="34218" hidden="1"/>
    <cellStyle name="Гиперссылка 2" xfId="34223" hidden="1"/>
    <cellStyle name="Гиперссылка 2" xfId="34224" hidden="1"/>
    <cellStyle name="Гиперссылка 2" xfId="34220" hidden="1"/>
    <cellStyle name="Гиперссылка 2" xfId="34219" hidden="1"/>
    <cellStyle name="Гиперссылка 2" xfId="34222" hidden="1"/>
    <cellStyle name="Гиперссылка 2" xfId="34221" hidden="1"/>
    <cellStyle name="Гиперссылка 2" xfId="34226" hidden="1"/>
    <cellStyle name="Гиперссылка 2" xfId="34225" hidden="1"/>
    <cellStyle name="Гиперссылка 2" xfId="34227" hidden="1"/>
    <cellStyle name="Гиперссылка 2" xfId="34228" hidden="1"/>
    <cellStyle name="Гиперссылка 2" xfId="34233" hidden="1"/>
    <cellStyle name="Гиперссылка 2" xfId="34234" hidden="1"/>
    <cellStyle name="Гиперссылка 2" xfId="34230" hidden="1"/>
    <cellStyle name="Гиперссылка 2" xfId="34229" hidden="1"/>
    <cellStyle name="Гиперссылка 2" xfId="34232" hidden="1"/>
    <cellStyle name="Гиперссылка 2" xfId="34231" hidden="1"/>
    <cellStyle name="Гиперссылка 2" xfId="34236" hidden="1"/>
    <cellStyle name="Гиперссылка 2" xfId="34235" hidden="1"/>
    <cellStyle name="Гиперссылка 2" xfId="34041" hidden="1"/>
    <cellStyle name="Гиперссылка 2" xfId="33093" hidden="1"/>
    <cellStyle name="Гиперссылка 2" xfId="33616" hidden="1"/>
    <cellStyle name="Гиперссылка 2" xfId="33324" hidden="1"/>
    <cellStyle name="Гиперссылка 2" xfId="34158" hidden="1"/>
    <cellStyle name="Гиперссылка 2" xfId="34203" hidden="1"/>
    <cellStyle name="Гиперссылка 2" xfId="33651" hidden="1"/>
    <cellStyle name="Гиперссылка 2" xfId="34154" hidden="1"/>
    <cellStyle name="Гиперссылка 2" xfId="34238" hidden="1"/>
    <cellStyle name="Гиперссылка 2" xfId="34237" hidden="1"/>
    <cellStyle name="Гиперссылка 2" xfId="34239" hidden="1"/>
    <cellStyle name="Гиперссылка 2" xfId="34240" hidden="1"/>
    <cellStyle name="Гиперссылка 2" xfId="34245" hidden="1"/>
    <cellStyle name="Гиперссылка 2" xfId="34246" hidden="1"/>
    <cellStyle name="Гиперссылка 2" xfId="34242" hidden="1"/>
    <cellStyle name="Гиперссылка 2" xfId="34241" hidden="1"/>
    <cellStyle name="Гиперссылка 2" xfId="34244" hidden="1"/>
    <cellStyle name="Гиперссылка 2" xfId="34243" hidden="1"/>
    <cellStyle name="Гиперссылка 2" xfId="34248" hidden="1"/>
    <cellStyle name="Гиперссылка 2" xfId="34247" hidden="1"/>
    <cellStyle name="Гиперссылка 2" xfId="34249" hidden="1"/>
    <cellStyle name="Гиперссылка 2" xfId="34250" hidden="1"/>
    <cellStyle name="Гиперссылка 2" xfId="34255" hidden="1"/>
    <cellStyle name="Гиперссылка 2" xfId="34256" hidden="1"/>
    <cellStyle name="Гиперссылка 2" xfId="34252" hidden="1"/>
    <cellStyle name="Гиперссылка 2" xfId="34251" hidden="1"/>
    <cellStyle name="Гиперссылка 2" xfId="34254" hidden="1"/>
    <cellStyle name="Гиперссылка 2" xfId="34253" hidden="1"/>
    <cellStyle name="Гиперссылка 2" xfId="34258" hidden="1"/>
    <cellStyle name="Гиперссылка 2" xfId="34257" hidden="1"/>
    <cellStyle name="Гиперссылка 2" xfId="34259" hidden="1"/>
    <cellStyle name="Гиперссылка 2" xfId="34260" hidden="1"/>
    <cellStyle name="Гиперссылка 2" xfId="34265" hidden="1"/>
    <cellStyle name="Гиперссылка 2" xfId="34266" hidden="1"/>
    <cellStyle name="Гиперссылка 2" xfId="34262" hidden="1"/>
    <cellStyle name="Гиперссылка 2" xfId="34261" hidden="1"/>
    <cellStyle name="Гиперссылка 2" xfId="34264" hidden="1"/>
    <cellStyle name="Гиперссылка 2" xfId="34263" hidden="1"/>
    <cellStyle name="Гиперссылка 2" xfId="34268" hidden="1"/>
    <cellStyle name="Гиперссылка 2" xfId="34267" hidden="1"/>
    <cellStyle name="Гиперссылка 2" xfId="34347" hidden="1"/>
    <cellStyle name="Гиперссылка 2" xfId="34348" hidden="1"/>
    <cellStyle name="Гиперссылка 2" xfId="34483" hidden="1"/>
    <cellStyle name="Гиперссылка 2" xfId="34484" hidden="1"/>
    <cellStyle name="Гиперссылка 2" xfId="34405" hidden="1"/>
    <cellStyle name="Гиперссылка 2" xfId="34351" hidden="1"/>
    <cellStyle name="Гиперссылка 2" xfId="34464" hidden="1"/>
    <cellStyle name="Гиперссылка 2" xfId="34463" hidden="1"/>
    <cellStyle name="Гиперссылка 2" xfId="34539" hidden="1"/>
    <cellStyle name="Гиперссылка 2" xfId="34538" hidden="1"/>
    <cellStyle name="Гиперссылка 2" xfId="34554" hidden="1"/>
    <cellStyle name="Гиперссылка 2" xfId="34555" hidden="1"/>
    <cellStyle name="Гиперссылка 2" xfId="34561" hidden="1"/>
    <cellStyle name="Гиперссылка 2" xfId="34562" hidden="1"/>
    <cellStyle name="Гиперссылка 2" xfId="34558" hidden="1"/>
    <cellStyle name="Гиперссылка 2" xfId="34557" hidden="1"/>
    <cellStyle name="Гиперссылка 2" xfId="34560" hidden="1"/>
    <cellStyle name="Гиперссылка 2" xfId="34559" hidden="1"/>
    <cellStyle name="Гиперссылка 2" xfId="34564" hidden="1"/>
    <cellStyle name="Гиперссылка 2" xfId="34563" hidden="1"/>
    <cellStyle name="Гиперссылка 2" xfId="34565" hidden="1"/>
    <cellStyle name="Гиперссылка 2" xfId="34566" hidden="1"/>
    <cellStyle name="Гиперссылка 2" xfId="34571" hidden="1"/>
    <cellStyle name="Гиперссылка 2" xfId="34572" hidden="1"/>
    <cellStyle name="Гиперссылка 2" xfId="34568" hidden="1"/>
    <cellStyle name="Гиперссылка 2" xfId="34567" hidden="1"/>
    <cellStyle name="Гиперссылка 2" xfId="34570" hidden="1"/>
    <cellStyle name="Гиперссылка 2" xfId="34569" hidden="1"/>
    <cellStyle name="Гиперссылка 2" xfId="34574" hidden="1"/>
    <cellStyle name="Гиперссылка 2" xfId="34573" hidden="1"/>
    <cellStyle name="Гиперссылка 2" xfId="34575" hidden="1"/>
    <cellStyle name="Гиперссылка 2" xfId="34576" hidden="1"/>
    <cellStyle name="Гиперссылка 2" xfId="34581" hidden="1"/>
    <cellStyle name="Гиперссылка 2" xfId="34582" hidden="1"/>
    <cellStyle name="Гиперссылка 2" xfId="34578" hidden="1"/>
    <cellStyle name="Гиперссылка 2" xfId="34577" hidden="1"/>
    <cellStyle name="Гиперссылка 2" xfId="34580" hidden="1"/>
    <cellStyle name="Гиперссылка 2" xfId="34579" hidden="1"/>
    <cellStyle name="Гиперссылка 2" xfId="34584" hidden="1"/>
    <cellStyle name="Гиперссылка 2" xfId="34583" hidden="1"/>
    <cellStyle name="Гиперссылка 2" xfId="34631" hidden="1"/>
    <cellStyle name="Гиперссылка 2" xfId="34632" hidden="1"/>
    <cellStyle name="Гиперссылка 2" xfId="34745" hidden="1"/>
    <cellStyle name="Гиперссылка 2" xfId="34746" hidden="1"/>
    <cellStyle name="Гиперссылка 2" xfId="34688" hidden="1"/>
    <cellStyle name="Гиперссылка 2" xfId="34634" hidden="1"/>
    <cellStyle name="Гиперссылка 2" xfId="34732" hidden="1"/>
    <cellStyle name="Гиперссылка 2" xfId="34731" hidden="1"/>
    <cellStyle name="Гиперссылка 2" xfId="34805" hidden="1"/>
    <cellStyle name="Гиперссылка 2" xfId="34804" hidden="1"/>
    <cellStyle name="Гиперссылка 2" xfId="34823" hidden="1"/>
    <cellStyle name="Гиперссылка 2" xfId="34824" hidden="1"/>
    <cellStyle name="Гиперссылка 2" xfId="34829" hidden="1"/>
    <cellStyle name="Гиперссылка 2" xfId="34830" hidden="1"/>
    <cellStyle name="Гиперссылка 2" xfId="34826" hidden="1"/>
    <cellStyle name="Гиперссылка 2" xfId="34825" hidden="1"/>
    <cellStyle name="Гиперссылка 2" xfId="34828" hidden="1"/>
    <cellStyle name="Гиперссылка 2" xfId="34827" hidden="1"/>
    <cellStyle name="Гиперссылка 2" xfId="34832" hidden="1"/>
    <cellStyle name="Гиперссылка 2" xfId="34831" hidden="1"/>
    <cellStyle name="Гиперссылка 2" xfId="34834" hidden="1"/>
    <cellStyle name="Гиперссылка 2" xfId="34835" hidden="1"/>
    <cellStyle name="Гиперссылка 2" xfId="34840" hidden="1"/>
    <cellStyle name="Гиперссылка 2" xfId="34841" hidden="1"/>
    <cellStyle name="Гиперссылка 2" xfId="34837" hidden="1"/>
    <cellStyle name="Гиперссылка 2" xfId="34836" hidden="1"/>
    <cellStyle name="Гиперссылка 2" xfId="34839" hidden="1"/>
    <cellStyle name="Гиперссылка 2" xfId="34838" hidden="1"/>
    <cellStyle name="Гиперссылка 2" xfId="34843" hidden="1"/>
    <cellStyle name="Гиперссылка 2" xfId="34842" hidden="1"/>
    <cellStyle name="Гиперссылка 2" xfId="34844" hidden="1"/>
    <cellStyle name="Гиперссылка 2" xfId="34845" hidden="1"/>
    <cellStyle name="Гиперссылка 2" xfId="34850" hidden="1"/>
    <cellStyle name="Гиперссылка 2" xfId="34851" hidden="1"/>
    <cellStyle name="Гиперссылка 2" xfId="34847" hidden="1"/>
    <cellStyle name="Гиперссылка 2" xfId="34846" hidden="1"/>
    <cellStyle name="Гиперссылка 2" xfId="34849" hidden="1"/>
    <cellStyle name="Гиперссылка 2" xfId="34848" hidden="1"/>
    <cellStyle name="Гиперссылка 2" xfId="34853" hidden="1"/>
    <cellStyle name="Гиперссылка 2" xfId="34852" hidden="1"/>
    <cellStyle name="Гиперссылка 2" xfId="34742" hidden="1"/>
    <cellStyle name="Гиперссылка 2" xfId="34704" hidden="1"/>
    <cellStyle name="Гиперссылка 2" xfId="34753" hidden="1"/>
    <cellStyle name="Гиперссылка 2" xfId="34636" hidden="1"/>
    <cellStyle name="Гиперссылка 2" xfId="34771" hidden="1"/>
    <cellStyle name="Гиперссылка 2" xfId="34814" hidden="1"/>
    <cellStyle name="Гиперссылка 2" xfId="34720" hidden="1"/>
    <cellStyle name="Гиперссылка 2" xfId="34760" hidden="1"/>
    <cellStyle name="Гиперссылка 2" xfId="34908" hidden="1"/>
    <cellStyle name="Гиперссылка 2" xfId="34907" hidden="1"/>
    <cellStyle name="Гиперссылка 2" xfId="34922" hidden="1"/>
    <cellStyle name="Гиперссылка 2" xfId="34923" hidden="1"/>
    <cellStyle name="Гиперссылка 2" xfId="34928" hidden="1"/>
    <cellStyle name="Гиперссылка 2" xfId="34929" hidden="1"/>
    <cellStyle name="Гиперссылка 2" xfId="34925" hidden="1"/>
    <cellStyle name="Гиперссылка 2" xfId="34924" hidden="1"/>
    <cellStyle name="Гиперссылка 2" xfId="34927" hidden="1"/>
    <cellStyle name="Гиперссылка 2" xfId="34926" hidden="1"/>
    <cellStyle name="Гиперссылка 2" xfId="34931" hidden="1"/>
    <cellStyle name="Гиперссылка 2" xfId="34930" hidden="1"/>
    <cellStyle name="Гиперссылка 2" xfId="34933" hidden="1"/>
    <cellStyle name="Гиперссылка 2" xfId="34934" hidden="1"/>
    <cellStyle name="Гиперссылка 2" xfId="34939" hidden="1"/>
    <cellStyle name="Гиперссылка 2" xfId="34940" hidden="1"/>
    <cellStyle name="Гиперссылка 2" xfId="34936" hidden="1"/>
    <cellStyle name="Гиперссылка 2" xfId="34935" hidden="1"/>
    <cellStyle name="Гиперссылка 2" xfId="34938" hidden="1"/>
    <cellStyle name="Гиперссылка 2" xfId="34937" hidden="1"/>
    <cellStyle name="Гиперссылка 2" xfId="34942" hidden="1"/>
    <cellStyle name="Гиперссылка 2" xfId="34941" hidden="1"/>
    <cellStyle name="Гиперссылка 2" xfId="34943" hidden="1"/>
    <cellStyle name="Гиперссылка 2" xfId="34944" hidden="1"/>
    <cellStyle name="Гиперссылка 2" xfId="34949" hidden="1"/>
    <cellStyle name="Гиперссылка 2" xfId="34950" hidden="1"/>
    <cellStyle name="Гиперссылка 2" xfId="34946" hidden="1"/>
    <cellStyle name="Гиперссылка 2" xfId="34945" hidden="1"/>
    <cellStyle name="Гиперссылка 2" xfId="34948" hidden="1"/>
    <cellStyle name="Гиперссылка 2" xfId="34947" hidden="1"/>
    <cellStyle name="Гиперссылка 2" xfId="34952" hidden="1"/>
    <cellStyle name="Гиперссылка 2" xfId="34951" hidden="1"/>
    <cellStyle name="Гиперссылка 2" xfId="34761" hidden="1"/>
    <cellStyle name="Гиперссылка 2" xfId="34295" hidden="1"/>
    <cellStyle name="Гиперссылка 2" xfId="34308" hidden="1"/>
    <cellStyle name="Гиперссылка 2" xfId="34689" hidden="1"/>
    <cellStyle name="Гиперссылка 2" xfId="34873" hidden="1"/>
    <cellStyle name="Гиперссылка 2" xfId="34918" hidden="1"/>
    <cellStyle name="Гиперссылка 2" xfId="34739" hidden="1"/>
    <cellStyle name="Гиперссылка 2" xfId="34862" hidden="1"/>
    <cellStyle name="Гиперссылка 2" xfId="35006" hidden="1"/>
    <cellStyle name="Гиперссылка 2" xfId="35005" hidden="1"/>
    <cellStyle name="Гиперссылка 2" xfId="35021" hidden="1"/>
    <cellStyle name="Гиперссылка 2" xfId="35022" hidden="1"/>
    <cellStyle name="Гиперссылка 2" xfId="35028" hidden="1"/>
    <cellStyle name="Гиперссылка 2" xfId="35029" hidden="1"/>
    <cellStyle name="Гиперссылка 2" xfId="35025" hidden="1"/>
    <cellStyle name="Гиперссылка 2" xfId="35024" hidden="1"/>
    <cellStyle name="Гиперссылка 2" xfId="35027" hidden="1"/>
    <cellStyle name="Гиперссылка 2" xfId="35026" hidden="1"/>
    <cellStyle name="Гиперссылка 2" xfId="35031" hidden="1"/>
    <cellStyle name="Гиперссылка 2" xfId="35030" hidden="1"/>
    <cellStyle name="Гиперссылка 2" xfId="35034" hidden="1"/>
    <cellStyle name="Гиперссылка 2" xfId="35035" hidden="1"/>
    <cellStyle name="Гиперссылка 2" xfId="35040" hidden="1"/>
    <cellStyle name="Гиперссылка 2" xfId="35041" hidden="1"/>
    <cellStyle name="Гиперссылка 2" xfId="35037" hidden="1"/>
    <cellStyle name="Гиперссылка 2" xfId="35036" hidden="1"/>
    <cellStyle name="Гиперссылка 2" xfId="35039" hidden="1"/>
    <cellStyle name="Гиперссылка 2" xfId="35038" hidden="1"/>
    <cellStyle name="Гиперссылка 2" xfId="35043" hidden="1"/>
    <cellStyle name="Гиперссылка 2" xfId="35042" hidden="1"/>
    <cellStyle name="Гиперссылка 2" xfId="35044" hidden="1"/>
    <cellStyle name="Гиперссылка 2" xfId="35045" hidden="1"/>
    <cellStyle name="Гиперссылка 2" xfId="35050" hidden="1"/>
    <cellStyle name="Гиперссылка 2" xfId="35051" hidden="1"/>
    <cellStyle name="Гиперссылка 2" xfId="35047" hidden="1"/>
    <cellStyle name="Гиперссылка 2" xfId="35046" hidden="1"/>
    <cellStyle name="Гиперссылка 2" xfId="35049" hidden="1"/>
    <cellStyle name="Гиперссылка 2" xfId="35048" hidden="1"/>
    <cellStyle name="Гиперссылка 2" xfId="35053" hidden="1"/>
    <cellStyle name="Гиперссылка 2" xfId="35052" hidden="1"/>
    <cellStyle name="Гиперссылка 2" xfId="34863" hidden="1"/>
    <cellStyle name="Гиперссылка 2" xfId="34314" hidden="1"/>
    <cellStyle name="Гиперссылка 2" xfId="34695" hidden="1"/>
    <cellStyle name="Гиперссылка 2" xfId="34318" hidden="1"/>
    <cellStyle name="Гиперссылка 2" xfId="34969" hidden="1"/>
    <cellStyle name="Гиперссылка 2" xfId="35015" hidden="1"/>
    <cellStyle name="Гиперссылка 2" xfId="34712" hidden="1"/>
    <cellStyle name="Гиперссылка 2" xfId="34958" hidden="1"/>
    <cellStyle name="Гиперссылка 2" xfId="35100" hidden="1"/>
    <cellStyle name="Гиперссылка 2" xfId="35099" hidden="1"/>
    <cellStyle name="Гиперссылка 2" xfId="35118" hidden="1"/>
    <cellStyle name="Гиперссылка 2" xfId="35119" hidden="1"/>
    <cellStyle name="Гиперссылка 2" xfId="35124" hidden="1"/>
    <cellStyle name="Гиперссылка 2" xfId="35125" hidden="1"/>
    <cellStyle name="Гиперссылка 2" xfId="35121" hidden="1"/>
    <cellStyle name="Гиперссылка 2" xfId="35120" hidden="1"/>
    <cellStyle name="Гиперссылка 2" xfId="35123" hidden="1"/>
    <cellStyle name="Гиперссылка 2" xfId="35122" hidden="1"/>
    <cellStyle name="Гиперссылка 2" xfId="35127" hidden="1"/>
    <cellStyle name="Гиперссылка 2" xfId="35126" hidden="1"/>
    <cellStyle name="Гиперссылка 2" xfId="35129" hidden="1"/>
    <cellStyle name="Гиперссылка 2" xfId="35130" hidden="1"/>
    <cellStyle name="Гиперссылка 2" xfId="35135" hidden="1"/>
    <cellStyle name="Гиперссылка 2" xfId="35136" hidden="1"/>
    <cellStyle name="Гиперссылка 2" xfId="35132" hidden="1"/>
    <cellStyle name="Гиперссылка 2" xfId="35131" hidden="1"/>
    <cellStyle name="Гиперссылка 2" xfId="35134" hidden="1"/>
    <cellStyle name="Гиперссылка 2" xfId="35133" hidden="1"/>
    <cellStyle name="Гиперссылка 2" xfId="35138" hidden="1"/>
    <cellStyle name="Гиперссылка 2" xfId="35137" hidden="1"/>
    <cellStyle name="Гиперссылка 2" xfId="35139" hidden="1"/>
    <cellStyle name="Гиперссылка 2" xfId="35140" hidden="1"/>
    <cellStyle name="Гиперссылка 2" xfId="35145" hidden="1"/>
    <cellStyle name="Гиперссылка 2" xfId="35146" hidden="1"/>
    <cellStyle name="Гиперссылка 2" xfId="35142" hidden="1"/>
    <cellStyle name="Гиперссылка 2" xfId="35141" hidden="1"/>
    <cellStyle name="Гиперссылка 2" xfId="35144" hidden="1"/>
    <cellStyle name="Гиперссылка 2" xfId="35143" hidden="1"/>
    <cellStyle name="Гиперссылка 2" xfId="35148" hidden="1"/>
    <cellStyle name="Гиперссылка 2" xfId="35147" hidden="1"/>
    <cellStyle name="Гиперссылка 2" xfId="34959" hidden="1"/>
    <cellStyle name="Гиперссылка 2" xfId="34702" hidden="1"/>
    <cellStyle name="Гиперссылка 2" xfId="34618" hidden="1"/>
    <cellStyle name="Гиперссылка 2" xfId="34694" hidden="1"/>
    <cellStyle name="Гиперссылка 2" xfId="35065" hidden="1"/>
    <cellStyle name="Гиперссылка 2" xfId="35110" hidden="1"/>
    <cellStyle name="Гиперссылка 2" xfId="34615" hidden="1"/>
    <cellStyle name="Гиперссылка 2" xfId="35056" hidden="1"/>
    <cellStyle name="Гиперссылка 2" xfId="35186" hidden="1"/>
    <cellStyle name="Гиперссылка 2" xfId="35185" hidden="1"/>
    <cellStyle name="Гиперссылка 2" xfId="35200" hidden="1"/>
    <cellStyle name="Гиперссылка 2" xfId="35201" hidden="1"/>
    <cellStyle name="Гиперссылка 2" xfId="35206" hidden="1"/>
    <cellStyle name="Гиперссылка 2" xfId="35207" hidden="1"/>
    <cellStyle name="Гиперссылка 2" xfId="35203" hidden="1"/>
    <cellStyle name="Гиперссылка 2" xfId="35202" hidden="1"/>
    <cellStyle name="Гиперссылка 2" xfId="35205" hidden="1"/>
    <cellStyle name="Гиперссылка 2" xfId="35204" hidden="1"/>
    <cellStyle name="Гиперссылка 2" xfId="35209" hidden="1"/>
    <cellStyle name="Гиперссылка 2" xfId="35208" hidden="1"/>
    <cellStyle name="Гиперссылка 2" xfId="35212" hidden="1"/>
    <cellStyle name="Гиперссылка 2" xfId="35213" hidden="1"/>
    <cellStyle name="Гиперссылка 2" xfId="35218" hidden="1"/>
    <cellStyle name="Гиперссылка 2" xfId="35219" hidden="1"/>
    <cellStyle name="Гиперссылка 2" xfId="35215" hidden="1"/>
    <cellStyle name="Гиперссылка 2" xfId="35214" hidden="1"/>
    <cellStyle name="Гиперссылка 2" xfId="35217" hidden="1"/>
    <cellStyle name="Гиперссылка 2" xfId="35216" hidden="1"/>
    <cellStyle name="Гиперссылка 2" xfId="35221" hidden="1"/>
    <cellStyle name="Гиперссылка 2" xfId="35220" hidden="1"/>
    <cellStyle name="Гиперссылка 2" xfId="35222" hidden="1"/>
    <cellStyle name="Гиперссылка 2" xfId="35223" hidden="1"/>
    <cellStyle name="Гиперссылка 2" xfId="35228" hidden="1"/>
    <cellStyle name="Гиперссылка 2" xfId="35229" hidden="1"/>
    <cellStyle name="Гиперссылка 2" xfId="35225" hidden="1"/>
    <cellStyle name="Гиперссылка 2" xfId="35224" hidden="1"/>
    <cellStyle name="Гиперссылка 2" xfId="35227" hidden="1"/>
    <cellStyle name="Гиперссылка 2" xfId="35226" hidden="1"/>
    <cellStyle name="Гиперссылка 2" xfId="35231" hidden="1"/>
    <cellStyle name="Гиперссылка 2" xfId="35230" hidden="1"/>
    <cellStyle name="Гиперссылка 2" xfId="35057" hidden="1"/>
    <cellStyle name="Гиперссылка 2" xfId="34723" hidden="1"/>
    <cellStyle name="Гиперссылка 2" xfId="34769" hidden="1"/>
    <cellStyle name="Гиперссылка 2" xfId="34625" hidden="1"/>
    <cellStyle name="Гиперссылка 2" xfId="35162" hidden="1"/>
    <cellStyle name="Гиперссылка 2" xfId="35194" hidden="1"/>
    <cellStyle name="Гиперссылка 2" xfId="34783" hidden="1"/>
    <cellStyle name="Гиперссылка 2" xfId="35155" hidden="1"/>
    <cellStyle name="Гиперссылка 2" xfId="35273" hidden="1"/>
    <cellStyle name="Гиперссылка 2" xfId="35272" hidden="1"/>
    <cellStyle name="Гиперссылка 2" xfId="35287" hidden="1"/>
    <cellStyle name="Гиперссылка 2" xfId="35288" hidden="1"/>
    <cellStyle name="Гиперссылка 2" xfId="35293" hidden="1"/>
    <cellStyle name="Гиперссылка 2" xfId="35294" hidden="1"/>
    <cellStyle name="Гиперссылка 2" xfId="35290" hidden="1"/>
    <cellStyle name="Гиперссылка 2" xfId="35289" hidden="1"/>
    <cellStyle name="Гиперссылка 2" xfId="35292" hidden="1"/>
    <cellStyle name="Гиперссылка 2" xfId="35291" hidden="1"/>
    <cellStyle name="Гиперссылка 2" xfId="35296" hidden="1"/>
    <cellStyle name="Гиперссылка 2" xfId="35295" hidden="1"/>
    <cellStyle name="Гиперссылка 2" xfId="35298" hidden="1"/>
    <cellStyle name="Гиперссылка 2" xfId="35299" hidden="1"/>
    <cellStyle name="Гиперссылка 2" xfId="35304" hidden="1"/>
    <cellStyle name="Гиперссылка 2" xfId="35305" hidden="1"/>
    <cellStyle name="Гиперссылка 2" xfId="35301" hidden="1"/>
    <cellStyle name="Гиперссылка 2" xfId="35300" hidden="1"/>
    <cellStyle name="Гиперссылка 2" xfId="35303" hidden="1"/>
    <cellStyle name="Гиперссылка 2" xfId="35302" hidden="1"/>
    <cellStyle name="Гиперссылка 2" xfId="35307" hidden="1"/>
    <cellStyle name="Гиперссылка 2" xfId="35306" hidden="1"/>
    <cellStyle name="Гиперссылка 2" xfId="35308" hidden="1"/>
    <cellStyle name="Гиперссылка 2" xfId="35309" hidden="1"/>
    <cellStyle name="Гиперссылка 2" xfId="35314" hidden="1"/>
    <cellStyle name="Гиперссылка 2" xfId="35315" hidden="1"/>
    <cellStyle name="Гиперссылка 2" xfId="35311" hidden="1"/>
    <cellStyle name="Гиперссылка 2" xfId="35310" hidden="1"/>
    <cellStyle name="Гиперссылка 2" xfId="35313" hidden="1"/>
    <cellStyle name="Гиперссылка 2" xfId="35312" hidden="1"/>
    <cellStyle name="Гиперссылка 2" xfId="35317" hidden="1"/>
    <cellStyle name="Гиперссылка 2" xfId="35316" hidden="1"/>
    <cellStyle name="Гиперссылка 2" xfId="35156" hidden="1"/>
    <cellStyle name="Гиперссылка 2" xfId="34327" hidden="1"/>
    <cellStyle name="Гиперссылка 2" xfId="34870" hidden="1"/>
    <cellStyle name="Гиперссылка 2" xfId="34635" hidden="1"/>
    <cellStyle name="Гиперссылка 2" xfId="35246" hidden="1"/>
    <cellStyle name="Гиперссылка 2" xfId="35283" hidden="1"/>
    <cellStyle name="Гиперссылка 2" xfId="34893" hidden="1"/>
    <cellStyle name="Гиперссылка 2" xfId="35235" hidden="1"/>
    <cellStyle name="Гиперссылка 2" xfId="35357" hidden="1"/>
    <cellStyle name="Гиперссылка 2" xfId="35356" hidden="1"/>
    <cellStyle name="Гиперссылка 2" xfId="35370" hidden="1"/>
    <cellStyle name="Гиперссылка 2" xfId="35371" hidden="1"/>
    <cellStyle name="Гиперссылка 2" xfId="35376" hidden="1"/>
    <cellStyle name="Гиперссылка 2" xfId="35377" hidden="1"/>
    <cellStyle name="Гиперссылка 2" xfId="35373" hidden="1"/>
    <cellStyle name="Гиперссылка 2" xfId="35372" hidden="1"/>
    <cellStyle name="Гиперссылка 2" xfId="35375" hidden="1"/>
    <cellStyle name="Гиперссылка 2" xfId="35374" hidden="1"/>
    <cellStyle name="Гиперссылка 2" xfId="35379" hidden="1"/>
    <cellStyle name="Гиперссылка 2" xfId="35378" hidden="1"/>
    <cellStyle name="Гиперссылка 2" xfId="35380" hidden="1"/>
    <cellStyle name="Гиперссылка 2" xfId="35381" hidden="1"/>
    <cellStyle name="Гиперссылка 2" xfId="35386" hidden="1"/>
    <cellStyle name="Гиперссылка 2" xfId="35387" hidden="1"/>
    <cellStyle name="Гиперссылка 2" xfId="35383" hidden="1"/>
    <cellStyle name="Гиперссылка 2" xfId="35382" hidden="1"/>
    <cellStyle name="Гиперссылка 2" xfId="35385" hidden="1"/>
    <cellStyle name="Гиперссылка 2" xfId="35384" hidden="1"/>
    <cellStyle name="Гиперссылка 2" xfId="35389" hidden="1"/>
    <cellStyle name="Гиперссылка 2" xfId="35388" hidden="1"/>
    <cellStyle name="Гиперссылка 2" xfId="35390" hidden="1"/>
    <cellStyle name="Гиперссылка 2" xfId="35391" hidden="1"/>
    <cellStyle name="Гиперссылка 2" xfId="35396" hidden="1"/>
    <cellStyle name="Гиперссылка 2" xfId="35397" hidden="1"/>
    <cellStyle name="Гиперссылка 2" xfId="35393" hidden="1"/>
    <cellStyle name="Гиперссылка 2" xfId="35392" hidden="1"/>
    <cellStyle name="Гиперссылка 2" xfId="35395" hidden="1"/>
    <cellStyle name="Гиперссылка 2" xfId="35394" hidden="1"/>
    <cellStyle name="Гиперссылка 2" xfId="35399" hidden="1"/>
    <cellStyle name="Гиперссылка 2" xfId="35398" hidden="1"/>
    <cellStyle name="Гиперссылка 2" xfId="35236" hidden="1"/>
    <cellStyle name="Гиперссылка 2" xfId="34607" hidden="1"/>
    <cellStyle name="Гиперссылка 2" xfId="34966" hidden="1"/>
    <cellStyle name="Гиперссылка 2" xfId="34791" hidden="1"/>
    <cellStyle name="Гиперссылка 2" xfId="35333" hidden="1"/>
    <cellStyle name="Гиперссылка 2" xfId="35366" hidden="1"/>
    <cellStyle name="Гиперссылка 2" xfId="34980" hidden="1"/>
    <cellStyle name="Гиперссылка 2" xfId="35324" hidden="1"/>
    <cellStyle name="Гиперссылка 2" xfId="35433" hidden="1"/>
    <cellStyle name="Гиперссылка 2" xfId="35432" hidden="1"/>
    <cellStyle name="Гиперссылка 2" xfId="35447" hidden="1"/>
    <cellStyle name="Гиперссылка 2" xfId="35448" hidden="1"/>
    <cellStyle name="Гиперссылка 2" xfId="35454" hidden="1"/>
    <cellStyle name="Гиперссылка 2" xfId="35455" hidden="1"/>
    <cellStyle name="Гиперссылка 2" xfId="35451" hidden="1"/>
    <cellStyle name="Гиперссылка 2" xfId="35450" hidden="1"/>
    <cellStyle name="Гиперссылка 2" xfId="35453" hidden="1"/>
    <cellStyle name="Гиперссылка 2" xfId="35452" hidden="1"/>
    <cellStyle name="Гиперссылка 2" xfId="35457" hidden="1"/>
    <cellStyle name="Гиперссылка 2" xfId="35456" hidden="1"/>
    <cellStyle name="Гиперссылка 2" xfId="35460" hidden="1"/>
    <cellStyle name="Гиперссылка 2" xfId="35461" hidden="1"/>
    <cellStyle name="Гиперссылка 2" xfId="35466" hidden="1"/>
    <cellStyle name="Гиперссылка 2" xfId="35467" hidden="1"/>
    <cellStyle name="Гиперссылка 2" xfId="35463" hidden="1"/>
    <cellStyle name="Гиперссылка 2" xfId="35462" hidden="1"/>
    <cellStyle name="Гиперссылка 2" xfId="35465" hidden="1"/>
    <cellStyle name="Гиперссылка 2" xfId="35464" hidden="1"/>
    <cellStyle name="Гиперссылка 2" xfId="35469" hidden="1"/>
    <cellStyle name="Гиперссылка 2" xfId="35468" hidden="1"/>
    <cellStyle name="Гиперссылка 2" xfId="35470" hidden="1"/>
    <cellStyle name="Гиперссылка 2" xfId="35471" hidden="1"/>
    <cellStyle name="Гиперссылка 2" xfId="35476" hidden="1"/>
    <cellStyle name="Гиперссылка 2" xfId="35477" hidden="1"/>
    <cellStyle name="Гиперссылка 2" xfId="35473" hidden="1"/>
    <cellStyle name="Гиперссылка 2" xfId="35472" hidden="1"/>
    <cellStyle name="Гиперссылка 2" xfId="35475" hidden="1"/>
    <cellStyle name="Гиперссылка 2" xfId="35474" hidden="1"/>
    <cellStyle name="Гиперссылка 2" xfId="35479" hidden="1"/>
    <cellStyle name="Гиперссылка 2" xfId="35478" hidden="1"/>
    <cellStyle name="Гиперссылка 2" xfId="35325" hidden="1"/>
    <cellStyle name="Гиперссылка 2" xfId="34777" hidden="1"/>
    <cellStyle name="Гиперссылка 2" xfId="35062" hidden="1"/>
    <cellStyle name="Гиперссылка 2" xfId="34898" hidden="1"/>
    <cellStyle name="Гиперссылка 2" xfId="35408" hidden="1"/>
    <cellStyle name="Гиперссылка 2" xfId="35442" hidden="1"/>
    <cellStyle name="Гиперссылка 2" xfId="35080" hidden="1"/>
    <cellStyle name="Гиперссылка 2" xfId="35403" hidden="1"/>
    <cellStyle name="Гиперссылка 2" xfId="35508" hidden="1"/>
    <cellStyle name="Гиперссылка 2" xfId="35507" hidden="1"/>
    <cellStyle name="Гиперссылка 2" xfId="35520" hidden="1"/>
    <cellStyle name="Гиперссылка 2" xfId="35521" hidden="1"/>
    <cellStyle name="Гиперссылка 2" xfId="35526" hidden="1"/>
    <cellStyle name="Гиперссылка 2" xfId="35527" hidden="1"/>
    <cellStyle name="Гиперссылка 2" xfId="35523" hidden="1"/>
    <cellStyle name="Гиперссылка 2" xfId="35522" hidden="1"/>
    <cellStyle name="Гиперссылка 2" xfId="35525" hidden="1"/>
    <cellStyle name="Гиперссылка 2" xfId="35524" hidden="1"/>
    <cellStyle name="Гиперссылка 2" xfId="35529" hidden="1"/>
    <cellStyle name="Гиперссылка 2" xfId="35528" hidden="1"/>
    <cellStyle name="Гиперссылка 2" xfId="35530" hidden="1"/>
    <cellStyle name="Гиперссылка 2" xfId="35531" hidden="1"/>
    <cellStyle name="Гиперссылка 2" xfId="35536" hidden="1"/>
    <cellStyle name="Гиперссылка 2" xfId="35537" hidden="1"/>
    <cellStyle name="Гиперссылка 2" xfId="35533" hidden="1"/>
    <cellStyle name="Гиперссылка 2" xfId="35532" hidden="1"/>
    <cellStyle name="Гиперссылка 2" xfId="35535" hidden="1"/>
    <cellStyle name="Гиперссылка 2" xfId="35534" hidden="1"/>
    <cellStyle name="Гиперссылка 2" xfId="35539" hidden="1"/>
    <cellStyle name="Гиперссылка 2" xfId="35538" hidden="1"/>
    <cellStyle name="Гиперссылка 2" xfId="35540" hidden="1"/>
    <cellStyle name="Гиперссылка 2" xfId="35541" hidden="1"/>
    <cellStyle name="Гиперссылка 2" xfId="35546" hidden="1"/>
    <cellStyle name="Гиперссылка 2" xfId="35547" hidden="1"/>
    <cellStyle name="Гиперссылка 2" xfId="35543" hidden="1"/>
    <cellStyle name="Гиперссылка 2" xfId="35542" hidden="1"/>
    <cellStyle name="Гиперссылка 2" xfId="35545" hidden="1"/>
    <cellStyle name="Гиперссылка 2" xfId="35544" hidden="1"/>
    <cellStyle name="Гиперссылка 2" xfId="35549" hidden="1"/>
    <cellStyle name="Гиперссылка 2" xfId="35548" hidden="1"/>
    <cellStyle name="Гиперссылка 2" xfId="35404" hidden="1"/>
    <cellStyle name="Гиперссылка 2" xfId="34880" hidden="1"/>
    <cellStyle name="Гиперссылка 2" xfId="35160" hidden="1"/>
    <cellStyle name="Гиперссылка 2" xfId="34990" hidden="1"/>
    <cellStyle name="Гиперссылка 2" xfId="35491" hidden="1"/>
    <cellStyle name="Гиперссылка 2" xfId="35516" hidden="1"/>
    <cellStyle name="Гиперссылка 2" xfId="35171" hidden="1"/>
    <cellStyle name="Гиперссылка 2" xfId="35483" hidden="1"/>
    <cellStyle name="Гиперссылка 2" xfId="35575" hidden="1"/>
    <cellStyle name="Гиперссылка 2" xfId="35574" hidden="1"/>
    <cellStyle name="Гиперссылка 2" xfId="35584" hidden="1"/>
    <cellStyle name="Гиперссылка 2" xfId="35585" hidden="1"/>
    <cellStyle name="Гиперссылка 2" xfId="35590" hidden="1"/>
    <cellStyle name="Гиперссылка 2" xfId="35591" hidden="1"/>
    <cellStyle name="Гиперссылка 2" xfId="35587" hidden="1"/>
    <cellStyle name="Гиперссылка 2" xfId="35586" hidden="1"/>
    <cellStyle name="Гиперссылка 2" xfId="35589" hidden="1"/>
    <cellStyle name="Гиперссылка 2" xfId="35588" hidden="1"/>
    <cellStyle name="Гиперссылка 2" xfId="35593" hidden="1"/>
    <cellStyle name="Гиперссылка 2" xfId="35592" hidden="1"/>
    <cellStyle name="Гиперссылка 2" xfId="35595" hidden="1"/>
    <cellStyle name="Гиперссылка 2" xfId="35596" hidden="1"/>
    <cellStyle name="Гиперссылка 2" xfId="35601" hidden="1"/>
    <cellStyle name="Гиперссылка 2" xfId="35602" hidden="1"/>
    <cellStyle name="Гиперссылка 2" xfId="35598" hidden="1"/>
    <cellStyle name="Гиперссылка 2" xfId="35597" hidden="1"/>
    <cellStyle name="Гиперссылка 2" xfId="35600" hidden="1"/>
    <cellStyle name="Гиперссылка 2" xfId="35599" hidden="1"/>
    <cellStyle name="Гиперссылка 2" xfId="35604" hidden="1"/>
    <cellStyle name="Гиперссылка 2" xfId="35603" hidden="1"/>
    <cellStyle name="Гиперссылка 2" xfId="35605" hidden="1"/>
    <cellStyle name="Гиперссылка 2" xfId="35606" hidden="1"/>
    <cellStyle name="Гиперссылка 2" xfId="35611" hidden="1"/>
    <cellStyle name="Гиперссылка 2" xfId="35612" hidden="1"/>
    <cellStyle name="Гиперссылка 2" xfId="35608" hidden="1"/>
    <cellStyle name="Гиперссылка 2" xfId="35607" hidden="1"/>
    <cellStyle name="Гиперссылка 2" xfId="35610" hidden="1"/>
    <cellStyle name="Гиперссылка 2" xfId="35609" hidden="1"/>
    <cellStyle name="Гиперссылка 2" xfId="35614" hidden="1"/>
    <cellStyle name="Гиперссылка 2" xfId="35613" hidden="1"/>
    <cellStyle name="Гиперссылка 2" xfId="35484" hidden="1"/>
    <cellStyle name="Гиперссылка 2" xfId="34972" hidden="1"/>
    <cellStyle name="Гиперссылка 2" xfId="35243" hidden="1"/>
    <cellStyle name="Гиперссылка 2" xfId="35091" hidden="1"/>
    <cellStyle name="Гиперссылка 2" xfId="35556" hidden="1"/>
    <cellStyle name="Гиперссылка 2" xfId="35582" hidden="1"/>
    <cellStyle name="Гиперссылка 2" xfId="35256" hidden="1"/>
    <cellStyle name="Гиперссылка 2" xfId="35551" hidden="1"/>
    <cellStyle name="Гиперссылка 2" xfId="35632" hidden="1"/>
    <cellStyle name="Гиперссылка 2" xfId="35631" hidden="1"/>
    <cellStyle name="Гиперссылка 2" xfId="35639" hidden="1"/>
    <cellStyle name="Гиперссылка 2" xfId="35640" hidden="1"/>
    <cellStyle name="Гиперссылка 2" xfId="35645" hidden="1"/>
    <cellStyle name="Гиперссылка 2" xfId="35646" hidden="1"/>
    <cellStyle name="Гиперссылка 2" xfId="35642" hidden="1"/>
    <cellStyle name="Гиперссылка 2" xfId="35641" hidden="1"/>
    <cellStyle name="Гиперссылка 2" xfId="35644" hidden="1"/>
    <cellStyle name="Гиперссылка 2" xfId="35643" hidden="1"/>
    <cellStyle name="Гиперссылка 2" xfId="35648" hidden="1"/>
    <cellStyle name="Гиперссылка 2" xfId="35647" hidden="1"/>
    <cellStyle name="Гиперссылка 2" xfId="35649" hidden="1"/>
    <cellStyle name="Гиперссылка 2" xfId="35650" hidden="1"/>
    <cellStyle name="Гиперссылка 2" xfId="35655" hidden="1"/>
    <cellStyle name="Гиперссылка 2" xfId="35656" hidden="1"/>
    <cellStyle name="Гиперссылка 2" xfId="35652" hidden="1"/>
    <cellStyle name="Гиперссылка 2" xfId="35651" hidden="1"/>
    <cellStyle name="Гиперссылка 2" xfId="35654" hidden="1"/>
    <cellStyle name="Гиперссылка 2" xfId="35653" hidden="1"/>
    <cellStyle name="Гиперссылка 2" xfId="35658" hidden="1"/>
    <cellStyle name="Гиперссылка 2" xfId="35657" hidden="1"/>
    <cellStyle name="Гиперссылка 2" xfId="35659" hidden="1"/>
    <cellStyle name="Гиперссылка 2" xfId="35660" hidden="1"/>
    <cellStyle name="Гиперссылка 2" xfId="35665" hidden="1"/>
    <cellStyle name="Гиперссылка 2" xfId="35666" hidden="1"/>
    <cellStyle name="Гиперссылка 2" xfId="35662" hidden="1"/>
    <cellStyle name="Гиперссылка 2" xfId="35661" hidden="1"/>
    <cellStyle name="Гиперссылка 2" xfId="35664" hidden="1"/>
    <cellStyle name="Гиперссылка 2" xfId="35663" hidden="1"/>
    <cellStyle name="Гиперссылка 2" xfId="35668" hidden="1"/>
    <cellStyle name="Гиперссылка 2" xfId="35667" hidden="1"/>
    <cellStyle name="Гиперссылка 2" xfId="35552" hidden="1"/>
    <cellStyle name="Гиперссылка 2" xfId="35072" hidden="1"/>
    <cellStyle name="Гиперссылка 2" xfId="35331" hidden="1"/>
    <cellStyle name="Гиперссылка 2" xfId="35177" hidden="1"/>
    <cellStyle name="Гиперссылка 2" xfId="35619" hidden="1"/>
    <cellStyle name="Гиперссылка 2" xfId="35638" hidden="1"/>
    <cellStyle name="Гиперссылка 2" xfId="35344" hidden="1"/>
    <cellStyle name="Гиперссылка 2" xfId="35616" hidden="1"/>
    <cellStyle name="Гиперссылка 2" xfId="35670" hidden="1"/>
    <cellStyle name="Гиперссылка 2" xfId="35669" hidden="1"/>
    <cellStyle name="Гиперссылка 2" xfId="35671" hidden="1"/>
    <cellStyle name="Гиперссылка 2" xfId="35672" hidden="1"/>
    <cellStyle name="Гиперссылка 2" xfId="35677" hidden="1"/>
    <cellStyle name="Гиперссылка 2" xfId="35678" hidden="1"/>
    <cellStyle name="Гиперссылка 2" xfId="35674" hidden="1"/>
    <cellStyle name="Гиперссылка 2" xfId="35673" hidden="1"/>
    <cellStyle name="Гиперссылка 2" xfId="35676" hidden="1"/>
    <cellStyle name="Гиперссылка 2" xfId="35675" hidden="1"/>
    <cellStyle name="Гиперссылка 2" xfId="35680" hidden="1"/>
    <cellStyle name="Гиперссылка 2" xfId="35679" hidden="1"/>
    <cellStyle name="Гиперссылка 2" xfId="35681" hidden="1"/>
    <cellStyle name="Гиперссылка 2" xfId="35682" hidden="1"/>
    <cellStyle name="Гиперссылка 2" xfId="35687" hidden="1"/>
    <cellStyle name="Гиперссылка 2" xfId="35688" hidden="1"/>
    <cellStyle name="Гиперссылка 2" xfId="35684" hidden="1"/>
    <cellStyle name="Гиперссылка 2" xfId="35683" hidden="1"/>
    <cellStyle name="Гиперссылка 2" xfId="35686" hidden="1"/>
    <cellStyle name="Гиперссылка 2" xfId="35685" hidden="1"/>
    <cellStyle name="Гиперссылка 2" xfId="35690" hidden="1"/>
    <cellStyle name="Гиперссылка 2" xfId="35689" hidden="1"/>
    <cellStyle name="Гиперссылка 2" xfId="35691" hidden="1"/>
    <cellStyle name="Гиперссылка 2" xfId="35692" hidden="1"/>
    <cellStyle name="Гиперссылка 2" xfId="35697" hidden="1"/>
    <cellStyle name="Гиперссылка 2" xfId="35698" hidden="1"/>
    <cellStyle name="Гиперссылка 2" xfId="35694" hidden="1"/>
    <cellStyle name="Гиперссылка 2" xfId="35693" hidden="1"/>
    <cellStyle name="Гиперссылка 2" xfId="35696" hidden="1"/>
    <cellStyle name="Гиперссылка 2" xfId="35695" hidden="1"/>
    <cellStyle name="Гиперссылка 2" xfId="35700" hidden="1"/>
    <cellStyle name="Гиперссылка 2" xfId="35699" hidden="1"/>
    <cellStyle name="Гиперссылка 2" xfId="35020" hidden="1"/>
    <cellStyle name="Гиперссылка 2" xfId="31221" hidden="1"/>
    <cellStyle name="Гиперссылка 2" xfId="35436" hidden="1"/>
    <cellStyle name="Гиперссылка 2" xfId="34307" hidden="1"/>
    <cellStyle name="Гиперссылка 2" xfId="35251" hidden="1"/>
    <cellStyle name="Гиперссылка 2" xfId="34614" hidden="1"/>
    <cellStyle name="Гиперссылка 2" xfId="34511" hidden="1"/>
    <cellStyle name="Гиперссылка 2" xfId="34499" hidden="1"/>
    <cellStyle name="Гиперссылка 2" xfId="34525" hidden="1"/>
    <cellStyle name="Гиперссылка 2" xfId="34293" hidden="1"/>
    <cellStyle name="Гиперссылка 2" xfId="35569" hidden="1"/>
    <cellStyle name="Гиперссылка 2" xfId="35422" hidden="1"/>
    <cellStyle name="Гиперссылка 2" xfId="34901" hidden="1"/>
    <cellStyle name="Гиперссылка 2" xfId="31275" hidden="1"/>
    <cellStyle name="Гиперссылка 2" xfId="35351" hidden="1"/>
    <cellStyle name="Гиперссылка 2" xfId="35504" hidden="1"/>
    <cellStyle name="Гиперссылка 2" xfId="35095" hidden="1"/>
    <cellStyle name="Гиперссылка 2" xfId="35183" hidden="1"/>
    <cellStyle name="Гиперссылка 2" xfId="35169" hidden="1"/>
    <cellStyle name="Гиперссылка 2" xfId="31215" hidden="1"/>
    <cellStyle name="Гиперссылка 2" xfId="31234" hidden="1"/>
    <cellStyle name="Гиперссылка 2" xfId="34598" hidden="1"/>
    <cellStyle name="Гиперссылка 2" xfId="34352" hidden="1"/>
    <cellStyle name="Гиперссылка 2" xfId="34349" hidden="1"/>
    <cellStyle name="Гиперссылка 2" xfId="34709" hidden="1"/>
    <cellStyle name="Гиперссылка 2" xfId="34734" hidden="1"/>
    <cellStyle name="Гиперссылка 2" xfId="34485" hidden="1"/>
    <cellStyle name="Гиперссылка 2" xfId="34488" hidden="1"/>
    <cellStyle name="Гиперссылка 2" xfId="34552" hidden="1"/>
    <cellStyle name="Гиперссылка 2" xfId="34336" hidden="1"/>
    <cellStyle name="Гиперссылка 2" xfId="34482" hidden="1"/>
    <cellStyle name="Гиперссылка 2" xfId="34420" hidden="1"/>
    <cellStyle name="Гиперссылка 2" xfId="34473" hidden="1"/>
    <cellStyle name="Гиперссылка 2" xfId="34430" hidden="1"/>
    <cellStyle name="Гиперссылка 2" xfId="34458" hidden="1"/>
    <cellStyle name="Гиперссылка 2" xfId="34534" hidden="1"/>
    <cellStyle name="Гиперссылка 2" xfId="34545" hidden="1"/>
    <cellStyle name="Гиперссылка 2" xfId="34272" hidden="1"/>
    <cellStyle name="Гиперссылка 2" xfId="34477" hidden="1"/>
    <cellStyle name="Гиперссылка 2" xfId="34528" hidden="1"/>
    <cellStyle name="Гиперссылка 2" xfId="31267" hidden="1"/>
    <cellStyle name="Гиперссылка 2" xfId="34629" hidden="1"/>
    <cellStyle name="Гиперссылка 2" xfId="34519" hidden="1"/>
    <cellStyle name="Гиперссылка 2" xfId="34446" hidden="1"/>
    <cellStyle name="Гиперссылка 2" xfId="34544" hidden="1"/>
    <cellStyle name="Гиперссылка 2" xfId="34869" hidden="1"/>
    <cellStyle name="Гиперссылка 2" xfId="35496" hidden="1"/>
    <cellStyle name="Гиперссылка 2" xfId="35561" hidden="1"/>
    <cellStyle name="Гиперссылка 2" xfId="34396" hidden="1"/>
    <cellStyle name="Гиперссылка 2" xfId="34677" hidden="1"/>
    <cellStyle name="Гиперссылка 2" xfId="35238" hidden="1"/>
    <cellStyle name="Гиперссылка 2" xfId="35060" hidden="1"/>
    <cellStyle name="Гиперссылка 2" xfId="34437" hidden="1"/>
    <cellStyle name="Гиперссылка 2" xfId="35112" hidden="1"/>
    <cellStyle name="Гиперссылка 2" xfId="34787" hidden="1"/>
    <cellStyle name="Гиперссылка 2" xfId="31241" hidden="1"/>
    <cellStyle name="Гиперссылка 2" xfId="34514" hidden="1"/>
    <cellStyle name="Гиперссылка 2" xfId="34495" hidden="1"/>
    <cellStyle name="Гиперссылка 2" xfId="34716" hidden="1"/>
    <cellStyle name="Гиперссылка 2" xfId="34817" hidden="1"/>
    <cellStyle name="Гиперссылка 2" xfId="35517" hidden="1"/>
    <cellStyle name="Гиперссылка 2" xfId="35367" hidden="1"/>
    <cellStyle name="Гиперссылка 2" xfId="35085" hidden="1"/>
    <cellStyle name="Гиперссылка 2" xfId="31242" hidden="1"/>
    <cellStyle name="Гиперссылка 2" xfId="35501" hidden="1"/>
    <cellStyle name="Гиперссылка 2" xfId="35627" hidden="1"/>
    <cellStyle name="Гиперссылка 2" xfId="35261" hidden="1"/>
    <cellStyle name="Гиперссылка 2" xfId="35346" hidden="1"/>
    <cellStyle name="Гиперссылка 2" xfId="34497" hidden="1"/>
    <cellStyle name="Гиперссылка 2" xfId="34587" hidden="1"/>
    <cellStyle name="Гиперссылка 2" xfId="34393" hidden="1"/>
    <cellStyle name="Гиперссылка 2" xfId="35106" hidden="1"/>
    <cellStyle name="Гиперссылка 2" xfId="35361" hidden="1"/>
    <cellStyle name="Гиперссылка 2" xfId="35190" hidden="1"/>
    <cellStyle name="Гиперссылка 2" xfId="34743" hidden="1"/>
    <cellStyle name="Гиперссылка 2" xfId="34810" hidden="1"/>
    <cellStyle name="Гиперссылка 2" xfId="35512" hidden="1"/>
    <cellStyle name="Гиперссылка 2" xfId="34391" hidden="1"/>
    <cellStyle name="Гиперссылка 2" xfId="35514" hidden="1"/>
    <cellStyle name="Гиперссылка 2" xfId="35579" hidden="1"/>
    <cellStyle name="Гиперссылка 2" xfId="34905" hidden="1"/>
    <cellStyle name="Гиперссылка 2" xfId="34885" hidden="1"/>
    <cellStyle name="Гиперссылка 2" xfId="35423" hidden="1"/>
    <cellStyle name="Гиперссылка 2" xfId="34364" hidden="1"/>
    <cellStyle name="Гиперссылка 2" xfId="34757" hidden="1"/>
    <cellStyle name="Гиперссылка 2" xfId="34592" hidden="1"/>
    <cellStyle name="Гиперссылка 2" xfId="35165" hidden="1"/>
    <cellStyle name="Гиперссылка 2" xfId="35157" hidden="1"/>
    <cellStyle name="Гиперссылка 2" xfId="34507" hidden="1"/>
    <cellStyle name="Гиперссылка 2" xfId="34512" hidden="1"/>
    <cellStyle name="Гиперссылка 2" xfId="34665" hidden="1"/>
    <cellStyle name="Гиперссылка 2" xfId="34588" hidden="1"/>
    <cellStyle name="Гиперссылка 2" xfId="35032" hidden="1"/>
    <cellStyle name="Гиперссылка 2" xfId="34833" hidden="1"/>
    <cellStyle name="Гиперссылка 2" xfId="35458" hidden="1"/>
    <cellStyle name="Гиперссылка 2" xfId="34626" hidden="1"/>
    <cellStyle name="Гиперссылка 2" xfId="35210" hidden="1"/>
    <cellStyle name="Гиперссылка 2" xfId="35297" hidden="1"/>
    <cellStyle name="Гиперссылка 2" xfId="31257" hidden="1"/>
    <cellStyle name="Гиперссылка 2" xfId="31253" hidden="1"/>
    <cellStyle name="Гиперссылка 2" xfId="35172" hidden="1"/>
    <cellStyle name="Гиперссылка 2" xfId="35082" hidden="1"/>
    <cellStyle name="Гиперссылка 2" xfId="31278" hidden="1"/>
    <cellStyle name="Гиперссылка 2" xfId="34456" hidden="1"/>
    <cellStyle name="Гиперссылка 2" xfId="34707" hidden="1"/>
    <cellStyle name="Гиперссылка 2" xfId="34784" hidden="1"/>
    <cellStyle name="Гиперссылка 2" xfId="34278" hidden="1"/>
    <cellStyle name="Гиперссылка 2" xfId="34317" hidden="1"/>
    <cellStyle name="Гиперссылка 2" xfId="34340" hidden="1"/>
    <cellStyle name="Гиперссылка 2" xfId="34344" hidden="1"/>
    <cellStyle name="Гиперссылка 2" xfId="34551" hidden="1"/>
    <cellStyle name="Гиперссылка 2" xfId="34481" hidden="1"/>
    <cellStyle name="Гиперссылка 2" xfId="34546" hidden="1"/>
    <cellStyle name="Гиперссылка 2" xfId="34475" hidden="1"/>
    <cellStyle name="Гиперссылка 2" xfId="34536" hidden="1"/>
    <cellStyle name="Гиперссылка 2" xfId="34331" hidden="1"/>
    <cellStyle name="Гиперссылка 2" xfId="34421" hidden="1"/>
    <cellStyle name="Гиперссылка 2" xfId="34461" hidden="1"/>
    <cellStyle name="Гиперссылка 2" xfId="34549" hidden="1"/>
    <cellStyle name="Гиперссылка 2" xfId="34425" hidden="1"/>
    <cellStyle name="Гиперссылка 2" xfId="35058" hidden="1"/>
    <cellStyle name="Гиперссылка 2" xfId="34649" hidden="1"/>
    <cellStyle name="Гиперссылка 2" xfId="34543" hidden="1"/>
    <cellStyle name="Гиперссылка 2" xfId="34449" hidden="1"/>
    <cellStyle name="Гиперссылка 2" xfId="34273" hidden="1"/>
    <cellStyle name="Гиперссылка 2" xfId="31244" hidden="1"/>
    <cellStyle name="Гиперссылка 2" xfId="35431" hidden="1"/>
    <cellStyle name="Гиперссылка 2" xfId="34708" hidden="1"/>
    <cellStyle name="Гиперссылка 2" xfId="31262" hidden="1"/>
    <cellStyle name="Гиперссылка 2" xfId="34330" hidden="1"/>
    <cellStyle name="Гиперссылка 2" xfId="35173" hidden="1"/>
    <cellStyle name="Гиперссылка 2" xfId="34981" hidden="1"/>
    <cellStyle name="Гиперссылка 2" xfId="34610" hidden="1"/>
    <cellStyle name="Гиперссылка 2" xfId="34693" hidden="1"/>
    <cellStyle name="Гиперссылка 2" xfId="35563" hidden="1"/>
    <cellStyle name="Гиперссылка 2" xfId="34380" hidden="1"/>
    <cellStyle name="Гиперссылка 2" xfId="35345" hidden="1"/>
    <cellStyle name="Гиперссылка 2" xfId="35419" hidden="1"/>
    <cellStyle name="Гиперссылка 2" xfId="34313" hidden="1"/>
    <cellStyle name="Гиперссылка 2" xfId="34751" hidden="1"/>
    <cellStyle name="Гиперссылка 2" xfId="34638" hidden="1"/>
    <cellStyle name="Гиперссылка 2" xfId="34306" hidden="1"/>
    <cellStyle name="Гиперссылка 2" xfId="34706" hidden="1"/>
    <cellStyle name="Гиперссылка 2" xfId="34378" hidden="1"/>
    <cellStyle name="Гиперссылка 2" xfId="34854" hidden="1"/>
    <cellStyle name="Гиперссылка 2" xfId="34459" hidden="1"/>
    <cellStyle name="Гиперссылка 2" xfId="34733" hidden="1"/>
    <cellStyle name="Гиперссылка 2" xfId="34647" hidden="1"/>
    <cellStyle name="Гиперссылка 2" xfId="35054" hidden="1"/>
    <cellStyle name="Гиперссылка 2" xfId="35149" hidden="1"/>
    <cellStyle name="Гиперссылка 2" xfId="34297" hidden="1"/>
    <cellStyle name="Гиперссылка 2" xfId="34961" hidden="1"/>
    <cellStyle name="Гиперссылка 2" xfId="34800" hidden="1"/>
    <cellStyle name="Гиперссылка 2" xfId="34506" hidden="1"/>
    <cellStyle name="Гиперссылка 2" xfId="34705" hidden="1"/>
    <cellStyle name="Гиперссылка 2" xfId="34681" hidden="1"/>
    <cellStyle name="Гиперссылка 2" xfId="31222" hidden="1"/>
    <cellStyle name="Гиперссылка 2" xfId="34602" hidden="1"/>
    <cellStyle name="Гиперссылка 2" xfId="35010" hidden="1"/>
    <cellStyle name="Гиперссылка 2" xfId="34386" hidden="1"/>
    <cellStyle name="Гиперссылка 2" xfId="34755" hidden="1"/>
    <cellStyle name="Гиперссылка 2" xfId="35323" hidden="1"/>
    <cellStyle name="Гиперссылка 2" xfId="35115" hidden="1"/>
    <cellStyle name="Гиперссылка 2" xfId="34611" hidden="1"/>
    <cellStyle name="Гиперссылка 2" xfId="34337" hidden="1"/>
    <cellStyle name="Гиперссылка 2" xfId="35338" hidden="1"/>
    <cellStyle name="Гиперссылка 2" xfId="34448" hidden="1"/>
    <cellStyle name="Гиперссылка 2" xfId="31237" hidden="1"/>
    <cellStyle name="Гиперссылка 2" xfId="34373" hidden="1"/>
    <cellStyle name="Гиперссылка 2" xfId="34653" hidden="1"/>
    <cellStyle name="Гиперссылка 2" xfId="35502" hidden="1"/>
    <cellStyle name="Гиперссылка 2" xfId="35347" hidden="1"/>
    <cellStyle name="Гиперссылка 2" xfId="31264" hidden="1"/>
    <cellStyle name="Гиперссылка 2" xfId="31216" hidden="1"/>
    <cellStyle name="Гиперссылка 2" xfId="31266" hidden="1"/>
    <cellStyle name="Гиперссылка 2" xfId="34987" hidden="1"/>
    <cellStyle name="Гиперссылка 2" xfId="31246" hidden="1"/>
    <cellStyle name="Гиперссылка 2" xfId="31240" hidden="1"/>
    <cellStyle name="Гиперссылка 2" xfId="31211" hidden="1"/>
    <cellStyle name="Гиперссылка 2" xfId="31260" hidden="1"/>
    <cellStyle name="Гиперссылка 2" xfId="34537" hidden="1"/>
    <cellStyle name="Гиперссылка 2" xfId="34462" hidden="1"/>
    <cellStyle name="Гиперссылка 2" xfId="35629" hidden="1"/>
    <cellStyle name="Гиперссылка 2" xfId="35503" hidden="1"/>
    <cellStyle name="Гиперссылка 2" xfId="34991" hidden="1"/>
    <cellStyle name="Гиперссылка 2" xfId="35178" hidden="1"/>
    <cellStyle name="Гиперссылка 2" xfId="34659" hidden="1"/>
    <cellStyle name="Гиперссылка 2" xfId="34792" hidden="1"/>
    <cellStyle name="Гиперссылка 2" xfId="35255" hidden="1"/>
    <cellStyle name="Гиперссылка 2" xfId="34298" hidden="1"/>
    <cellStyle name="Гиперссылка 2" xfId="35076" hidden="1"/>
    <cellStyle name="Гиперссылка 2" xfId="34892" hidden="1"/>
    <cellStyle name="Гиперссылка 2" xfId="34498" hidden="1"/>
    <cellStyle name="Гиперссылка 2" xfId="34422" hidden="1"/>
    <cellStyle name="Гиперссылка 2" xfId="31220" hidden="1"/>
    <cellStyle name="Гиперссылка 2" xfId="34727" hidden="1"/>
    <cellStyle name="Гиперссылка 2" xfId="34311" hidden="1"/>
    <cellStyle name="Гиперссылка 2" xfId="34729" hidden="1"/>
    <cellStyle name="Гиперссылка 2" xfId="34640" hidden="1"/>
    <cellStyle name="Гиперссылка 2" xfId="34586" hidden="1"/>
    <cellStyle name="Гиперссылка 2" xfId="31229" hidden="1"/>
    <cellStyle name="Гиперссылка 2" xfId="34604" hidden="1"/>
    <cellStyle name="Гиперссылка 2" xfId="34486" hidden="1"/>
    <cellStyle name="Гиперссылка 2" xfId="35198" hidden="1"/>
    <cellStyle name="Гиперссылка 2" xfId="35567" hidden="1"/>
    <cellStyle name="Гиперссылка 2" xfId="35073" hidden="1"/>
    <cellStyle name="Гиперссылка 2" xfId="35017" hidden="1"/>
    <cellStyle name="Гиперссылка 2" xfId="35573" hidden="1"/>
    <cellStyle name="Гиперссылка 2" xfId="34633" hidden="1"/>
    <cellStyle name="Гиперссылка 2" xfId="34813" hidden="1"/>
    <cellStyle name="Гиперссылка 2" xfId="35594" hidden="1"/>
    <cellStyle name="Гиперссылка 2" xfId="35459" hidden="1"/>
    <cellStyle name="Гиперссылка 2" xfId="34660" hidden="1"/>
    <cellStyle name="Гиперссылка 2" xfId="31219" hidden="1"/>
    <cellStyle name="Гиперссылка 2" xfId="35071" hidden="1"/>
    <cellStyle name="Гиперссылка 2" xfId="35248" hidden="1"/>
    <cellStyle name="Гиперссылка 2" xfId="34776" hidden="1"/>
    <cellStyle name="Гиперссылка 2" xfId="34879" hidden="1"/>
    <cellStyle name="Гиперссылка 2" xfId="34535" hidden="1"/>
    <cellStyle name="Гиперссылка 2" xfId="34276" hidden="1"/>
    <cellStyle name="Гиперссылка 2" xfId="34871" hidden="1"/>
    <cellStyle name="Гиперссылка 2" xfId="34738" hidden="1"/>
    <cellStyle name="Гиперссылка 2" xfId="34967" hidden="1"/>
    <cellStyle name="Гиперссылка 2" xfId="35630" hidden="1"/>
    <cellStyle name="Гиперссылка 2" xfId="34370" hidden="1"/>
    <cellStyle name="Гиперссылка 2" xfId="34637" hidden="1"/>
    <cellStyle name="Гиперссылка 2" xfId="35161" hidden="1"/>
    <cellStyle name="Гиперссылка 2" xfId="35244" hidden="1"/>
    <cellStyle name="Гиперссылка 2" xfId="35350" hidden="1"/>
    <cellStyle name="Гиперссылка 2" xfId="35425" hidden="1"/>
    <cellStyle name="Гиперссылка 2" xfId="35181" hidden="1"/>
    <cellStyle name="Гиперссылка 2" xfId="34993" hidden="1"/>
    <cellStyle name="Гиперссылка 2" xfId="34910" hidden="1"/>
    <cellStyle name="Гиперссылка 2" xfId="34684" hidden="1"/>
    <cellStyle name="Гиперссылка 2" xfId="34500" hidden="1"/>
    <cellStyle name="Гиперссылка 2" xfId="34740" hidden="1"/>
    <cellStyle name="Гиперссылка 2" xfId="34390" hidden="1"/>
    <cellStyle name="Гиперссылка 2" xfId="34376" hidden="1"/>
    <cellStyle name="Гиперссылка 2" xfId="34368" hidden="1"/>
    <cellStyle name="Гиперссылка 2" xfId="34646" hidden="1"/>
    <cellStyle name="Гиперссылка 2" xfId="35506" hidden="1"/>
    <cellStyle name="Гиперссылка 2" xfId="35560" hidden="1"/>
    <cellStyle name="Гиперссылка 2" xfId="34442" hidden="1"/>
    <cellStyle name="Гиперссылка 2" xfId="34889" hidden="1"/>
    <cellStyle name="Гиперссылка 2" xfId="35637" hidden="1"/>
    <cellStyle name="Гиперссылка 2" xfId="34303" hidden="1"/>
    <cellStyle name="Гиперссылка 2" xfId="35511" hidden="1"/>
    <cellStyle name="Гиперссылка 2" xfId="35097" hidden="1"/>
    <cellStyle name="Гиперссылка 2" xfId="35715" hidden="1"/>
    <cellStyle name="Гиперссылка 2" xfId="35714" hidden="1"/>
    <cellStyle name="Гиперссылка 2" xfId="35725" hidden="1"/>
    <cellStyle name="Гиперссылка 2" xfId="35726" hidden="1"/>
    <cellStyle name="Гиперссылка 2" xfId="35731" hidden="1"/>
    <cellStyle name="Гиперссылка 2" xfId="35732" hidden="1"/>
    <cellStyle name="Гиперссылка 2" xfId="35728" hidden="1"/>
    <cellStyle name="Гиперссылка 2" xfId="35727" hidden="1"/>
    <cellStyle name="Гиперссылка 2" xfId="35730" hidden="1"/>
    <cellStyle name="Гиперссылка 2" xfId="35729" hidden="1"/>
    <cellStyle name="Гиперссылка 2" xfId="35734" hidden="1"/>
    <cellStyle name="Гиперссылка 2" xfId="35733" hidden="1"/>
    <cellStyle name="Гиперссылка 2" xfId="35736" hidden="1"/>
    <cellStyle name="Гиперссылка 2" xfId="35737" hidden="1"/>
    <cellStyle name="Гиперссылка 2" xfId="35742" hidden="1"/>
    <cellStyle name="Гиперссылка 2" xfId="35743" hidden="1"/>
    <cellStyle name="Гиперссылка 2" xfId="35739" hidden="1"/>
    <cellStyle name="Гиперссылка 2" xfId="35738" hidden="1"/>
    <cellStyle name="Гиперссылка 2" xfId="35741" hidden="1"/>
    <cellStyle name="Гиперссылка 2" xfId="35740" hidden="1"/>
    <cellStyle name="Гиперссылка 2" xfId="35745" hidden="1"/>
    <cellStyle name="Гиперссылка 2" xfId="35744" hidden="1"/>
    <cellStyle name="Гиперссылка 2" xfId="35746" hidden="1"/>
    <cellStyle name="Гиперссылка 2" xfId="35747" hidden="1"/>
    <cellStyle name="Гиперссылка 2" xfId="35752" hidden="1"/>
    <cellStyle name="Гиперссылка 2" xfId="35753" hidden="1"/>
    <cellStyle name="Гиперссылка 2" xfId="35749" hidden="1"/>
    <cellStyle name="Гиперссылка 2" xfId="35748" hidden="1"/>
    <cellStyle name="Гиперссылка 2" xfId="35751" hidden="1"/>
    <cellStyle name="Гиперссылка 2" xfId="35750" hidden="1"/>
    <cellStyle name="Гиперссылка 2" xfId="35755" hidden="1"/>
    <cellStyle name="Гиперссылка 2" xfId="35754" hidden="1"/>
    <cellStyle name="Гиперссылка 2" xfId="35000" hidden="1"/>
    <cellStyle name="Гиперссылка 2" xfId="34603" hidden="1"/>
    <cellStyle name="Гиперссылка 2" xfId="34772" hidden="1"/>
    <cellStyle name="Гиперссылка 2" xfId="34768" hidden="1"/>
    <cellStyle name="Гиперссылка 2" xfId="35400" hidden="1"/>
    <cellStyle name="Гиперссылка 2" xfId="35720" hidden="1"/>
    <cellStyle name="Гиперссылка 2" xfId="34669" hidden="1"/>
    <cellStyle name="Гиперссылка 2" xfId="34887" hidden="1"/>
    <cellStyle name="Гиперссылка 2" xfId="35794" hidden="1"/>
    <cellStyle name="Гиперссылка 2" xfId="35793" hidden="1"/>
    <cellStyle name="Гиперссылка 2" xfId="35803" hidden="1"/>
    <cellStyle name="Гиперссылка 2" xfId="35804" hidden="1"/>
    <cellStyle name="Гиперссылка 2" xfId="35809" hidden="1"/>
    <cellStyle name="Гиперссылка 2" xfId="35810" hidden="1"/>
    <cellStyle name="Гиперссылка 2" xfId="35806" hidden="1"/>
    <cellStyle name="Гиперссылка 2" xfId="35805" hidden="1"/>
    <cellStyle name="Гиперссылка 2" xfId="35808" hidden="1"/>
    <cellStyle name="Гиперссылка 2" xfId="35807" hidden="1"/>
    <cellStyle name="Гиперссылка 2" xfId="35812" hidden="1"/>
    <cellStyle name="Гиперссылка 2" xfId="35811" hidden="1"/>
    <cellStyle name="Гиперссылка 2" xfId="35813" hidden="1"/>
    <cellStyle name="Гиперссылка 2" xfId="35814" hidden="1"/>
    <cellStyle name="Гиперссылка 2" xfId="35819" hidden="1"/>
    <cellStyle name="Гиперссылка 2" xfId="35820" hidden="1"/>
    <cellStyle name="Гиперссылка 2" xfId="35816" hidden="1"/>
    <cellStyle name="Гиперссылка 2" xfId="35815" hidden="1"/>
    <cellStyle name="Гиперссылка 2" xfId="35818" hidden="1"/>
    <cellStyle name="Гиперссылка 2" xfId="35817" hidden="1"/>
    <cellStyle name="Гиперссылка 2" xfId="35822" hidden="1"/>
    <cellStyle name="Гиперссылка 2" xfId="35821" hidden="1"/>
    <cellStyle name="Гиперссылка 2" xfId="35823" hidden="1"/>
    <cellStyle name="Гиперссылка 2" xfId="35824" hidden="1"/>
    <cellStyle name="Гиперссылка 2" xfId="35829" hidden="1"/>
    <cellStyle name="Гиперссылка 2" xfId="35830" hidden="1"/>
    <cellStyle name="Гиперссылка 2" xfId="35826" hidden="1"/>
    <cellStyle name="Гиперссылка 2" xfId="35825" hidden="1"/>
    <cellStyle name="Гиперссылка 2" xfId="35828" hidden="1"/>
    <cellStyle name="Гиперссылка 2" xfId="35827" hidden="1"/>
    <cellStyle name="Гиперссылка 2" xfId="35832" hidden="1"/>
    <cellStyle name="Гиперссылка 2" xfId="35831" hidden="1"/>
    <cellStyle name="Гиперссылка 2" xfId="31254" hidden="1"/>
    <cellStyle name="Гиперссылка 2" xfId="34788" hidden="1"/>
    <cellStyle name="Гиперссылка 2" xfId="34334" hidden="1"/>
    <cellStyle name="Гиперссылка 2" xfId="35510" hidden="1"/>
    <cellStyle name="Гиперссылка 2" xfId="35769" hidden="1"/>
    <cellStyle name="Гиперссылка 2" xfId="35800" hidden="1"/>
    <cellStyle name="Гиперссылка 2" xfId="34692" hidden="1"/>
    <cellStyle name="Гиперссылка 2" xfId="35760" hidden="1"/>
    <cellStyle name="Гиперссылка 2" xfId="35861" hidden="1"/>
    <cellStyle name="Гиперссылка 2" xfId="35860" hidden="1"/>
    <cellStyle name="Гиперссылка 2" xfId="35874" hidden="1"/>
    <cellStyle name="Гиперссылка 2" xfId="35875" hidden="1"/>
    <cellStyle name="Гиперссылка 2" xfId="35881" hidden="1"/>
    <cellStyle name="Гиперссылка 2" xfId="35882" hidden="1"/>
    <cellStyle name="Гиперссылка 2" xfId="35878" hidden="1"/>
    <cellStyle name="Гиперссылка 2" xfId="35877" hidden="1"/>
    <cellStyle name="Гиперссылка 2" xfId="35880" hidden="1"/>
    <cellStyle name="Гиперссылка 2" xfId="35879" hidden="1"/>
    <cellStyle name="Гиперссылка 2" xfId="35884" hidden="1"/>
    <cellStyle name="Гиперссылка 2" xfId="35883" hidden="1"/>
    <cellStyle name="Гиперссылка 2" xfId="35887" hidden="1"/>
    <cellStyle name="Гиперссылка 2" xfId="35888" hidden="1"/>
    <cellStyle name="Гиперссылка 2" xfId="35893" hidden="1"/>
    <cellStyle name="Гиперссылка 2" xfId="35894" hidden="1"/>
    <cellStyle name="Гиперссылка 2" xfId="35890" hidden="1"/>
    <cellStyle name="Гиперссылка 2" xfId="35889" hidden="1"/>
    <cellStyle name="Гиперссылка 2" xfId="35892" hidden="1"/>
    <cellStyle name="Гиперссылка 2" xfId="35891" hidden="1"/>
    <cellStyle name="Гиперссылка 2" xfId="35896" hidden="1"/>
    <cellStyle name="Гиперссылка 2" xfId="35895" hidden="1"/>
    <cellStyle name="Гиперссылка 2" xfId="35897" hidden="1"/>
    <cellStyle name="Гиперссылка 2" xfId="35898" hidden="1"/>
    <cellStyle name="Гиперссылка 2" xfId="35903" hidden="1"/>
    <cellStyle name="Гиперссылка 2" xfId="35904" hidden="1"/>
    <cellStyle name="Гиперссылка 2" xfId="35900" hidden="1"/>
    <cellStyle name="Гиперссылка 2" xfId="35899" hidden="1"/>
    <cellStyle name="Гиперссылка 2" xfId="35902" hidden="1"/>
    <cellStyle name="Гиперссылка 2" xfId="35901" hidden="1"/>
    <cellStyle name="Гиперссылка 2" xfId="35906" hidden="1"/>
    <cellStyle name="Гиперссылка 2" xfId="35905" hidden="1"/>
    <cellStyle name="Гиперссылка 2" xfId="35761" hidden="1"/>
    <cellStyle name="Гиперссылка 2" xfId="35257" hidden="1"/>
    <cellStyle name="Гиперссылка 2" xfId="34985" hidden="1"/>
    <cellStyle name="Гиперссылка 2" xfId="34360" hidden="1"/>
    <cellStyle name="Гиперссылка 2" xfId="35841" hidden="1"/>
    <cellStyle name="Гиперссылка 2" xfId="35869" hidden="1"/>
    <cellStyle name="Гиперссылка 2" xfId="35343" hidden="1"/>
    <cellStyle name="Гиперссылка 2" xfId="35835" hidden="1"/>
    <cellStyle name="Гиперссылка 2" xfId="35933" hidden="1"/>
    <cellStyle name="Гиперссылка 2" xfId="35932" hidden="1"/>
    <cellStyle name="Гиперссылка 2" xfId="35944" hidden="1"/>
    <cellStyle name="Гиперссылка 2" xfId="35945" hidden="1"/>
    <cellStyle name="Гиперссылка 2" xfId="35950" hidden="1"/>
    <cellStyle name="Гиперссылка 2" xfId="35951" hidden="1"/>
    <cellStyle name="Гиперссылка 2" xfId="35947" hidden="1"/>
    <cellStyle name="Гиперссылка 2" xfId="35946" hidden="1"/>
    <cellStyle name="Гиперссылка 2" xfId="35949" hidden="1"/>
    <cellStyle name="Гиперссылка 2" xfId="35948" hidden="1"/>
    <cellStyle name="Гиперссылка 2" xfId="35953" hidden="1"/>
    <cellStyle name="Гиперссылка 2" xfId="35952" hidden="1"/>
    <cellStyle name="Гиперссылка 2" xfId="35954" hidden="1"/>
    <cellStyle name="Гиперссылка 2" xfId="35955" hidden="1"/>
    <cellStyle name="Гиперссылка 2" xfId="35960" hidden="1"/>
    <cellStyle name="Гиперссылка 2" xfId="35961" hidden="1"/>
    <cellStyle name="Гиперссылка 2" xfId="35957" hidden="1"/>
    <cellStyle name="Гиперссылка 2" xfId="35956" hidden="1"/>
    <cellStyle name="Гиперссылка 2" xfId="35959" hidden="1"/>
    <cellStyle name="Гиперссылка 2" xfId="35958" hidden="1"/>
    <cellStyle name="Гиперссылка 2" xfId="35963" hidden="1"/>
    <cellStyle name="Гиперссылка 2" xfId="35962" hidden="1"/>
    <cellStyle name="Гиперссылка 2" xfId="35964" hidden="1"/>
    <cellStyle name="Гиперссылка 2" xfId="35965" hidden="1"/>
    <cellStyle name="Гиперссылка 2" xfId="35970" hidden="1"/>
    <cellStyle name="Гиперссылка 2" xfId="35971" hidden="1"/>
    <cellStyle name="Гиперссылка 2" xfId="35967" hidden="1"/>
    <cellStyle name="Гиперссылка 2" xfId="35966" hidden="1"/>
    <cellStyle name="Гиперссылка 2" xfId="35969" hidden="1"/>
    <cellStyle name="Гиперссылка 2" xfId="35968" hidden="1"/>
    <cellStyle name="Гиперссылка 2" xfId="35973" hidden="1"/>
    <cellStyle name="Гиперссылка 2" xfId="35972" hidden="1"/>
    <cellStyle name="Гиперссылка 2" xfId="35836" hidden="1"/>
    <cellStyle name="Гиперссылка 2" xfId="35237" hidden="1"/>
    <cellStyle name="Гиперссылка 2" xfId="35108" hidden="1"/>
    <cellStyle name="Гиперссылка 2" xfId="34754" hidden="1"/>
    <cellStyle name="Гиперссылка 2" xfId="35916" hidden="1"/>
    <cellStyle name="Гиперссылка 2" xfId="35940" hidden="1"/>
    <cellStyle name="Гиперссылка 2" xfId="35443" hidden="1"/>
    <cellStyle name="Гиперссылка 2" xfId="35910" hidden="1"/>
    <cellStyle name="Гиперссылка 2" xfId="35997" hidden="1"/>
    <cellStyle name="Гиперссылка 2" xfId="35996" hidden="1"/>
    <cellStyle name="Гиперссылка 2" xfId="36006" hidden="1"/>
    <cellStyle name="Гиперссылка 2" xfId="36007" hidden="1"/>
    <cellStyle name="Гиперссылка 2" xfId="36012" hidden="1"/>
    <cellStyle name="Гиперссылка 2" xfId="36013" hidden="1"/>
    <cellStyle name="Гиперссылка 2" xfId="36009" hidden="1"/>
    <cellStyle name="Гиперссылка 2" xfId="36008" hidden="1"/>
    <cellStyle name="Гиперссылка 2" xfId="36011" hidden="1"/>
    <cellStyle name="Гиперссылка 2" xfId="36010" hidden="1"/>
    <cellStyle name="Гиперссылка 2" xfId="36015" hidden="1"/>
    <cellStyle name="Гиперссылка 2" xfId="36014" hidden="1"/>
    <cellStyle name="Гиперссылка 2" xfId="36017" hidden="1"/>
    <cellStyle name="Гиперссылка 2" xfId="36018" hidden="1"/>
    <cellStyle name="Гиперссылка 2" xfId="36023" hidden="1"/>
    <cellStyle name="Гиперссылка 2" xfId="36024" hidden="1"/>
    <cellStyle name="Гиперссылка 2" xfId="36020" hidden="1"/>
    <cellStyle name="Гиперссылка 2" xfId="36019" hidden="1"/>
    <cellStyle name="Гиперссылка 2" xfId="36022" hidden="1"/>
    <cellStyle name="Гиперссылка 2" xfId="36021" hidden="1"/>
    <cellStyle name="Гиперссылка 2" xfId="36026" hidden="1"/>
    <cellStyle name="Гиперссылка 2" xfId="36025" hidden="1"/>
    <cellStyle name="Гиперссылка 2" xfId="36027" hidden="1"/>
    <cellStyle name="Гиперссылка 2" xfId="36028" hidden="1"/>
    <cellStyle name="Гиперссылка 2" xfId="36033" hidden="1"/>
    <cellStyle name="Гиперссылка 2" xfId="36034" hidden="1"/>
    <cellStyle name="Гиперссылка 2" xfId="36030" hidden="1"/>
    <cellStyle name="Гиперссылка 2" xfId="36029" hidden="1"/>
    <cellStyle name="Гиперссылка 2" xfId="36032" hidden="1"/>
    <cellStyle name="Гиперссылка 2" xfId="36031" hidden="1"/>
    <cellStyle name="Гиперссылка 2" xfId="36036" hidden="1"/>
    <cellStyle name="Гиперссылка 2" xfId="36035" hidden="1"/>
    <cellStyle name="Гиперссылка 2" xfId="35911" hidden="1"/>
    <cellStyle name="Гиперссылка 2" xfId="35334" hidden="1"/>
    <cellStyle name="Гиперссылка 2" xfId="34644" hidden="1"/>
    <cellStyle name="Гиперссылка 2" xfId="35098" hidden="1"/>
    <cellStyle name="Гиперссылка 2" xfId="35980" hidden="1"/>
    <cellStyle name="Гиперссылка 2" xfId="36004" hidden="1"/>
    <cellStyle name="Гиперссылка 2" xfId="35701" hidden="1"/>
    <cellStyle name="Гиперссылка 2" xfId="35974" hidden="1"/>
    <cellStyle name="Гиперссылка 2" xfId="36053" hidden="1"/>
    <cellStyle name="Гиперссылка 2" xfId="36052" hidden="1"/>
    <cellStyle name="Гиперссылка 2" xfId="36058" hidden="1"/>
    <cellStyle name="Гиперссылка 2" xfId="36059" hidden="1"/>
    <cellStyle name="Гиперссылка 2" xfId="36064" hidden="1"/>
    <cellStyle name="Гиперссылка 2" xfId="36065" hidden="1"/>
    <cellStyle name="Гиперссылка 2" xfId="36061" hidden="1"/>
    <cellStyle name="Гиперссылка 2" xfId="36060" hidden="1"/>
    <cellStyle name="Гиперссылка 2" xfId="36063" hidden="1"/>
    <cellStyle name="Гиперссылка 2" xfId="36062" hidden="1"/>
    <cellStyle name="Гиперссылка 2" xfId="36067" hidden="1"/>
    <cellStyle name="Гиперссылка 2" xfId="36066" hidden="1"/>
    <cellStyle name="Гиперссылка 2" xfId="36068" hidden="1"/>
    <cellStyle name="Гиперссылка 2" xfId="36069" hidden="1"/>
    <cellStyle name="Гиперссылка 2" xfId="36074" hidden="1"/>
    <cellStyle name="Гиперссылка 2" xfId="36075" hidden="1"/>
    <cellStyle name="Гиперссылка 2" xfId="36071" hidden="1"/>
    <cellStyle name="Гиперссылка 2" xfId="36070" hidden="1"/>
    <cellStyle name="Гиперссылка 2" xfId="36073" hidden="1"/>
    <cellStyle name="Гиперссылка 2" xfId="36072" hidden="1"/>
    <cellStyle name="Гиперссылка 2" xfId="36077" hidden="1"/>
    <cellStyle name="Гиперссылка 2" xfId="36076" hidden="1"/>
    <cellStyle name="Гиперссылка 2" xfId="36078" hidden="1"/>
    <cellStyle name="Гиперссылка 2" xfId="36079" hidden="1"/>
    <cellStyle name="Гиперссылка 2" xfId="36084" hidden="1"/>
    <cellStyle name="Гиперссылка 2" xfId="36085" hidden="1"/>
    <cellStyle name="Гиперссылка 2" xfId="36081" hidden="1"/>
    <cellStyle name="Гиперссылка 2" xfId="36080" hidden="1"/>
    <cellStyle name="Гиперссылка 2" xfId="36083" hidden="1"/>
    <cellStyle name="Гиперссылка 2" xfId="36082" hidden="1"/>
    <cellStyle name="Гиперссылка 2" xfId="36087" hidden="1"/>
    <cellStyle name="Гиперссылка 2" xfId="36086" hidden="1"/>
    <cellStyle name="Гиперссылка 2" xfId="35975" hidden="1"/>
    <cellStyle name="Гиперссылка 2" xfId="34998" hidden="1"/>
    <cellStyle name="Гиперссылка 2" xfId="35768" hidden="1"/>
    <cellStyle name="Гиперссылка 2" xfId="34750" hidden="1"/>
    <cellStyle name="Гиперссылка 2" xfId="36040" hidden="1"/>
    <cellStyle name="Гиперссылка 2" xfId="36057" hidden="1"/>
    <cellStyle name="Гиперссылка 2" xfId="35780" hidden="1"/>
    <cellStyle name="Гиперссылка 2" xfId="36038" hidden="1"/>
    <cellStyle name="Гиперссылка 2" xfId="36089" hidden="1"/>
    <cellStyle name="Гиперссылка 2" xfId="36088" hidden="1"/>
    <cellStyle name="Гиперссылка 2" xfId="36090" hidden="1"/>
    <cellStyle name="Гиперссылка 2" xfId="36091" hidden="1"/>
    <cellStyle name="Гиперссылка 2" xfId="36096" hidden="1"/>
    <cellStyle name="Гиперссылка 2" xfId="36097" hidden="1"/>
    <cellStyle name="Гиперссылка 2" xfId="36093" hidden="1"/>
    <cellStyle name="Гиперссылка 2" xfId="36092" hidden="1"/>
    <cellStyle name="Гиперссылка 2" xfId="36095" hidden="1"/>
    <cellStyle name="Гиперссылка 2" xfId="36094" hidden="1"/>
    <cellStyle name="Гиперссылка 2" xfId="36099" hidden="1"/>
    <cellStyle name="Гиперссылка 2" xfId="36098" hidden="1"/>
    <cellStyle name="Гиперссылка 2" xfId="36100" hidden="1"/>
    <cellStyle name="Гиперссылка 2" xfId="36101" hidden="1"/>
    <cellStyle name="Гиперссылка 2" xfId="36106" hidden="1"/>
    <cellStyle name="Гиперссылка 2" xfId="36107" hidden="1"/>
    <cellStyle name="Гиперссылка 2" xfId="36103" hidden="1"/>
    <cellStyle name="Гиперссылка 2" xfId="36102" hidden="1"/>
    <cellStyle name="Гиперссылка 2" xfId="36105" hidden="1"/>
    <cellStyle name="Гиперссылка 2" xfId="36104" hidden="1"/>
    <cellStyle name="Гиперссылка 2" xfId="36109" hidden="1"/>
    <cellStyle name="Гиперссылка 2" xfId="36108" hidden="1"/>
    <cellStyle name="Гиперссылка 2" xfId="36110" hidden="1"/>
    <cellStyle name="Гиперссылка 2" xfId="36111" hidden="1"/>
    <cellStyle name="Гиперссылка 2" xfId="36116" hidden="1"/>
    <cellStyle name="Гиперссылка 2" xfId="36117" hidden="1"/>
    <cellStyle name="Гиперссылка 2" xfId="36113" hidden="1"/>
    <cellStyle name="Гиперссылка 2" xfId="36112" hidden="1"/>
    <cellStyle name="Гиперссылка 2" xfId="36115" hidden="1"/>
    <cellStyle name="Гиперссылка 2" xfId="36114" hidden="1"/>
    <cellStyle name="Гиперссылка 2" xfId="36119" hidden="1"/>
    <cellStyle name="Гиперссылка 2" xfId="36118" hidden="1"/>
    <cellStyle name="Гиперссылка 2" xfId="34379" hidden="1"/>
    <cellStyle name="Гиперссылка 2" xfId="34294" hidden="1"/>
    <cellStyle name="Гиперссылка 2" xfId="35863" hidden="1"/>
    <cellStyle name="Гиперссылка 2" xfId="34661" hidden="1"/>
    <cellStyle name="Гиперссылка 2" xfId="31212" hidden="1"/>
    <cellStyle name="Гиперссылка 2" xfId="35113" hidden="1"/>
    <cellStyle name="Гиперссылка 2" xfId="35578" hidden="1"/>
    <cellStyle name="Гиперссылка 2" xfId="34916" hidden="1"/>
    <cellStyle name="Гиперссылка 2" xfId="35349" hidden="1"/>
    <cellStyle name="Гиперссылка 2" xfId="34472" hidden="1"/>
    <cellStyle name="Гиперссылка 2" xfId="35993" hidden="1"/>
    <cellStyle name="Гиперссылка 2" xfId="35853" hidden="1"/>
    <cellStyle name="Гиперссылка 2" xfId="35564" hidden="1"/>
    <cellStyle name="Гиперссылка 2" xfId="34691" hidden="1"/>
    <cellStyle name="Гиперссылка 2" xfId="35788" hidden="1"/>
    <cellStyle name="Гиперссылка 2" xfId="35929" hidden="1"/>
    <cellStyle name="Гиперссылка 2" xfId="34802" hidden="1"/>
    <cellStyle name="Гиперссылка 2" xfId="35252" hidden="1"/>
    <cellStyle name="Гиперссылка 2" xfId="34624" hidden="1"/>
    <cellStyle name="Гиперссылка 2" xfId="34550" hidden="1"/>
    <cellStyle name="Гиперссылка 2" xfId="34415" hidden="1"/>
    <cellStyle name="Гиперссылка 2" xfId="35427" hidden="1"/>
    <cellStyle name="Гиперссылка 2" xfId="34657" hidden="1"/>
    <cellStyle name="Гиперссылка 2" xfId="34523" hidden="1"/>
    <cellStyle name="Гиперссылка 2" xfId="35329" hidden="1"/>
    <cellStyle name="Гиперссылка 2" xfId="34977" hidden="1"/>
    <cellStyle name="Гиперссылка 2" xfId="35328" hidden="1"/>
    <cellStyle name="Гиперссылка 2" xfId="34770" hidden="1"/>
    <cellStyle name="Гиперссылка 2" xfId="34793" hidden="1"/>
    <cellStyle name="Гиперссылка 2" xfId="31255" hidden="1"/>
    <cellStyle name="Гиперссылка 2" xfId="34808" hidden="1"/>
    <cellStyle name="Гиперссылка 2" xfId="35079" hidden="1"/>
    <cellStyle name="Гиперссылка 2" xfId="35176" hidden="1"/>
    <cellStyle name="Гиперссылка 2" xfId="34388" hidden="1"/>
    <cellStyle name="Гиперссылка 2" xfId="35059" hidden="1"/>
    <cellStyle name="Гиперссылка 2" xfId="35335" hidden="1"/>
    <cellStyle name="Гиперссылка 2" xfId="35116" hidden="1"/>
    <cellStyle name="Гиперссылка 2" xfId="34667" hidden="1"/>
    <cellStyle name="Гиперссылка 2" xfId="34737" hidden="1"/>
    <cellStyle name="Гиперссылка 2" xfId="34503" hidden="1"/>
    <cellStyle name="Гиперссылка 2" xfId="34479" hidden="1"/>
    <cellStyle name="Гиперссылка 2" xfId="35004" hidden="1"/>
    <cellStyle name="Гиперссылка 2" xfId="34676" hidden="1"/>
    <cellStyle name="Гиперссылка 2" xfId="34781" hidden="1"/>
    <cellStyle name="Гиперссылка 2" xfId="35369" hidden="1"/>
    <cellStyle name="Гиперссылка 2" xfId="34874" hidden="1"/>
    <cellStyle name="Гиперссылка 2" xfId="35922" hidden="1"/>
    <cellStyle name="Гиперссылка 2" xfId="35984" hidden="1"/>
    <cellStyle name="Гиперссылка 2" xfId="31236" hidden="1"/>
    <cellStyle name="Гиперссылка 2" xfId="34872" hidden="1"/>
    <cellStyle name="Гиперссылка 2" xfId="34508" hidden="1"/>
    <cellStyle name="Гиперссылка 2" xfId="35096" hidden="1"/>
    <cellStyle name="Гиперссылка 2" xfId="35439" hidden="1"/>
    <cellStyle name="Гиперссылка 2" xfId="34651" hidden="1"/>
    <cellStyle name="Гиперссылка 2" xfId="34490" hidden="1"/>
    <cellStyle name="Гиперссылка 2" xfId="35519" hidden="1"/>
    <cellStyle name="Гиперссылка 2" xfId="35480" hidden="1"/>
    <cellStyle name="Гиперссылка 2" xfId="35064" hidden="1"/>
    <cellStyle name="Гиперссылка 2" xfId="31227" hidden="1"/>
    <cellStyle name="Гиперссылка 2" xfId="34674" hidden="1"/>
    <cellStyle name="Гиперссылка 2" xfId="35941" hidden="1"/>
    <cellStyle name="Гиперссылка 2" xfId="35801" hidden="1"/>
    <cellStyle name="Гиперссылка 2" xfId="34447" hidden="1"/>
    <cellStyle name="Гиперссылка 2" xfId="35197" hidden="1"/>
    <cellStyle name="Гиперссылка 2" xfId="35925" hidden="1"/>
    <cellStyle name="Гиперссылка 2" xfId="36046" hidden="1"/>
    <cellStyle name="Гиперссылка 2" xfId="35706" hidden="1"/>
    <cellStyle name="Гиперссылка 2" xfId="35783" hidden="1"/>
    <cellStyle name="Гиперссылка 2" xfId="34274" hidden="1"/>
    <cellStyle name="Гиперссылка 2" xfId="31225" hidden="1"/>
    <cellStyle name="Гиперссылка 2" xfId="35435" hidden="1"/>
    <cellStyle name="Гиперссылка 2" xfId="35109" hidden="1"/>
    <cellStyle name="Гиперссылка 2" xfId="35796" hidden="1"/>
    <cellStyle name="Гиперссылка 2" xfId="35486" hidden="1"/>
    <cellStyle name="Гиперссылка 2" xfId="34597" hidden="1"/>
    <cellStyle name="Гиперссылка 2" xfId="34997" hidden="1"/>
    <cellStyle name="Гиперссылка 2" xfId="35936" hidden="1"/>
    <cellStyle name="Гиперссылка 2" xfId="34322" hidden="1"/>
    <cellStyle name="Гиперссылка 2" xfId="35938" hidden="1"/>
    <cellStyle name="Гиперссылка 2" xfId="36001" hidden="1"/>
    <cellStyle name="Гиперссылка 2" xfId="34703" hidden="1"/>
    <cellStyle name="Гиперссылка 2" xfId="35580" hidden="1"/>
    <cellStyle name="Гиперссылка 2" xfId="35854" hidden="1"/>
    <cellStyle name="Гиперссылка 2" xfId="34599" hidden="1"/>
    <cellStyle name="Гиперссылка 2" xfId="34601" hidden="1"/>
    <cellStyle name="Гиперссылка 2" xfId="31247" hidden="1"/>
    <cellStyle name="Гиперссылка 2" xfId="34914" hidden="1"/>
    <cellStyle name="Гиперссылка 2" xfId="34904" hidden="1"/>
    <cellStyle name="Гиперссылка 2" xfId="34286" hidden="1"/>
    <cellStyle name="Гиперссылка 2" xfId="35359" hidden="1"/>
    <cellStyle name="Гиперссылка 2" xfId="34953" hidden="1"/>
    <cellStyle name="Гиперссылка 2" xfId="31232" hidden="1"/>
    <cellStyle name="Гиперссылка 2" xfId="34585" hidden="1"/>
    <cellStyle name="Гиперссылка 2" xfId="34392" hidden="1"/>
    <cellStyle name="Гиперссылка 2" xfId="35885" hidden="1"/>
    <cellStyle name="Гиперссылка 2" xfId="34612" hidden="1"/>
    <cellStyle name="Гиперссылка 2" xfId="34460" hidden="1"/>
    <cellStyle name="Гиперссылка 2" xfId="35735" hidden="1"/>
    <cellStyle name="Гиперссылка 2" xfId="34530" hidden="1"/>
    <cellStyle name="Гиперссылка 2" xfId="34412" hidden="1"/>
    <cellStyle name="Гиперссылка 2" xfId="35196" hidden="1"/>
    <cellStyle name="Гиперссылка 2" xfId="35077" hidden="1"/>
    <cellStyle name="Гиперссылка 2" xfId="34480" hidden="1"/>
    <cellStyle name="Гиперссылка 2" xfId="35405" hidden="1"/>
    <cellStyle name="Гиперссылка 2" xfId="35617" hidden="1"/>
    <cellStyle name="Гиперссылка 2" xfId="35279" hidden="1"/>
    <cellStyle name="Гиперссылка 2" xfId="34593" hidden="1"/>
    <cellStyle name="Гиперссылка 2" xfId="34648" hidden="1"/>
    <cellStyle name="Гиперссылка 2" xfId="34403" hidden="1"/>
    <cellStyle name="Гиперссылка 2" xfId="35286" hidden="1"/>
    <cellStyle name="Гиперссылка 2" xfId="34992" hidden="1"/>
    <cellStyle name="Гиперссылка 2" xfId="35011" hidden="1"/>
    <cellStyle name="Гиперссылка 2" xfId="34921" hidden="1"/>
    <cellStyle name="Гиперссылка 2" xfId="34989" hidden="1"/>
    <cellStyle name="Гиперссылка 2" xfId="34970" hidden="1"/>
    <cellStyle name="Гиперссылка 2" xfId="35184" hidden="1"/>
    <cellStyle name="Гиперссылка 2" xfId="34316" hidden="1"/>
    <cellStyle name="Гиперссылка 2" xfId="34741" hidden="1"/>
    <cellStyle name="Гиперссылка 2" xfId="34301" hidden="1"/>
    <cellStyle name="Гиперссылка 2" xfId="35174" hidden="1"/>
    <cellStyle name="Гиперссылка 2" xfId="35428" hidden="1"/>
    <cellStyle name="Гиперссылка 2" xfId="35492" hidden="1"/>
    <cellStyle name="Гиперссылка 2" xfId="35446" hidden="1"/>
    <cellStyle name="Гиперссылка 2" xfId="34764" hidden="1"/>
    <cellStyle name="Гиперссылка 2" xfId="34698" hidden="1"/>
    <cellStyle name="Гиперссылка 2" xfId="31263" hidden="1"/>
    <cellStyle name="Гиперссылка 2" xfId="35858" hidden="1"/>
    <cellStyle name="Гиперссылка 2" xfId="35406" hidden="1"/>
    <cellStyle name="Гиперссылка 2" xfId="34275" hidden="1"/>
    <cellStyle name="Гиперссылка 2" xfId="35271" hidden="1"/>
    <cellStyle name="Гиперссылка 2" xfId="35111" hidden="1"/>
    <cellStyle name="Гиперссылка 2" xfId="34531" hidden="1"/>
    <cellStyle name="Гиперссылка 2" xfId="35518" hidden="1"/>
    <cellStyle name="Гиперссылка 2" xfId="35285" hidden="1"/>
    <cellStyle name="Гиперссылка 2" xfId="35988" hidden="1"/>
    <cellStyle name="Гиперссылка 2" xfId="35621" hidden="1"/>
    <cellStyle name="Гиперссылка 2" xfId="35781" hidden="1"/>
    <cellStyle name="Гиперссылка 2" xfId="35849" hidden="1"/>
    <cellStyle name="Гиперссылка 2" xfId="35482" hidden="1"/>
    <cellStyle name="Гиперссылка 2" xfId="34398" hidden="1"/>
    <cellStyle name="Гиперссылка 2" xfId="35242" hidden="1"/>
    <cellStyle name="Гиперссылка 2" xfId="35009" hidden="1"/>
    <cellStyle name="Гиперссылка 2" xfId="34325" hidden="1"/>
    <cellStyle name="Гиперссылка 2" xfId="34973" hidden="1"/>
    <cellStyle name="Гиперссылка 2" xfId="35363" hidden="1"/>
    <cellStyle name="Гиперссылка 2" xfId="34960" hidden="1"/>
    <cellStyle name="Гиперссылка 2" xfId="34747" hidden="1"/>
    <cellStyle name="Гиперссылка 2" xfId="34428" hidden="1"/>
    <cellStyle name="Гиперссылка 2" xfId="34807" hidden="1"/>
    <cellStyle name="Гиперссылка 2" xfId="34711" hidden="1"/>
    <cellStyle name="Гиперссылка 2" xfId="34547" hidden="1"/>
    <cellStyle name="Гиперссылка 2" xfId="31238" hidden="1"/>
    <cellStyle name="Гиперссылка 2" xfId="34798" hidden="1"/>
    <cellStyle name="Гиперссылка 2" xfId="34748" hidden="1"/>
    <cellStyle name="Гиперссылка 2" xfId="35622" hidden="1"/>
    <cellStyle name="Гиперссылка 2" xfId="34876" hidden="1"/>
    <cellStyle name="Гиперссылка 2" xfId="34455" hidden="1"/>
    <cellStyle name="Гиперссылка 2" xfId="34818" hidden="1"/>
    <cellStyle name="Гиперссылка 2" xfId="34374" hidden="1"/>
    <cellStyle name="Гиперссылка 2" xfId="34541" hidden="1"/>
    <cellStyle name="Гиперссылка 2" xfId="34540" hidden="1"/>
    <cellStyle name="Гиперссылка 2" xfId="35759" hidden="1"/>
    <cellStyle name="Гиперссылка 2" xfId="35493" hidden="1"/>
    <cellStyle name="Гиперссылка 2" xfId="35444" hidden="1"/>
    <cellStyle name="Гиперссылка 2" xfId="34724" hidden="1"/>
    <cellStyle name="Гиперссылка 2" xfId="35772" hidden="1"/>
    <cellStyle name="Гиперссылка 2" xfId="35239" hidden="1"/>
    <cellStyle name="Гиперссылка 2" xfId="34642" hidden="1"/>
    <cellStyle name="Гиперссылка 2" xfId="34774" hidden="1"/>
    <cellStyle name="Гиперссылка 2" xfId="35571" hidden="1"/>
    <cellStyle name="Гиперссылка 2" xfId="35926" hidden="1"/>
    <cellStyle name="Гиперссылка 2" xfId="35785" hidden="1"/>
    <cellStyle name="Гиперссылка 2" xfId="31258" hidden="1"/>
    <cellStyle name="Гиперссылка 2" xfId="34423" hidden="1"/>
    <cellStyle name="Гиперссылка 2" xfId="31250" hidden="1"/>
    <cellStyle name="Гиперссылка 2" xfId="31252" hidden="1"/>
    <cellStyle name="Гиперссылка 2" xfId="31271" hidden="1"/>
    <cellStyle name="Гиперссылка 2" xfId="34487" hidden="1"/>
    <cellStyle name="Гиперссылка 2" xfId="31251" hidden="1"/>
    <cellStyle name="Гиперссылка 2" xfId="34335" hidden="1"/>
    <cellStyle name="Гиперссылка 2" xfId="34628" hidden="1"/>
    <cellStyle name="Гиперссылка 2" xfId="34790" hidden="1"/>
    <cellStyle name="Гиперссылка 2" xfId="36048" hidden="1"/>
    <cellStyle name="Гиперссылка 2" xfId="35928" hidden="1"/>
    <cellStyle name="Гиперссылка 2" xfId="34290" hidden="1"/>
    <cellStyle name="Гиперссылка 2" xfId="34655" hidden="1"/>
    <cellStyle name="Гиперссылка 2" xfId="34527" hidden="1"/>
    <cellStyle name="Гиперссылка 2" xfId="35437" hidden="1"/>
    <cellStyle name="Гиперссылка 2" xfId="34346" hidden="1"/>
    <cellStyle name="Гиперссылка 2" xfId="34476" hidden="1"/>
    <cellStyle name="Гиперссылка 2" xfId="34701" hidden="1"/>
    <cellStyle name="Гиперссылка 2" xfId="34350" hidden="1"/>
    <cellStyle name="Гиперссылка 2" xfId="34387" hidden="1"/>
    <cellStyle name="Гиперссылка 2" xfId="35565" hidden="1"/>
    <cellStyle name="Гиперссылка 2" xfId="34789" hidden="1"/>
    <cellStyle name="Гиперссылка 2" xfId="34779" hidden="1"/>
    <cellStyle name="Гиперссылка 2" xfId="34759" hidden="1"/>
    <cellStyle name="Гиперссылка 2" xfId="35166" hidden="1"/>
    <cellStyle name="Гиперссылка 2" xfId="34533" hidden="1"/>
    <cellStyle name="Гиперссылка 2" xfId="34406" hidden="1"/>
    <cellStyle name="Гиперссылка 2" xfId="34680" hidden="1"/>
    <cellStyle name="Гиперссылка 2" xfId="34356" hidden="1"/>
    <cellStyle name="Гиперссылка 2" xfId="35240" hidden="1"/>
    <cellStyle name="Гиперссылка 2" xfId="34932" hidden="1"/>
    <cellStyle name="Гиперссылка 2" xfId="35991" hidden="1"/>
    <cellStyle name="Гиперссылка 2" xfId="34441" hidden="1"/>
    <cellStyle name="Гиперссылка 2" xfId="31270" hidden="1"/>
    <cellStyle name="Гиперссылка 2" xfId="35995" hidden="1"/>
    <cellStyle name="Гиперссылка 2" xfId="34513" hidden="1"/>
    <cellStyle name="Гиперссылка 2" xfId="34384" hidden="1"/>
    <cellStyle name="Гиперссылка 2" xfId="36016" hidden="1"/>
    <cellStyle name="Гиперссылка 2" xfId="35886" hidden="1"/>
    <cellStyle name="Гиперссылка 2" xfId="34474" hidden="1"/>
    <cellStyle name="Гиперссылка 2" xfId="34450" hidden="1"/>
    <cellStyle name="Гиперссылка 2" xfId="35268" hidden="1"/>
    <cellStyle name="Гиперссылка 2" xfId="35019" hidden="1"/>
    <cellStyle name="Гиперссылка 2" xfId="35499" hidden="1"/>
    <cellStyle name="Гиперссылка 2" xfId="34670" hidden="1"/>
    <cellStyle name="Гиперссылка 2" xfId="35068" hidden="1"/>
    <cellStyle name="Гиперссылка 2" xfId="34752" hidden="1"/>
    <cellStyle name="Гиперссылка 2" xfId="34687" hidden="1"/>
    <cellStyle name="Гиперссылка 2" xfId="35416" hidden="1"/>
    <cellStyle name="Гиперссылка 2" xfId="34333" hidden="1"/>
    <cellStyle name="Гиперссылка 2" xfId="36049" hidden="1"/>
    <cellStyle name="Гиперссылка 2" xfId="34683" hidden="1"/>
    <cellStyle name="Гиперссылка 2" xfId="35330" hidden="1"/>
    <cellStyle name="Гиперссылка 2" xfId="35014" hidden="1"/>
    <cellStyle name="Гиперссылка 2" xfId="34367" hidden="1"/>
    <cellStyle name="Гиперссылка 2" xfId="35787" hidden="1"/>
    <cellStyle name="Гиперссылка 2" xfId="35855" hidden="1"/>
    <cellStyle name="Гиперссылка 2" xfId="35241" hidden="1"/>
    <cellStyle name="Гиперссылка 2" xfId="35175" hidden="1"/>
    <cellStyle name="Гиперссылка 2" xfId="34984" hidden="1"/>
    <cellStyle name="Гиперссылка 2" xfId="35411" hidden="1"/>
    <cellStyle name="Гиперссылка 2" xfId="35342" hidden="1"/>
    <cellStyle name="Гиперссылка 2" xfId="35353" hidden="1"/>
    <cellStyle name="Гиперссылка 2" xfId="35340" hidden="1"/>
    <cellStyle name="Гиперссылка 2" xfId="34891" hidden="1"/>
    <cellStyle name="Гиперссылка 2" xfId="34749" hidden="1"/>
    <cellStyle name="Гиперссылка 2" xfId="34775" hidden="1"/>
    <cellStyle name="Гиперссылка 2" xfId="35930" hidden="1"/>
    <cellStyle name="Гиперссылка 2" xfId="35982" hidden="1"/>
    <cellStyle name="Гиперссылка 2" xfId="35253" hidden="1"/>
    <cellStyle name="Гиперссылка 2" xfId="34630" hidden="1"/>
    <cellStyle name="Гиперссылка 2" xfId="36056" hidden="1"/>
    <cellStyle name="Гиперссылка 2" xfId="35420" hidden="1"/>
    <cellStyle name="Гиперссылка 2" xfId="35935" hidden="1"/>
    <cellStyle name="Гиперссылка 2" xfId="34359" hidden="1"/>
    <cellStyle name="Гиперссылка 2" xfId="36130" hidden="1"/>
    <cellStyle name="Гиперссылка 2" xfId="36129" hidden="1"/>
    <cellStyle name="Гиперссылка 2" xfId="36137" hidden="1"/>
    <cellStyle name="Гиперссылка 2" xfId="36138" hidden="1"/>
    <cellStyle name="Гиперссылка 2" xfId="36143" hidden="1"/>
    <cellStyle name="Гиперссылка 2" xfId="36144" hidden="1"/>
    <cellStyle name="Гиперссылка 2" xfId="36140" hidden="1"/>
    <cellStyle name="Гиперссылка 2" xfId="36139" hidden="1"/>
    <cellStyle name="Гиперссылка 2" xfId="36142" hidden="1"/>
    <cellStyle name="Гиперссылка 2" xfId="36141" hidden="1"/>
    <cellStyle name="Гиперссылка 2" xfId="36146" hidden="1"/>
    <cellStyle name="Гиперссылка 2" xfId="36145" hidden="1"/>
    <cellStyle name="Гиперссылка 2" xfId="36149" hidden="1"/>
    <cellStyle name="Гиперссылка 2" xfId="36150" hidden="1"/>
    <cellStyle name="Гиперссылка 2" xfId="36155" hidden="1"/>
    <cellStyle name="Гиперссылка 2" xfId="36156" hidden="1"/>
    <cellStyle name="Гиперссылка 2" xfId="36152" hidden="1"/>
    <cellStyle name="Гиперссылка 2" xfId="36151" hidden="1"/>
    <cellStyle name="Гиперссылка 2" xfId="36154" hidden="1"/>
    <cellStyle name="Гиперссылка 2" xfId="36153" hidden="1"/>
    <cellStyle name="Гиперссылка 2" xfId="36158" hidden="1"/>
    <cellStyle name="Гиперссылка 2" xfId="36157" hidden="1"/>
    <cellStyle name="Гиперссылка 2" xfId="36159" hidden="1"/>
    <cellStyle name="Гиперссылка 2" xfId="36160" hidden="1"/>
    <cellStyle name="Гиперссылка 2" xfId="36165" hidden="1"/>
    <cellStyle name="Гиперссылка 2" xfId="36166" hidden="1"/>
    <cellStyle name="Гиперссылка 2" xfId="36162" hidden="1"/>
    <cellStyle name="Гиперссылка 2" xfId="36161" hidden="1"/>
    <cellStyle name="Гиперссылка 2" xfId="36164" hidden="1"/>
    <cellStyle name="Гиперссылка 2" xfId="36163" hidden="1"/>
    <cellStyle name="Гиперссылка 2" xfId="36168" hidden="1"/>
    <cellStyle name="Гиперссылка 2" xfId="36167" hidden="1"/>
    <cellStyle name="Гиперссылка 2" xfId="34699" hidden="1"/>
    <cellStyle name="Гиперссылка 2" xfId="34372" hidden="1"/>
    <cellStyle name="Гиперссылка 2" xfId="35615" hidden="1"/>
    <cellStyle name="Гиперссылка 2" xfId="34427" hidden="1"/>
    <cellStyle name="Гиперссылка 2" xfId="35833" hidden="1"/>
    <cellStyle name="Гиперссылка 2" xfId="36133" hidden="1"/>
    <cellStyle name="Гиперссылка 2" xfId="35232" hidden="1"/>
    <cellStyle name="Гиперссылка 2" xfId="35192" hidden="1"/>
    <cellStyle name="Гиперссылка 2" xfId="36200" hidden="1"/>
    <cellStyle name="Гиперссылка 2" xfId="36199" hidden="1"/>
    <cellStyle name="Гиперссылка 2" xfId="36208" hidden="1"/>
    <cellStyle name="Гиперссылка 2" xfId="36209" hidden="1"/>
    <cellStyle name="Гиперссылка 2" xfId="36214" hidden="1"/>
    <cellStyle name="Гиперссылка 2" xfId="36215" hidden="1"/>
    <cellStyle name="Гиперссылка 2" xfId="36211" hidden="1"/>
    <cellStyle name="Гиперссылка 2" xfId="36210" hidden="1"/>
    <cellStyle name="Гиперссылка 2" xfId="36213" hidden="1"/>
    <cellStyle name="Гиперссылка 2" xfId="36212" hidden="1"/>
    <cellStyle name="Гиперссылка 2" xfId="36217" hidden="1"/>
    <cellStyle name="Гиперссылка 2" xfId="36216" hidden="1"/>
    <cellStyle name="Гиперссылка 2" xfId="36218" hidden="1"/>
    <cellStyle name="Гиперссылка 2" xfId="36219" hidden="1"/>
    <cellStyle name="Гиперссылка 2" xfId="36224" hidden="1"/>
    <cellStyle name="Гиперссылка 2" xfId="36225" hidden="1"/>
    <cellStyle name="Гиперссылка 2" xfId="36221" hidden="1"/>
    <cellStyle name="Гиперссылка 2" xfId="36220" hidden="1"/>
    <cellStyle name="Гиперссылка 2" xfId="36223" hidden="1"/>
    <cellStyle name="Гиперссылка 2" xfId="36222" hidden="1"/>
    <cellStyle name="Гиперссылка 2" xfId="36227" hidden="1"/>
    <cellStyle name="Гиперссылка 2" xfId="36226" hidden="1"/>
    <cellStyle name="Гиперссылка 2" xfId="36228" hidden="1"/>
    <cellStyle name="Гиперссылка 2" xfId="36229" hidden="1"/>
    <cellStyle name="Гиперссылка 2" xfId="36234" hidden="1"/>
    <cellStyle name="Гиперссылка 2" xfId="36235" hidden="1"/>
    <cellStyle name="Гиперссылка 2" xfId="36231" hidden="1"/>
    <cellStyle name="Гиперссылка 2" xfId="36230" hidden="1"/>
    <cellStyle name="Гиперссылка 2" xfId="36233" hidden="1"/>
    <cellStyle name="Гиперссылка 2" xfId="36232" hidden="1"/>
    <cellStyle name="Гиперссылка 2" xfId="36237" hidden="1"/>
    <cellStyle name="Гиперссылка 2" xfId="36236" hidden="1"/>
    <cellStyle name="Гиперссылка 2" xfId="34478" hidden="1"/>
    <cellStyle name="Гиперссылка 2" xfId="35103" hidden="1"/>
    <cellStyle name="Гиперссылка 2" xfId="35092" hidden="1"/>
    <cellStyle name="Гиперссылка 2" xfId="35934" hidden="1"/>
    <cellStyle name="Гиперссылка 2" xfId="36180" hidden="1"/>
    <cellStyle name="Гиперссылка 2" xfId="36205" hidden="1"/>
    <cellStyle name="Гиперссылка 2" xfId="34650" hidden="1"/>
    <cellStyle name="Гиперссылка 2" xfId="36171" hidden="1"/>
    <cellStyle name="Гиперссылка 2" xfId="36262" hidden="1"/>
    <cellStyle name="Гиперссылка 2" xfId="36261" hidden="1"/>
    <cellStyle name="Гиперссылка 2" xfId="36270" hidden="1"/>
    <cellStyle name="Гиперссылка 2" xfId="36271" hidden="1"/>
    <cellStyle name="Гиперссылка 2" xfId="36276" hidden="1"/>
    <cellStyle name="Гиперссылка 2" xfId="36277" hidden="1"/>
    <cellStyle name="Гиперссылка 2" xfId="36273" hidden="1"/>
    <cellStyle name="Гиперссылка 2" xfId="36272" hidden="1"/>
    <cellStyle name="Гиперссылка 2" xfId="36275" hidden="1"/>
    <cellStyle name="Гиперссылка 2" xfId="36274" hidden="1"/>
    <cellStyle name="Гиперссылка 2" xfId="36279" hidden="1"/>
    <cellStyle name="Гиперссылка 2" xfId="36278" hidden="1"/>
    <cellStyle name="Гиперссылка 2" xfId="36282" hidden="1"/>
    <cellStyle name="Гиперссылка 2" xfId="36283" hidden="1"/>
    <cellStyle name="Гиперссылка 2" xfId="36288" hidden="1"/>
    <cellStyle name="Гиперссылка 2" xfId="36289" hidden="1"/>
    <cellStyle name="Гиперссылка 2" xfId="36285" hidden="1"/>
    <cellStyle name="Гиперссылка 2" xfId="36284" hidden="1"/>
    <cellStyle name="Гиперссылка 2" xfId="36287" hidden="1"/>
    <cellStyle name="Гиперссылка 2" xfId="36286" hidden="1"/>
    <cellStyle name="Гиперссылка 2" xfId="36291" hidden="1"/>
    <cellStyle name="Гиперссылка 2" xfId="36290" hidden="1"/>
    <cellStyle name="Гиперссылка 2" xfId="36292" hidden="1"/>
    <cellStyle name="Гиперссылка 2" xfId="36293" hidden="1"/>
    <cellStyle name="Гиперссылка 2" xfId="36298" hidden="1"/>
    <cellStyle name="Гиперссылка 2" xfId="36299" hidden="1"/>
    <cellStyle name="Гиперссылка 2" xfId="36295" hidden="1"/>
    <cellStyle name="Гиперссылка 2" xfId="36294" hidden="1"/>
    <cellStyle name="Гиперссылка 2" xfId="36297" hidden="1"/>
    <cellStyle name="Гиперссылка 2" xfId="36296" hidden="1"/>
    <cellStyle name="Гиперссылка 2" xfId="36301" hidden="1"/>
    <cellStyle name="Гиперссылка 2" xfId="36300" hidden="1"/>
    <cellStyle name="Гиперссылка 2" xfId="36172" hidden="1"/>
    <cellStyle name="Гиперссылка 2" xfId="35702" hidden="1"/>
    <cellStyle name="Гиперссылка 2" xfId="31217" hidden="1"/>
    <cellStyle name="Гиперссылка 2" xfId="34894" hidden="1"/>
    <cellStyle name="Гиперссылка 2" xfId="36246" hidden="1"/>
    <cellStyle name="Гиперссылка 2" xfId="36265" hidden="1"/>
    <cellStyle name="Гиперссылка 2" xfId="35779" hidden="1"/>
    <cellStyle name="Гиперссылка 2" xfId="36240" hidden="1"/>
    <cellStyle name="Гиперссылка 2" xfId="36325" hidden="1"/>
    <cellStyle name="Гиперссылка 2" xfId="36324" hidden="1"/>
    <cellStyle name="Гиперссылка 2" xfId="36334" hidden="1"/>
    <cellStyle name="Гиперссылка 2" xfId="36335" hidden="1"/>
    <cellStyle name="Гиперссылка 2" xfId="36341" hidden="1"/>
    <cellStyle name="Гиперссылка 2" xfId="36342" hidden="1"/>
    <cellStyle name="Гиперссылка 2" xfId="36338" hidden="1"/>
    <cellStyle name="Гиперссылка 2" xfId="36337" hidden="1"/>
    <cellStyle name="Гиперссылка 2" xfId="36340" hidden="1"/>
    <cellStyle name="Гиперссылка 2" xfId="36339" hidden="1"/>
    <cellStyle name="Гиперссылка 2" xfId="36344" hidden="1"/>
    <cellStyle name="Гиперссылка 2" xfId="36343" hidden="1"/>
    <cellStyle name="Гиперссылка 2" xfId="36345" hidden="1"/>
    <cellStyle name="Гиперссылка 2" xfId="36346" hidden="1"/>
    <cellStyle name="Гиперссылка 2" xfId="36351" hidden="1"/>
    <cellStyle name="Гиперссылка 2" xfId="36352" hidden="1"/>
    <cellStyle name="Гиперссылка 2" xfId="36348" hidden="1"/>
    <cellStyle name="Гиперссылка 2" xfId="36347" hidden="1"/>
    <cellStyle name="Гиперссылка 2" xfId="36350" hidden="1"/>
    <cellStyle name="Гиперссылка 2" xfId="36349" hidden="1"/>
    <cellStyle name="Гиперссылка 2" xfId="36354" hidden="1"/>
    <cellStyle name="Гиперссылка 2" xfId="36353" hidden="1"/>
    <cellStyle name="Гиперссылка 2" xfId="36355" hidden="1"/>
    <cellStyle name="Гиперссылка 2" xfId="36356" hidden="1"/>
    <cellStyle name="Гиперссылка 2" xfId="36361" hidden="1"/>
    <cellStyle name="Гиперссылка 2" xfId="36362" hidden="1"/>
    <cellStyle name="Гиперссылка 2" xfId="36358" hidden="1"/>
    <cellStyle name="Гиперссылка 2" xfId="36357" hidden="1"/>
    <cellStyle name="Гиперссылка 2" xfId="36360" hidden="1"/>
    <cellStyle name="Гиперссылка 2" xfId="36359" hidden="1"/>
    <cellStyle name="Гиперссылка 2" xfId="36364" hidden="1"/>
    <cellStyle name="Гиперссылка 2" xfId="36363" hidden="1"/>
    <cellStyle name="Гиперссылка 2" xfId="36241" hidden="1"/>
    <cellStyle name="Гиперссылка 2" xfId="34696" hidden="1"/>
    <cellStyle name="Гиперссылка 2" xfId="34369" hidden="1"/>
    <cellStyle name="Гиперссылка 2" xfId="31228" hidden="1"/>
    <cellStyle name="Гиперссылка 2" xfId="36308" hidden="1"/>
    <cellStyle name="Гиперссылка 2" xfId="36330" hidden="1"/>
    <cellStyle name="Гиперссылка 2" xfId="35870" hidden="1"/>
    <cellStyle name="Гиперссылка 2" xfId="36303" hidden="1"/>
    <cellStyle name="Гиперссылка 2" xfId="36383" hidden="1"/>
    <cellStyle name="Гиперссылка 2" xfId="36382" hidden="1"/>
    <cellStyle name="Гиперссылка 2" xfId="36392" hidden="1"/>
    <cellStyle name="Гиперссылка 2" xfId="36393" hidden="1"/>
    <cellStyle name="Гиперссылка 2" xfId="36398" hidden="1"/>
    <cellStyle name="Гиперссылка 2" xfId="36399" hidden="1"/>
    <cellStyle name="Гиперссылка 2" xfId="36395" hidden="1"/>
    <cellStyle name="Гиперссылка 2" xfId="36394" hidden="1"/>
    <cellStyle name="Гиперссылка 2" xfId="36397" hidden="1"/>
    <cellStyle name="Гиперссылка 2" xfId="36396" hidden="1"/>
    <cellStyle name="Гиперссылка 2" xfId="36401" hidden="1"/>
    <cellStyle name="Гиперссылка 2" xfId="36400" hidden="1"/>
    <cellStyle name="Гиперссылка 2" xfId="36403" hidden="1"/>
    <cellStyle name="Гиперссылка 2" xfId="36404" hidden="1"/>
    <cellStyle name="Гиперссылка 2" xfId="36409" hidden="1"/>
    <cellStyle name="Гиперссылка 2" xfId="36410" hidden="1"/>
    <cellStyle name="Гиперссылка 2" xfId="36406" hidden="1"/>
    <cellStyle name="Гиперссылка 2" xfId="36405" hidden="1"/>
    <cellStyle name="Гиперссылка 2" xfId="36408" hidden="1"/>
    <cellStyle name="Гиперссылка 2" xfId="36407" hidden="1"/>
    <cellStyle name="Гиперссылка 2" xfId="36412" hidden="1"/>
    <cellStyle name="Гиперссылка 2" xfId="36411" hidden="1"/>
    <cellStyle name="Гиперссылка 2" xfId="36413" hidden="1"/>
    <cellStyle name="Гиперссылка 2" xfId="36414" hidden="1"/>
    <cellStyle name="Гиперссылка 2" xfId="36419" hidden="1"/>
    <cellStyle name="Гиперссылка 2" xfId="36420" hidden="1"/>
    <cellStyle name="Гиперссылка 2" xfId="36416" hidden="1"/>
    <cellStyle name="Гиперссылка 2" xfId="36415" hidden="1"/>
    <cellStyle name="Гиперссылка 2" xfId="36418" hidden="1"/>
    <cellStyle name="Гиперссылка 2" xfId="36417" hidden="1"/>
    <cellStyle name="Гиперссылка 2" xfId="36422" hidden="1"/>
    <cellStyle name="Гиперссылка 2" xfId="36421" hidden="1"/>
    <cellStyle name="Гиперссылка 2" xfId="36304" hidden="1"/>
    <cellStyle name="Гиперссылка 2" xfId="35770" hidden="1"/>
    <cellStyle name="Гиперссылка 2" xfId="34971" hidden="1"/>
    <cellStyle name="Гиперссылка 2" xfId="34903" hidden="1"/>
    <cellStyle name="Гиперссылка 2" xfId="36369" hidden="1"/>
    <cellStyle name="Гиперссылка 2" xfId="36390" hidden="1"/>
    <cellStyle name="Гиперссылка 2" xfId="36120" hidden="1"/>
    <cellStyle name="Гиперссылка 2" xfId="36367" hidden="1"/>
    <cellStyle name="Гиперссылка 2" xfId="36441" hidden="1"/>
    <cellStyle name="Гиперссылка 2" xfId="36440" hidden="1"/>
    <cellStyle name="Гиперссылка 2" xfId="36448" hidden="1"/>
    <cellStyle name="Гиперссылка 2" xfId="36449" hidden="1"/>
    <cellStyle name="Гиперссылка 2" xfId="36454" hidden="1"/>
    <cellStyle name="Гиперссылка 2" xfId="36455" hidden="1"/>
    <cellStyle name="Гиперссылка 2" xfId="36451" hidden="1"/>
    <cellStyle name="Гиперссылка 2" xfId="36450" hidden="1"/>
    <cellStyle name="Гиперссылка 2" xfId="36453" hidden="1"/>
    <cellStyle name="Гиперссылка 2" xfId="36452" hidden="1"/>
    <cellStyle name="Гиперссылка 2" xfId="36457" hidden="1"/>
    <cellStyle name="Гиперссылка 2" xfId="36456" hidden="1"/>
    <cellStyle name="Гиперссылка 2" xfId="36458" hidden="1"/>
    <cellStyle name="Гиперссылка 2" xfId="36459" hidden="1"/>
    <cellStyle name="Гиперссылка 2" xfId="36464" hidden="1"/>
    <cellStyle name="Гиперссылка 2" xfId="36465" hidden="1"/>
    <cellStyle name="Гиперссылка 2" xfId="36461" hidden="1"/>
    <cellStyle name="Гиперссылка 2" xfId="36460" hidden="1"/>
    <cellStyle name="Гиперссылка 2" xfId="36463" hidden="1"/>
    <cellStyle name="Гиперссылка 2" xfId="36462" hidden="1"/>
    <cellStyle name="Гиперссылка 2" xfId="36467" hidden="1"/>
    <cellStyle name="Гиперссылка 2" xfId="36466" hidden="1"/>
    <cellStyle name="Гиперссылка 2" xfId="36468" hidden="1"/>
    <cellStyle name="Гиперссылка 2" xfId="36469" hidden="1"/>
    <cellStyle name="Гиперссылка 2" xfId="36474" hidden="1"/>
    <cellStyle name="Гиперссылка 2" xfId="36475" hidden="1"/>
    <cellStyle name="Гиперссылка 2" xfId="36471" hidden="1"/>
    <cellStyle name="Гиперссылка 2" xfId="36470" hidden="1"/>
    <cellStyle name="Гиперссылка 2" xfId="36473" hidden="1"/>
    <cellStyle name="Гиперссылка 2" xfId="36472" hidden="1"/>
    <cellStyle name="Гиперссылка 2" xfId="36477" hidden="1"/>
    <cellStyle name="Гиперссылка 2" xfId="36476" hidden="1"/>
    <cellStyle name="Гиперссылка 2" xfId="36368" hidden="1"/>
    <cellStyle name="Гиперссылка 2" xfId="35628" hidden="1"/>
    <cellStyle name="Гиперссылка 2" xfId="36176" hidden="1"/>
    <cellStyle name="Гиперссылка 2" xfId="34714" hidden="1"/>
    <cellStyle name="Гиперссылка 2" xfId="36425" hidden="1"/>
    <cellStyle name="Гиперссылка 2" xfId="36446" hidden="1"/>
    <cellStyle name="Гиперссылка 2" xfId="36189" hidden="1"/>
    <cellStyle name="Гиперссылка 2" xfId="36423" hidden="1"/>
    <cellStyle name="Гиперссылка 2" xfId="36479" hidden="1"/>
    <cellStyle name="Гиперссылка 2" xfId="36478" hidden="1"/>
    <cellStyle name="Гиперссылка 2" xfId="36480" hidden="1"/>
    <cellStyle name="Гиперссылка 2" xfId="36481" hidden="1"/>
    <cellStyle name="Гиперссылка 2" xfId="36486" hidden="1"/>
    <cellStyle name="Гиперссылка 2" xfId="36487" hidden="1"/>
    <cellStyle name="Гиперссылка 2" xfId="36483" hidden="1"/>
    <cellStyle name="Гиперссылка 2" xfId="36482" hidden="1"/>
    <cellStyle name="Гиперссылка 2" xfId="36485" hidden="1"/>
    <cellStyle name="Гиперссылка 2" xfId="36484" hidden="1"/>
    <cellStyle name="Гиперссылка 2" xfId="36489" hidden="1"/>
    <cellStyle name="Гиперссылка 2" xfId="36488" hidden="1"/>
    <cellStyle name="Гиперссылка 2" xfId="36490" hidden="1"/>
    <cellStyle name="Гиперссылка 2" xfId="36491" hidden="1"/>
    <cellStyle name="Гиперссылка 2" xfId="36496" hidden="1"/>
    <cellStyle name="Гиперссылка 2" xfId="36497" hidden="1"/>
    <cellStyle name="Гиперссылка 2" xfId="36493" hidden="1"/>
    <cellStyle name="Гиперссылка 2" xfId="36492" hidden="1"/>
    <cellStyle name="Гиперссылка 2" xfId="36495" hidden="1"/>
    <cellStyle name="Гиперссылка 2" xfId="36494" hidden="1"/>
    <cellStyle name="Гиперссылка 2" xfId="36499" hidden="1"/>
    <cellStyle name="Гиперссылка 2" xfId="36498" hidden="1"/>
    <cellStyle name="Гиперссылка 2" xfId="36500" hidden="1"/>
    <cellStyle name="Гиперссылка 2" xfId="36501" hidden="1"/>
    <cellStyle name="Гиперссылка 2" xfId="36506" hidden="1"/>
    <cellStyle name="Гиперссылка 2" xfId="36507" hidden="1"/>
    <cellStyle name="Гиперссылка 2" xfId="36503" hidden="1"/>
    <cellStyle name="Гиперссылка 2" xfId="36502" hidden="1"/>
    <cellStyle name="Гиперссылка 2" xfId="36505" hidden="1"/>
    <cellStyle name="Гиперссылка 2" xfId="36504" hidden="1"/>
    <cellStyle name="Гиперссылка 2" xfId="36509" hidden="1"/>
    <cellStyle name="Гиперссылка 2" xfId="36508" hidden="1"/>
    <cellStyle name="Гиперссылка 2" xfId="34882" hidden="1"/>
    <cellStyle name="Гиперссылка 2" xfId="34429" hidden="1"/>
    <cellStyle name="Гиперссылка 2" xfId="36264" hidden="1"/>
    <cellStyle name="Гиперссылка 2" xfId="34424" hidden="1"/>
    <cellStyle name="Гиперссылка 2" xfId="34431" hidden="1"/>
    <cellStyle name="Гиперссылка 2" xfId="34371" hidden="1"/>
    <cellStyle name="Гиперссылка 2" xfId="36000" hidden="1"/>
    <cellStyle name="Гиперссылка 2" xfId="34883" hidden="1"/>
    <cellStyle name="Гиперссылка 2" xfId="35786" hidden="1"/>
    <cellStyle name="Гиперссылка 2" xfId="35265" hidden="1"/>
    <cellStyle name="Гиперссылка 2" xfId="36379" hidden="1"/>
    <cellStyle name="Гиперссылка 2" xfId="36256" hidden="1"/>
    <cellStyle name="Гиперссылка 2" xfId="35989" hidden="1"/>
    <cellStyle name="Гиперссылка 2" xfId="34280" hidden="1"/>
    <cellStyle name="Гиперссылка 2" xfId="36195" hidden="1"/>
    <cellStyle name="Гиперссылка 2" xfId="36322" hidden="1"/>
    <cellStyle name="Гиперссылка 2" xfId="34515" hidden="1"/>
    <cellStyle name="Гиперссылка 2" xfId="34270" hidden="1"/>
    <cellStyle name="Гиперссылка 2" xfId="34976" hidden="1"/>
    <cellStyle name="Гиперссылка 2" xfId="35093" hidden="1"/>
    <cellStyle name="Гиперссылка 2" xfId="34292" hidden="1"/>
    <cellStyle name="Гиперссылка 2" xfId="35856" hidden="1"/>
    <cellStyle name="Гиперссылка 2" xfId="34457" hidden="1"/>
    <cellStyle name="Гиперссылка 2" xfId="34288" hidden="1"/>
    <cellStyle name="Гиперссылка 2" xfId="35765" hidden="1"/>
    <cellStyle name="Гиперссылка 2" xfId="34328" hidden="1"/>
    <cellStyle name="Гиперссылка 2" xfId="35764" hidden="1"/>
    <cellStyle name="Гиперссылка 2" xfId="34955" hidden="1"/>
    <cellStyle name="Гиперссылка 2" xfId="35277" hidden="1"/>
    <cellStyle name="Гиперссылка 2" xfId="34418" hidden="1"/>
    <cellStyle name="Гиперссылка 2" xfId="35505" hidden="1"/>
    <cellStyle name="Гиперссылка 2" xfId="35417" hidden="1"/>
    <cellStyle name="Гиперссылка 2" xfId="34767" hidden="1"/>
    <cellStyle name="Гиперссылка 2" xfId="35250" hidden="1"/>
    <cellStyle name="Гиперссылка 2" xfId="35269" hidden="1"/>
    <cellStyle name="Гиперссылка 2" xfId="35771" hidden="1"/>
    <cellStyle name="Гиперссылка 2" xfId="34289" hidden="1"/>
    <cellStyle name="Гиперссылка 2" xfId="34409" hidden="1"/>
    <cellStyle name="Гиперссылка 2" xfId="34401" hidden="1"/>
    <cellStyle name="Гиперссылка 2" xfId="34780" hidden="1"/>
    <cellStyle name="Гиперссылка 2" xfId="35187" hidden="1"/>
    <cellStyle name="Гиперссылка 2" xfId="34619" hidden="1"/>
    <cellStyle name="Гиперссылка 2" xfId="34968" hidden="1"/>
    <cellStyle name="Гиперссылка 2" xfId="34679" hidden="1"/>
    <cellStyle name="Гиперссылка 2" xfId="35802" hidden="1"/>
    <cellStyle name="Гиперссылка 2" xfId="34426" hidden="1"/>
    <cellStyle name="Гиперссылка 2" xfId="36314" hidden="1"/>
    <cellStyle name="Гиперссылка 2" xfId="36375" hidden="1"/>
    <cellStyle name="Гиперссылка 2" xfId="34362" hidden="1"/>
    <cellStyle name="Гиперссылка 2" xfId="31214" hidden="1"/>
    <cellStyle name="Гиперссылка 2" xfId="34434" hidden="1"/>
    <cellStyle name="Гиперссылка 2" xfId="34917" hidden="1"/>
    <cellStyle name="Гиперссылка 2" xfId="35865" hidden="1"/>
    <cellStyle name="Гиперссылка 2" xfId="35247" hidden="1"/>
    <cellStyle name="Гиперссылка 2" xfId="34432" hidden="1"/>
    <cellStyle name="Гиперссылка 2" xfId="35943" hidden="1"/>
    <cellStyle name="Гиперссылка 2" xfId="35908" hidden="1"/>
    <cellStyle name="Гиперссылка 2" xfId="34658" hidden="1"/>
    <cellStyle name="Гиперссылка 2" xfId="34491" hidden="1"/>
    <cellStyle name="Гиперссылка 2" xfId="35245" hidden="1"/>
    <cellStyle name="Гиперссылка 2" xfId="36331" hidden="1"/>
    <cellStyle name="Гиперссылка 2" xfId="36206" hidden="1"/>
    <cellStyle name="Гиперссылка 2" xfId="35415" hidden="1"/>
    <cellStyle name="Гиперссылка 2" xfId="35128" hidden="1"/>
    <cellStyle name="Гиперссылка 2" xfId="36315" hidden="1"/>
    <cellStyle name="Гиперссылка 2" xfId="36431" hidden="1"/>
    <cellStyle name="Гиперссылка 2" xfId="36123" hidden="1"/>
    <cellStyle name="Гиперссылка 2" xfId="36192" hidden="1"/>
    <cellStyle name="Гиперссылка 2" xfId="34529" hidden="1"/>
    <cellStyle name="Гиперссылка 2" xfId="31274" hidden="1"/>
    <cellStyle name="Гиперссылка 2" xfId="35862" hidden="1"/>
    <cellStyle name="Гиперссылка 2" xfId="35168" hidden="1"/>
    <cellStyle name="Гиперссылка 2" xfId="36203" hidden="1"/>
    <cellStyle name="Гиперссылка 2" xfId="35912" hidden="1"/>
    <cellStyle name="Гиперссылка 2" xfId="35618" hidden="1"/>
    <cellStyle name="Гиперссылка 2" xfId="34385" hidden="1"/>
    <cellStyle name="Гиперссылка 2" xfId="36328" hidden="1"/>
    <cellStyle name="Гиперссылка 2" xfId="34664" hidden="1"/>
    <cellStyle name="Гиперссылка 2" xfId="36329" hidden="1"/>
    <cellStyle name="Гиперссылка 2" xfId="36386" hidden="1"/>
    <cellStyle name="Гиперссылка 2" xfId="35167" hidden="1"/>
    <cellStyle name="Гиперссылка 2" xfId="36002" hidden="1"/>
    <cellStyle name="Гиперссылка 2" xfId="36257" hidden="1"/>
    <cellStyle name="Гиперссылка 2" xfId="35352" hidden="1"/>
    <cellStyle name="Гиперссылка 2" xfId="34797" hidden="1"/>
    <cellStyle name="Гиперссылка 2" xfId="35023" hidden="1"/>
    <cellStyle name="Гиперссылка 2" xfId="35249" hidden="1"/>
    <cellStyle name="Гиперссылка 2" xfId="34726" hidden="1"/>
    <cellStyle name="Гиперссылка 2" xfId="34381" hidden="1"/>
    <cellStyle name="Гиперссылка 2" xfId="35795" hidden="1"/>
    <cellStyle name="Гиперссылка 2" xfId="34452" hidden="1"/>
    <cellStyle name="Гиперссылка 2" xfId="35152" hidden="1"/>
    <cellStyle name="Гиперссылка 2" xfId="34408" hidden="1"/>
    <cellStyle name="Гиперссылка 2" xfId="35509" hidden="1"/>
    <cellStyle name="Гиперссылка 2" xfId="36280" hidden="1"/>
    <cellStyle name="Гиперссылка 2" xfId="35368" hidden="1"/>
    <cellStyle name="Гиперссылка 2" xfId="34763" hidden="1"/>
    <cellStyle name="Гиперссылка 2" xfId="36147" hidden="1"/>
    <cellStyle name="Гиперссылка 2" xfId="34315" hidden="1"/>
    <cellStyle name="Гиперссылка 2" xfId="35274" hidden="1"/>
    <cellStyle name="Гиперссылка 2" xfId="34354" hidden="1"/>
    <cellStyle name="Гиперссылка 2" xfId="34291" hidden="1"/>
    <cellStyle name="Гиперссылка 2" xfId="35102" hidden="1"/>
    <cellStyle name="Гиперссылка 2" xfId="35837" hidden="1"/>
    <cellStyle name="Гиперссылка 2" xfId="36039" hidden="1"/>
    <cellStyle name="Гиперссылка 2" xfId="35717" hidden="1"/>
    <cellStyle name="Гиперссылка 2" xfId="31272" hidden="1"/>
    <cellStyle name="Гиперссылка 2" xfId="34641" hidden="1"/>
    <cellStyle name="Гиперссылка 2" xfId="34620" hidden="1"/>
    <cellStyle name="Гиперссылка 2" xfId="35724" hidden="1"/>
    <cellStyle name="Гиперссылка 2" xfId="34501" hidden="1"/>
    <cellStyle name="Гиперссылка 2" xfId="35281" hidden="1"/>
    <cellStyle name="Гиперссылка 2" xfId="34690" hidden="1"/>
    <cellStyle name="Гиперссылка 2" xfId="34277" hidden="1"/>
    <cellStyle name="Гиперссылка 2" xfId="34465" hidden="1"/>
    <cellStyle name="Гиперссылка 2" xfId="34496" hidden="1"/>
    <cellStyle name="Гиперссылка 2" xfId="34652" hidden="1"/>
    <cellStyle name="Гиперссылка 2" xfId="35270" hidden="1"/>
    <cellStyle name="Гиперссылка 2" xfId="35429" hidden="1"/>
    <cellStyle name="Гиперссылка 2" xfId="34816" hidden="1"/>
    <cellStyle name="Гиперссылка 2" xfId="35857" hidden="1"/>
    <cellStyle name="Гиперссылка 2" xfId="35918" hidden="1"/>
    <cellStyle name="Гиперссылка 2" xfId="35873" hidden="1"/>
    <cellStyle name="Гиперссылка 2" xfId="34956" hidden="1"/>
    <cellStyle name="Гиперссылка 2" xfId="35094" hidden="1"/>
    <cellStyle name="Гиперссылка 2" xfId="34556" hidden="1"/>
    <cellStyle name="Гиперссылка 2" xfId="36260" hidden="1"/>
    <cellStyle name="Гиперссылка 2" xfId="35838" hidden="1"/>
    <cellStyle name="Гиперссылка 2" xfId="34453" hidden="1"/>
    <cellStyle name="Гиперссылка 2" xfId="35713" hidden="1"/>
    <cellStyle name="Гиперссылка 2" xfId="34778" hidden="1"/>
    <cellStyle name="Гиперссылка 2" xfId="35191" hidden="1"/>
    <cellStyle name="Гиперссылка 2" xfId="35942" hidden="1"/>
    <cellStyle name="Гиперссылка 2" xfId="35723" hidden="1"/>
    <cellStyle name="Гиперссылка 2" xfId="36377" hidden="1"/>
    <cellStyle name="Гиперссылка 2" xfId="36042" hidden="1"/>
    <cellStyle name="Гиперссылка 2" xfId="36190" hidden="1"/>
    <cellStyle name="Гиперссылка 2" xfId="36251" hidden="1"/>
    <cellStyle name="Гиперссылка 2" xfId="35909" hidden="1"/>
    <cellStyle name="Гиперссылка 2" xfId="35559" hidden="1"/>
    <cellStyle name="Гиперссылка 2" xfId="34756" hidden="1"/>
    <cellStyle name="Гиперссылка 2" xfId="34363" hidden="1"/>
    <cellStyle name="Гиперссылка 2" xfId="34532" hidden="1"/>
    <cellStyle name="Гиперссылка 2" xfId="35163" hidden="1"/>
    <cellStyle name="Гиперссылка 2" xfId="35798" hidden="1"/>
    <cellStyle name="Гиперссылка 2" xfId="31226" hidden="1"/>
    <cellStyle name="Гиперссылка 2" xfId="35101" hidden="1"/>
    <cellStyle name="Гиперссылка 2" xfId="34591" hidden="1"/>
    <cellStyle name="Гиперссылка 2" xfId="35572" hidden="1"/>
    <cellStyle name="Гиперссылка 2" xfId="34861" hidden="1"/>
    <cellStyle name="Гиперссылка 2" xfId="31269" hidden="1"/>
    <cellStyle name="Гиперссылка 2" xfId="35445" hidden="1"/>
    <cellStyle name="Гиперссылка 2" xfId="34682" hidden="1"/>
    <cellStyle name="Гиперссылка 2" xfId="35007" hidden="1"/>
    <cellStyle name="Гиперссылка 2" xfId="36043" hidden="1"/>
    <cellStyle name="Гиперссылка 2" xfId="34762" hidden="1"/>
    <cellStyle name="Гиперссылка 2" xfId="34312" hidden="1"/>
    <cellStyle name="Гиперссылка 2" xfId="34394" hidden="1"/>
    <cellStyle name="Гиперссылка 2" xfId="34609" hidden="1"/>
    <cellStyle name="Гиперссылка 2" xfId="34616" hidden="1"/>
    <cellStyle name="Гиперссылка 2" xfId="34718" hidden="1"/>
    <cellStyle name="Гиперссылка 2" xfId="36170" hidden="1"/>
    <cellStyle name="Гиперссылка 2" xfId="35920" hidden="1"/>
    <cellStyle name="Гиперссылка 2" xfId="35871" hidden="1"/>
    <cellStyle name="Гиперссылка 2" xfId="35494" hidden="1"/>
    <cellStyle name="Гиперссылка 2" xfId="36186" hidden="1"/>
    <cellStyle name="Гиперссылка 2" xfId="34395" hidden="1"/>
    <cellStyle name="Гиперссылка 2" xfId="34796" hidden="1"/>
    <cellStyle name="Гиперссылка 2" xfId="35481" hidden="1"/>
    <cellStyle name="Гиперссылка 2" xfId="35994" hidden="1"/>
    <cellStyle name="Гиперссылка 2" xfId="36318" hidden="1"/>
    <cellStyle name="Гиперссылка 2" xfId="36193" hidden="1"/>
    <cellStyle name="Гиперссылка 2" xfId="34419" hidden="1"/>
    <cellStyle name="Гиперссылка 2" xfId="35500" hidden="1"/>
    <cellStyle name="Гиперссылка 2" xfId="34416" hidden="1"/>
    <cellStyle name="Гиперссылка 2" xfId="31245" hidden="1"/>
    <cellStyle name="Гиперссылка 2" xfId="34820" hidden="1"/>
    <cellStyle name="Гиперссылка 2" xfId="34964" hidden="1"/>
    <cellStyle name="Гиперссылка 2" xfId="34417" hidden="1"/>
    <cellStyle name="Гиперссылка 2" xfId="34899" hidden="1"/>
    <cellStyle name="Гиперссылка 2" xfId="35355" hidden="1"/>
    <cellStyle name="Гиперссылка 2" xfId="35577" hidden="1"/>
    <cellStyle name="Гиперссылка 2" xfId="36434" hidden="1"/>
    <cellStyle name="Гиперссылка 2" xfId="36319" hidden="1"/>
    <cellStyle name="Гиперссылка 2" xfId="35066" hidden="1"/>
    <cellStyle name="Гиперссылка 2" xfId="35182" hidden="1"/>
    <cellStyle name="Гиперссылка 2" xfId="34773" hidden="1"/>
    <cellStyle name="Гиперссылка 2" xfId="35864" hidden="1"/>
    <cellStyle name="Гиперссылка 2" xfId="35117" hidden="1"/>
    <cellStyle name="Гиперссылка 2" xfId="34766" hidden="1"/>
    <cellStyle name="Гиперссылка 2" xfId="34868" hidden="1"/>
    <cellStyle name="Гиперссылка 2" xfId="34467" hidden="1"/>
    <cellStyle name="Гиперссылка 2" xfId="34444" hidden="1"/>
    <cellStyle name="Гиперссылка 2" xfId="35990" hidden="1"/>
    <cellStyle name="Гиперссылка 2" xfId="34594" hidden="1"/>
    <cellStyle name="Гиперссылка 2" xfId="34271" hidden="1"/>
    <cellStyle name="Гиперссылка 2" xfId="35326" hidden="1"/>
    <cellStyle name="Гиперссылка 2" xfId="34735" hidden="1"/>
    <cellStyle name="Гиперссылка 2" xfId="35557" hidden="1"/>
    <cellStyle name="Гиперссылка 2" xfId="34975" hidden="1"/>
    <cellStyle name="Гиперссылка 2" xfId="34521" hidden="1"/>
    <cellStyle name="Гиперссылка 2" xfId="34962" hidden="1"/>
    <cellStyle name="Гиперссылка 2" xfId="35233" hidden="1"/>
    <cellStyle name="Гиперссылка 2" xfId="35258" hidden="1"/>
    <cellStyle name="Гиперссылка 2" xfId="36378" hidden="1"/>
    <cellStyle name="Гиперссылка 2" xfId="34589" hidden="1"/>
    <cellStyle name="Гиперссылка 2" xfId="35264" hidden="1"/>
    <cellStyle name="Гиперссылка 2" xfId="36381" hidden="1"/>
    <cellStyle name="Гиперссылка 2" xfId="35550" hidden="1"/>
    <cellStyle name="Гиперссылка 2" xfId="35498" hidden="1"/>
    <cellStyle name="Гиперссылка 2" xfId="36402" hidden="1"/>
    <cellStyle name="Гиперссылка 2" xfId="36281" hidden="1"/>
    <cellStyle name="Гиперссылка 2" xfId="35090" hidden="1"/>
    <cellStyle name="Гиперссылка 2" xfId="31280" hidden="1"/>
    <cellStyle name="Гиперссылка 2" xfId="35710" hidden="1"/>
    <cellStyle name="Гиперссылка 2" xfId="34493" hidden="1"/>
    <cellStyle name="Гиперссылка 2" xfId="35923" hidden="1"/>
    <cellStyle name="Гиперссылка 2" xfId="35570" hidden="1"/>
    <cellStyle name="Гиперссылка 2" xfId="35263" hidden="1"/>
    <cellStyle name="Гиперссылка 2" xfId="35358" hidden="1"/>
    <cellStyle name="Гиперссылка 2" xfId="31231" hidden="1"/>
    <cellStyle name="Гиперссылка 2" xfId="35847" hidden="1"/>
    <cellStyle name="Гиперссылка 2" xfId="35266" hidden="1"/>
    <cellStyle name="Гиперссылка 2" xfId="36436" hidden="1"/>
    <cellStyle name="Гиперссылка 2" xfId="35409" hidden="1"/>
    <cellStyle name="Гиперссылка 2" xfId="35767" hidden="1"/>
    <cellStyle name="Гиперссылка 2" xfId="35558" hidden="1"/>
    <cellStyle name="Гиперссылка 2" xfId="34673" hidden="1"/>
    <cellStyle name="Гиперссылка 2" xfId="36194" hidden="1"/>
    <cellStyle name="Гиперссылка 2" xfId="36258" hidden="1"/>
    <cellStyle name="Гиперссылка 2" xfId="34856" hidden="1"/>
    <cellStyle name="Гиперссылка 2" xfId="34518" hidden="1"/>
    <cellStyle name="Гиперссылка 2" xfId="34454" hidden="1"/>
    <cellStyle name="Гиперссылка 2" xfId="35842" hidden="1"/>
    <cellStyle name="Гиперссылка 2" xfId="35777" hidden="1"/>
    <cellStyle name="Гиперссылка 2" xfId="35792" hidden="1"/>
    <cellStyle name="Гиперссылка 2" xfId="35774" hidden="1"/>
    <cellStyle name="Гиперссылка 2" xfId="34466" hidden="1"/>
    <cellStyle name="Гиперссылка 2" xfId="34909" hidden="1"/>
    <cellStyle name="Гиперссылка 2" xfId="34319" hidden="1"/>
    <cellStyle name="Гиперссылка 2" xfId="36323" hidden="1"/>
    <cellStyle name="Гиперссылка 2" xfId="36374" hidden="1"/>
    <cellStyle name="Гиперссылка 2" xfId="31213" hidden="1"/>
    <cellStyle name="Гиперссылка 2" xfId="34803" hidden="1"/>
    <cellStyle name="Гиперссылка 2" xfId="36445" hidden="1"/>
    <cellStyle name="Гиперссылка 2" xfId="35850" hidden="1"/>
    <cellStyle name="Гиперссылка 2" xfId="36327" hidden="1"/>
    <cellStyle name="Гиперссылка 2" xfId="35083" hidden="1"/>
    <cellStyle name="Гиперссылка 2" xfId="36517" hidden="1"/>
    <cellStyle name="Гиперссылка 2" xfId="36516" hidden="1"/>
    <cellStyle name="Гиперссылка 2" xfId="36530" hidden="1"/>
    <cellStyle name="Гиперссылка 2" xfId="36531" hidden="1"/>
    <cellStyle name="Гиперссылка 2" xfId="36537" hidden="1"/>
    <cellStyle name="Гиперссылка 2" xfId="36538" hidden="1"/>
    <cellStyle name="Гиперссылка 2" xfId="36534" hidden="1"/>
    <cellStyle name="Гиперссылка 2" xfId="36533" hidden="1"/>
    <cellStyle name="Гиперссылка 2" xfId="36536" hidden="1"/>
    <cellStyle name="Гиперссылка 2" xfId="36535" hidden="1"/>
    <cellStyle name="Гиперссылка 2" xfId="36540" hidden="1"/>
    <cellStyle name="Гиперссылка 2" xfId="36539" hidden="1"/>
    <cellStyle name="Гиперссылка 2" xfId="36541" hidden="1"/>
    <cellStyle name="Гиперссылка 2" xfId="36542" hidden="1"/>
    <cellStyle name="Гиперссылка 2" xfId="36547" hidden="1"/>
    <cellStyle name="Гиперссылка 2" xfId="36548" hidden="1"/>
    <cellStyle name="Гиперссылка 2" xfId="36544" hidden="1"/>
    <cellStyle name="Гиперссылка 2" xfId="36543" hidden="1"/>
    <cellStyle name="Гиперссылка 2" xfId="36546" hidden="1"/>
    <cellStyle name="Гиперссылка 2" xfId="36545" hidden="1"/>
    <cellStyle name="Гиперссылка 2" xfId="36550" hidden="1"/>
    <cellStyle name="Гиперссылка 2" xfId="36549" hidden="1"/>
    <cellStyle name="Гиперссылка 2" xfId="36551" hidden="1"/>
    <cellStyle name="Гиперссылка 2" xfId="36552" hidden="1"/>
    <cellStyle name="Гиперссылка 2" xfId="36557" hidden="1"/>
    <cellStyle name="Гиперссылка 2" xfId="36558" hidden="1"/>
    <cellStyle name="Гиперссылка 2" xfId="36554" hidden="1"/>
    <cellStyle name="Гиперссылка 2" xfId="36553" hidden="1"/>
    <cellStyle name="Гиперссылка 2" xfId="36556" hidden="1"/>
    <cellStyle name="Гиперссылка 2" xfId="36555" hidden="1"/>
    <cellStyle name="Гиперссылка 2" xfId="36560" hidden="1"/>
    <cellStyle name="Гиперссылка 2" xfId="36559" hidden="1"/>
    <cellStyle name="Гиперссылка 2" xfId="34900" hidden="1"/>
    <cellStyle name="Гиперссылка 2" xfId="34875" hidden="1"/>
    <cellStyle name="Гиперссылка 2" xfId="36037" hidden="1"/>
    <cellStyle name="Гиперссылка 2" xfId="34811" hidden="1"/>
    <cellStyle name="Гиперссылка 2" xfId="36238" hidden="1"/>
    <cellStyle name="Гиперссылка 2" xfId="36524" hidden="1"/>
    <cellStyle name="Гиперссылка 2" xfId="35276" hidden="1"/>
    <cellStyle name="Гиперссылка 2" xfId="34963" hidden="1"/>
    <cellStyle name="Гиперссылка 2" xfId="36586" hidden="1"/>
    <cellStyle name="Гиперссылка 2" xfId="36585" hidden="1"/>
    <cellStyle name="Гиперссылка 2" xfId="36594" hidden="1"/>
    <cellStyle name="Гиперссылка 2" xfId="36595" hidden="1"/>
    <cellStyle name="Гиперссылка 2" xfId="36601" hidden="1"/>
    <cellStyle name="Гиперссылка 2" xfId="36602" hidden="1"/>
    <cellStyle name="Гиперссылка 2" xfId="36598" hidden="1"/>
    <cellStyle name="Гиперссылка 2" xfId="36597" hidden="1"/>
    <cellStyle name="Гиперссылка 2" xfId="36600" hidden="1"/>
    <cellStyle name="Гиперссылка 2" xfId="36599" hidden="1"/>
    <cellStyle name="Гиперссылка 2" xfId="36604" hidden="1"/>
    <cellStyle name="Гиперссылка 2" xfId="36603" hidden="1"/>
    <cellStyle name="Гиперссылка 2" xfId="36605" hidden="1"/>
    <cellStyle name="Гиперссылка 2" xfId="36606" hidden="1"/>
    <cellStyle name="Гиперссылка 2" xfId="36611" hidden="1"/>
    <cellStyle name="Гиперссылка 2" xfId="36612" hidden="1"/>
    <cellStyle name="Гиперссылка 2" xfId="36608" hidden="1"/>
    <cellStyle name="Гиперссылка 2" xfId="36607" hidden="1"/>
    <cellStyle name="Гиперссылка 2" xfId="36610" hidden="1"/>
    <cellStyle name="Гиперссылка 2" xfId="36609" hidden="1"/>
    <cellStyle name="Гиперссылка 2" xfId="36614" hidden="1"/>
    <cellStyle name="Гиперссылка 2" xfId="36613" hidden="1"/>
    <cellStyle name="Гиперссылка 2" xfId="36615" hidden="1"/>
    <cellStyle name="Гиперссылка 2" xfId="36616" hidden="1"/>
    <cellStyle name="Гиперссылка 2" xfId="36621" hidden="1"/>
    <cellStyle name="Гиперссылка 2" xfId="36622" hidden="1"/>
    <cellStyle name="Гиперссылка 2" xfId="36618" hidden="1"/>
    <cellStyle name="Гиперссылка 2" xfId="36617" hidden="1"/>
    <cellStyle name="Гиперссылка 2" xfId="36620" hidden="1"/>
    <cellStyle name="Гиперссылка 2" xfId="36619" hidden="1"/>
    <cellStyle name="Гиперссылка 2" xfId="36624" hidden="1"/>
    <cellStyle name="Гиперссылка 2" xfId="36623" hidden="1"/>
    <cellStyle name="Гиперссылка 2" xfId="34435" hidden="1"/>
    <cellStyle name="Гиперссылка 2" xfId="35515" hidden="1"/>
    <cellStyle name="Гиперссылка 2" xfId="34906" hidden="1"/>
    <cellStyle name="Гиперссылка 2" xfId="36326" hidden="1"/>
    <cellStyle name="Гиперссылка 2" xfId="36570" hidden="1"/>
    <cellStyle name="Гиперссылка 2" xfId="36590" hidden="1"/>
    <cellStyle name="Гиперссылка 2" xfId="35410" hidden="1"/>
    <cellStyle name="Гиперссылка 2" xfId="36563" hidden="1"/>
    <cellStyle name="Гиперссылка 2" xfId="36651" hidden="1"/>
    <cellStyle name="Гиперссылка 2" xfId="36650" hidden="1"/>
    <cellStyle name="Гиперссылка 2" xfId="36658" hidden="1"/>
    <cellStyle name="Гиперссылка 2" xfId="36659" hidden="1"/>
    <cellStyle name="Гиперссылка 2" xfId="36665" hidden="1"/>
    <cellStyle name="Гиперссылка 2" xfId="36666" hidden="1"/>
    <cellStyle name="Гиперссылка 2" xfId="36662" hidden="1"/>
    <cellStyle name="Гиперссылка 2" xfId="36661" hidden="1"/>
    <cellStyle name="Гиперссылка 2" xfId="36664" hidden="1"/>
    <cellStyle name="Гиперссылка 2" xfId="36663" hidden="1"/>
    <cellStyle name="Гиперссылка 2" xfId="36668" hidden="1"/>
    <cellStyle name="Гиперссылка 2" xfId="36667" hidden="1"/>
    <cellStyle name="Гиперссылка 2" xfId="36669" hidden="1"/>
    <cellStyle name="Гиперссылка 2" xfId="36670" hidden="1"/>
    <cellStyle name="Гиперссылка 2" xfId="36675" hidden="1"/>
    <cellStyle name="Гиперссылка 2" xfId="36676" hidden="1"/>
    <cellStyle name="Гиперссылка 2" xfId="36672" hidden="1"/>
    <cellStyle name="Гиперссылка 2" xfId="36671" hidden="1"/>
    <cellStyle name="Гиперссылка 2" xfId="36674" hidden="1"/>
    <cellStyle name="Гиперссылка 2" xfId="36673" hidden="1"/>
    <cellStyle name="Гиперссылка 2" xfId="36678" hidden="1"/>
    <cellStyle name="Гиперссылка 2" xfId="36677" hidden="1"/>
    <cellStyle name="Гиперссылка 2" xfId="36679" hidden="1"/>
    <cellStyle name="Гиперссылка 2" xfId="36680" hidden="1"/>
    <cellStyle name="Гиперссылка 2" xfId="36685" hidden="1"/>
    <cellStyle name="Гиперссылка 2" xfId="36686" hidden="1"/>
    <cellStyle name="Гиперссылка 2" xfId="36682" hidden="1"/>
    <cellStyle name="Гиперссылка 2" xfId="36681" hidden="1"/>
    <cellStyle name="Гиперссылка 2" xfId="36684" hidden="1"/>
    <cellStyle name="Гиперссылка 2" xfId="36683" hidden="1"/>
    <cellStyle name="Гиперссылка 2" xfId="36688" hidden="1"/>
    <cellStyle name="Гиперссылка 2" xfId="36687" hidden="1"/>
    <cellStyle name="Гиперссылка 2" xfId="36564" hidden="1"/>
    <cellStyle name="Гиперссылка 2" xfId="36121" hidden="1"/>
    <cellStyle name="Гиперссылка 2" xfId="34284" hidden="1"/>
    <cellStyle name="Гиперссылка 2" xfId="35438" hidden="1"/>
    <cellStyle name="Гиперссылка 2" xfId="36632" hidden="1"/>
    <cellStyle name="Гиперссылка 2" xfId="36655" hidden="1"/>
    <cellStyle name="Гиперссылка 2" xfId="36188" hidden="1"/>
    <cellStyle name="Гиперссылка 2" xfId="36627" hidden="1"/>
    <cellStyle name="Гиперссылка 2" xfId="36708" hidden="1"/>
    <cellStyle name="Гиперссылка 2" xfId="36707" hidden="1"/>
    <cellStyle name="Гиперссылка 2" xfId="36716" hidden="1"/>
    <cellStyle name="Гиперссылка 2" xfId="36717" hidden="1"/>
    <cellStyle name="Гиперссылка 2" xfId="36722" hidden="1"/>
    <cellStyle name="Гиперссылка 2" xfId="36723" hidden="1"/>
    <cellStyle name="Гиперссылка 2" xfId="36719" hidden="1"/>
    <cellStyle name="Гиперссылка 2" xfId="36718" hidden="1"/>
    <cellStyle name="Гиперссылка 2" xfId="36721" hidden="1"/>
    <cellStyle name="Гиперссылка 2" xfId="36720" hidden="1"/>
    <cellStyle name="Гиперссылка 2" xfId="36725" hidden="1"/>
    <cellStyle name="Гиперссылка 2" xfId="36724" hidden="1"/>
    <cellStyle name="Гиперссылка 2" xfId="36726" hidden="1"/>
    <cellStyle name="Гиперссылка 2" xfId="36727" hidden="1"/>
    <cellStyle name="Гиперссылка 2" xfId="36732" hidden="1"/>
    <cellStyle name="Гиперссылка 2" xfId="36733" hidden="1"/>
    <cellStyle name="Гиперссылка 2" xfId="36729" hidden="1"/>
    <cellStyle name="Гиперссылка 2" xfId="36728" hidden="1"/>
    <cellStyle name="Гиперссылка 2" xfId="36731" hidden="1"/>
    <cellStyle name="Гиперссылка 2" xfId="36730" hidden="1"/>
    <cellStyle name="Гиперссылка 2" xfId="36735" hidden="1"/>
    <cellStyle name="Гиперссылка 2" xfId="36734" hidden="1"/>
    <cellStyle name="Гиперссылка 2" xfId="36736" hidden="1"/>
    <cellStyle name="Гиперссылка 2" xfId="36737" hidden="1"/>
    <cellStyle name="Гиперссылка 2" xfId="36742" hidden="1"/>
    <cellStyle name="Гиперссылка 2" xfId="36743" hidden="1"/>
    <cellStyle name="Гиперссылка 2" xfId="36739" hidden="1"/>
    <cellStyle name="Гиперссылка 2" xfId="36738" hidden="1"/>
    <cellStyle name="Гиперссылка 2" xfId="36741" hidden="1"/>
    <cellStyle name="Гиперссылка 2" xfId="36740" hidden="1"/>
    <cellStyle name="Гиперссылка 2" xfId="36745" hidden="1"/>
    <cellStyle name="Гиперссылка 2" xfId="36744" hidden="1"/>
    <cellStyle name="Гиперссылка 2" xfId="36628" hidden="1"/>
    <cellStyle name="Гиперссылка 2" xfId="35018" hidden="1"/>
    <cellStyle name="Гиперссылка 2" xfId="34627" hidden="1"/>
    <cellStyle name="Гиперссылка 2" xfId="35055" hidden="1"/>
    <cellStyle name="Гиперссылка 2" xfId="36695" hidden="1"/>
    <cellStyle name="Гиперссылка 2" xfId="36711" hidden="1"/>
    <cellStyle name="Гиперссылка 2" xfId="36266" hidden="1"/>
    <cellStyle name="Гиперссылка 2" xfId="36690" hidden="1"/>
    <cellStyle name="Гиперссылка 2" xfId="36759" hidden="1"/>
    <cellStyle name="Гиперссылка 2" xfId="36758" hidden="1"/>
    <cellStyle name="Гиперссылка 2" xfId="36765" hidden="1"/>
    <cellStyle name="Гиперссылка 2" xfId="36766" hidden="1"/>
    <cellStyle name="Гиперссылка 2" xfId="36772" hidden="1"/>
    <cellStyle name="Гиперссылка 2" xfId="36773" hidden="1"/>
    <cellStyle name="Гиперссылка 2" xfId="36769" hidden="1"/>
    <cellStyle name="Гиперссылка 2" xfId="36768" hidden="1"/>
    <cellStyle name="Гиперссылка 2" xfId="36771" hidden="1"/>
    <cellStyle name="Гиперссылка 2" xfId="36770" hidden="1"/>
    <cellStyle name="Гиперссылка 2" xfId="36775" hidden="1"/>
    <cellStyle name="Гиперссылка 2" xfId="36774" hidden="1"/>
    <cellStyle name="Гиперссылка 2" xfId="36776" hidden="1"/>
    <cellStyle name="Гиперссылка 2" xfId="36777" hidden="1"/>
    <cellStyle name="Гиперссылка 2" xfId="36782" hidden="1"/>
    <cellStyle name="Гиперссылка 2" xfId="36783" hidden="1"/>
    <cellStyle name="Гиперссылка 2" xfId="36779" hidden="1"/>
    <cellStyle name="Гиперссылка 2" xfId="36778" hidden="1"/>
    <cellStyle name="Гиперссылка 2" xfId="36781" hidden="1"/>
    <cellStyle name="Гиперссылка 2" xfId="36780" hidden="1"/>
    <cellStyle name="Гиперссылка 2" xfId="36785" hidden="1"/>
    <cellStyle name="Гиперссылка 2" xfId="36784" hidden="1"/>
    <cellStyle name="Гиперссылка 2" xfId="36786" hidden="1"/>
    <cellStyle name="Гиперссылка 2" xfId="36787" hidden="1"/>
    <cellStyle name="Гиперссылка 2" xfId="36792" hidden="1"/>
    <cellStyle name="Гиперссылка 2" xfId="36793" hidden="1"/>
    <cellStyle name="Гиперссылка 2" xfId="36789" hidden="1"/>
    <cellStyle name="Гиперссылка 2" xfId="36788" hidden="1"/>
    <cellStyle name="Гиперссылка 2" xfId="36791" hidden="1"/>
    <cellStyle name="Гиперссылка 2" xfId="36790" hidden="1"/>
    <cellStyle name="Гиперссылка 2" xfId="36795" hidden="1"/>
    <cellStyle name="Гиперссылка 2" xfId="36794" hidden="1"/>
    <cellStyle name="Гиперссылка 2" xfId="36691" hidden="1"/>
    <cellStyle name="Гиперссылка 2" xfId="36181" hidden="1"/>
    <cellStyle name="Гиперссылка 2" xfId="34553" hidden="1"/>
    <cellStyle name="Гиперссылка 2" xfId="34995" hidden="1"/>
    <cellStyle name="Гиперссылка 2" xfId="36749" hidden="1"/>
    <cellStyle name="Гиперссылка 2" xfId="36763" hidden="1"/>
    <cellStyle name="Гиперссылка 2" xfId="36510" hidden="1"/>
    <cellStyle name="Гиперссылка 2" xfId="36746" hidden="1"/>
    <cellStyle name="Гиперссылка 2" xfId="36807" hidden="1"/>
    <cellStyle name="Гиперссылка 2" xfId="36806" hidden="1"/>
    <cellStyle name="Гиперссылка 2" xfId="36813" hidden="1"/>
    <cellStyle name="Гиперссылка 2" xfId="36814" hidden="1"/>
    <cellStyle name="Гиперссылка 2" xfId="36819" hidden="1"/>
    <cellStyle name="Гиперссылка 2" xfId="36820" hidden="1"/>
    <cellStyle name="Гиперссылка 2" xfId="36816" hidden="1"/>
    <cellStyle name="Гиперссылка 2" xfId="36815" hidden="1"/>
    <cellStyle name="Гиперссылка 2" xfId="36818" hidden="1"/>
    <cellStyle name="Гиперссылка 2" xfId="36817" hidden="1"/>
    <cellStyle name="Гиперссылка 2" xfId="36822" hidden="1"/>
    <cellStyle name="Гиперссылка 2" xfId="36821" hidden="1"/>
    <cellStyle name="Гиперссылка 2" xfId="36823" hidden="1"/>
    <cellStyle name="Гиперссылка 2" xfId="36824" hidden="1"/>
    <cellStyle name="Гиперссылка 2" xfId="36829" hidden="1"/>
    <cellStyle name="Гиперссылка 2" xfId="36830" hidden="1"/>
    <cellStyle name="Гиперссылка 2" xfId="36826" hidden="1"/>
    <cellStyle name="Гиперссылка 2" xfId="36825" hidden="1"/>
    <cellStyle name="Гиперссылка 2" xfId="36828" hidden="1"/>
    <cellStyle name="Гиперссылка 2" xfId="36827" hidden="1"/>
    <cellStyle name="Гиперссылка 2" xfId="36832" hidden="1"/>
    <cellStyle name="Гиперссылка 2" xfId="36831" hidden="1"/>
    <cellStyle name="Гиперссылка 2" xfId="36833" hidden="1"/>
    <cellStyle name="Гиперссылка 2" xfId="36834" hidden="1"/>
    <cellStyle name="Гиперссылка 2" xfId="36839" hidden="1"/>
    <cellStyle name="Гиперссылка 2" xfId="36840" hidden="1"/>
    <cellStyle name="Гиперссылка 2" xfId="36836" hidden="1"/>
    <cellStyle name="Гиперссылка 2" xfId="36835" hidden="1"/>
    <cellStyle name="Гиперссылка 2" xfId="36838" hidden="1"/>
    <cellStyle name="Гиперссылка 2" xfId="36837" hidden="1"/>
    <cellStyle name="Гиперссылка 2" xfId="36842" hidden="1"/>
    <cellStyle name="Гиперссылка 2" xfId="36841" hidden="1"/>
    <cellStyle name="Гиперссылка 2" xfId="36747" hidden="1"/>
    <cellStyle name="Гиперссылка 2" xfId="36047" hidden="1"/>
    <cellStyle name="Гиперссылка 2" xfId="36569" hidden="1"/>
    <cellStyle name="Гиперссылка 2" xfId="34686" hidden="1"/>
    <cellStyle name="Гиперссылка 2" xfId="36799" hidden="1"/>
    <cellStyle name="Гиперссылка 2" xfId="36810" hidden="1"/>
    <cellStyle name="Гиперссылка 2" xfId="36578" hidden="1"/>
    <cellStyle name="Гиперссылка 2" xfId="36797" hidden="1"/>
    <cellStyle name="Гиперссылка 2" xfId="36844" hidden="1"/>
    <cellStyle name="Гиперссылка 2" xfId="36843" hidden="1"/>
    <cellStyle name="Гиперссылка 2" xfId="36845" hidden="1"/>
    <cellStyle name="Гиперссылка 2" xfId="36846" hidden="1"/>
    <cellStyle name="Гиперссылка 2" xfId="36851" hidden="1"/>
    <cellStyle name="Гиперссылка 2" xfId="36852" hidden="1"/>
    <cellStyle name="Гиперссылка 2" xfId="36848" hidden="1"/>
    <cellStyle name="Гиперссылка 2" xfId="36847" hidden="1"/>
    <cellStyle name="Гиперссылка 2" xfId="36850" hidden="1"/>
    <cellStyle name="Гиперссылка 2" xfId="36849" hidden="1"/>
    <cellStyle name="Гиперссылка 2" xfId="36854" hidden="1"/>
    <cellStyle name="Гиперссылка 2" xfId="36853" hidden="1"/>
    <cellStyle name="Гиперссылка 2" xfId="36855" hidden="1"/>
    <cellStyle name="Гиперссылка 2" xfId="36856" hidden="1"/>
    <cellStyle name="Гиперссылка 2" xfId="36861" hidden="1"/>
    <cellStyle name="Гиперссылка 2" xfId="36862" hidden="1"/>
    <cellStyle name="Гиперссылка 2" xfId="36858" hidden="1"/>
    <cellStyle name="Гиперссылка 2" xfId="36857" hidden="1"/>
    <cellStyle name="Гиперссылка 2" xfId="36860" hidden="1"/>
    <cellStyle name="Гиперссылка 2" xfId="36859" hidden="1"/>
    <cellStyle name="Гиперссылка 2" xfId="36864" hidden="1"/>
    <cellStyle name="Гиперссылка 2" xfId="36863" hidden="1"/>
    <cellStyle name="Гиперссылка 2" xfId="36865" hidden="1"/>
    <cellStyle name="Гиперссылка 2" xfId="36866" hidden="1"/>
    <cellStyle name="Гиперссылка 2" xfId="36871" hidden="1"/>
    <cellStyle name="Гиперссылка 2" xfId="36872" hidden="1"/>
    <cellStyle name="Гиперссылка 2" xfId="36868" hidden="1"/>
    <cellStyle name="Гиперссылка 2" xfId="36867" hidden="1"/>
    <cellStyle name="Гиперссылка 2" xfId="36870" hidden="1"/>
    <cellStyle name="Гиперссылка 2" xfId="36869" hidden="1"/>
    <cellStyle name="Гиперссылка 2" xfId="36874" hidden="1"/>
    <cellStyle name="Гиперссылка 2" xfId="36873" hidden="1"/>
    <cellStyle name="Гиперссылка 2" xfId="36135" hidden="1"/>
    <cellStyle name="Гиперссылка 2" xfId="34765" hidden="1"/>
    <cellStyle name="Гиперссылка 2" xfId="35364" hidden="1"/>
    <cellStyle name="Гиперссылка 2" xfId="35322" hidden="1"/>
    <cellStyle name="Гиперссылка 2" xfId="36649" hidden="1"/>
    <cellStyle name="Гиперссылка 2" xfId="35757" hidden="1"/>
    <cellStyle name="Гиперссылка 2" xfId="34338" hidden="1"/>
    <cellStyle name="Гиперссылка 2" xfId="35834" hidden="1"/>
    <cellStyle name="Гиперссылка 2" xfId="35003" hidden="1"/>
    <cellStyle name="Гиперссылка 2" xfId="35868" hidden="1"/>
    <cellStyle name="Гиперссылка 2" xfId="36567" hidden="1"/>
    <cellStyle name="Гиперссылка 2" xfId="34913" hidden="1"/>
    <cellStyle name="Гиперссылка 2" xfId="34404" hidden="1"/>
    <cellStyle name="Гиперссылка 2" xfId="36134" hidden="1"/>
    <cellStyle name="Гиперссылка 2" xfId="34357" hidden="1"/>
    <cellStyle name="Гиперссылка 2" xfId="31210" hidden="1"/>
    <cellStyle name="Гиперссылка 2" xfId="35719" hidden="1"/>
    <cellStyle name="Гиперссылка 2" xfId="34510" hidden="1"/>
    <cellStyle name="Гиперссылка 2" xfId="36202" hidden="1"/>
    <cellStyle name="Гиперссылка 2" xfId="36442" hidden="1"/>
    <cellStyle name="Гиперссылка 2" xfId="36754" hidden="1"/>
    <cellStyle name="Гиперссылка 2" xfId="36638" hidden="1"/>
    <cellStyle name="Гиперссылка 2" xfId="34758" hidden="1"/>
    <cellStyle name="Гиперссылка 2" xfId="34402" hidden="1"/>
    <cellStyle name="Гиперссылка 2" xfId="36631" hidden="1"/>
    <cellStyle name="Гиперссылка 2" xfId="36748" hidden="1"/>
    <cellStyle name="Гиперссылка 2" xfId="35089" hidden="1"/>
    <cellStyle name="Гиперссылка 2" xfId="36365" hidden="1"/>
    <cellStyle name="Гиперссылка 2" xfId="34675" hidden="1"/>
    <cellStyle name="Гиперссылка 2" xfId="31273" hidden="1"/>
    <cellStyle name="Гиперссылка 2" xfId="35872" hidden="1"/>
    <cellStyle name="Гиперссылка 2" xfId="35705" hidden="1"/>
    <cellStyle name="Гиперссылка 2" xfId="34329" hidden="1"/>
    <cellStyle name="Гиперссылка 2" xfId="31239" hidden="1"/>
    <cellStyle name="Гиперссылка 2" xfId="34855" hidden="1"/>
    <cellStyle name="Гиперссылка 2" xfId="35275" hidden="1"/>
    <cellStyle name="Гиперссылка 2" xfId="36523" hidden="1"/>
    <cellStyle name="Гиперссылка 2" xfId="34343" hidden="1"/>
    <cellStyle name="Гиперссылка 2" xfId="35016" hidden="1"/>
    <cellStyle name="Гиперссылка 2" xfId="36575" hidden="1"/>
    <cellStyle name="Гиперссылка 2" xfId="35067" hidden="1"/>
    <cellStyle name="Гиперссылка 2" xfId="36529" hidden="1"/>
    <cellStyle name="Гиперссылка 2" xfId="36635" hidden="1"/>
    <cellStyle name="Гиперссылка 2" xfId="36525" hidden="1"/>
    <cellStyle name="Гиперссылка 2" xfId="34345" hidden="1"/>
    <cellStyle name="Гиперссылка 2" xfId="36389" hidden="1"/>
    <cellStyle name="Гиперссылка 2" xfId="36179" hidden="1"/>
    <cellStyle name="Гиперссылка 2" xfId="35418" hidden="1"/>
    <cellStyle name="Гиперссылка 2" xfId="36182" hidden="1"/>
    <cellStyle name="Гиперссылка 2" xfId="31261" hidden="1"/>
    <cellStyle name="Гиперссылка 2" xfId="35490" hidden="1"/>
    <cellStyle name="Гиперссылка 2" xfId="36178" hidden="1"/>
    <cellStyle name="Гиперссылка 2" xfId="36798" hidden="1"/>
    <cellStyle name="Гиперссылка 2" xfId="36694" hidden="1"/>
    <cellStyle name="Гиперссылка 2" xfId="34509" hidden="1"/>
    <cellStyle name="Гиперссылка 2" xfId="34672" hidden="1"/>
    <cellStyle name="Гиперссылка 2" xfId="35784" hidden="1"/>
    <cellStyle name="Гиперссылка 2" xfId="34643" hidden="1"/>
    <cellStyle name="Гиперссылка 2" xfId="36646" hidden="1"/>
    <cellStyle name="Гиперссылка 2" xfId="35321" hidden="1"/>
    <cellStyle name="Гиперссылка 2" xfId="35859" hidden="1"/>
    <cellStyle name="Гиперссылка 2" xfId="36252" hidden="1"/>
    <cellStyle name="Гиперссылка 2" xfId="34819" hidden="1"/>
    <cellStyle name="Гиперссылка 2" xfId="35846" hidden="1"/>
    <cellStyle name="Гиперссылка 2" xfId="35716" hidden="1"/>
    <cellStyle name="Гиперссылка 2" xfId="31233" hidden="1"/>
    <cellStyle name="Гиперссылка 2" xfId="36306" hidden="1"/>
    <cellStyle name="Гиперссылка 2" xfId="34866" hidden="1"/>
    <cellStyle name="Гиперссылка 2" xfId="35189" hidden="1"/>
    <cellStyle name="Гиперссылка 2" xfId="35939" hidden="1"/>
    <cellStyle name="Гиперссылка 2" xfId="35981" hidden="1"/>
    <cellStyle name="Гиперссылка 2" xfId="36703" hidden="1"/>
    <cellStyle name="Гиперссылка 2" xfId="36526" hidden="1"/>
    <cellStyle name="Гиперссылка 2" xfId="35278" hidden="1"/>
    <cellStyle name="Гиперссылка 2" xfId="36811" hidden="1"/>
    <cellStyle name="Гиперссылка 2" xfId="36513" hidden="1"/>
    <cellStyle name="Гиперссылка 2" xfId="36656" hidden="1"/>
    <cellStyle name="Гиперссылка 2" xfId="36712" hidden="1"/>
    <cellStyle name="Гиперссылка 2" xfId="34489" hidden="1"/>
    <cellStyle name="Гиперссылка 2" xfId="36184" hidden="1"/>
    <cellStyle name="Гиперссылка 2" xfId="36577" hidden="1"/>
    <cellStyle name="Гиперссылка 2" xfId="34911" hidden="1"/>
    <cellStyle name="Гиперссылка 2" xfId="34287" hidden="1"/>
    <cellStyle name="Гиперссылка 2" xfId="35195" hidden="1"/>
    <cellStyle name="Гиперссылка 2" xfId="34785" hidden="1"/>
    <cellStyle name="Гиперссылка 2" xfId="31279" hidden="1"/>
    <cellStyle name="Гиперссылка 2" xfId="34285" hidden="1"/>
    <cellStyle name="Гиперссылка 2" xfId="34806" hidden="1"/>
    <cellStyle name="Гиперссылка 2" xfId="36248" hidden="1"/>
    <cellStyle name="Гиперссылка 2" xfId="34341" hidden="1"/>
    <cellStyle name="Гиперссылка 2" xfId="36630" hidden="1"/>
    <cellStyle name="Гиперссылка 2" xfId="34860" hidden="1"/>
    <cellStyle name="Гиперссылка 2" xfId="35008" hidden="1"/>
    <cellStyle name="Гиперссылка 2" xfId="35562" hidden="1"/>
    <cellStyle name="Гиперссылка 2" xfId="35105" hidden="1"/>
    <cellStyle name="Гиперссылка 2" xfId="31276" hidden="1"/>
    <cellStyle name="Гиперссылка 2" xfId="36380" hidden="1"/>
    <cellStyle name="Гиперссылка 2" xfId="35320" hidden="1"/>
    <cellStyle name="Гиперссылка 2" xfId="36169" hidden="1"/>
    <cellStyle name="Гиперссылка 2" xfId="35843" hidden="1"/>
    <cellStyle name="Гиперссылка 2" xfId="36750" hidden="1"/>
    <cellStyle name="Гиперссылка 2" xfId="36633" hidden="1"/>
    <cellStyle name="Гиперссылка 2" xfId="36438" hidden="1"/>
    <cellStyle name="Гиперссылка 2" xfId="35633" hidden="1"/>
    <cellStyle name="Гиперссылка 2" xfId="36689" hidden="1"/>
    <cellStyle name="Гиперссылка 2" xfId="36796" hidden="1"/>
    <cellStyle name="Гиперссылка 2" xfId="34524" hidden="1"/>
    <cellStyle name="Гиперссылка 2" xfId="36562" hidden="1"/>
    <cellStyle name="Гиперссылка 2" xfId="35075" hidden="1"/>
    <cellStyle name="Гиперссылка 2" xfId="35199" hidden="1"/>
    <cellStyle name="Гиперссылка 2" xfId="36250" hidden="1"/>
    <cellStyle name="Гиперссылка 2" xfId="35583" hidden="1"/>
    <cellStyle name="Гиперссылка 2" xfId="36696" hidden="1"/>
    <cellStyle name="Гиперссылка 2" xfId="36572" hidden="1"/>
    <cellStyle name="Гиперссылка 2" xfId="36429" hidden="1"/>
    <cellStyle name="Гиперссылка 2" xfId="35069" hidden="1"/>
    <cellStyle name="Гиперссылка 2" xfId="36800" hidden="1"/>
    <cellStyle name="Гиперссылка 2" xfId="31218" hidden="1"/>
    <cellStyle name="Гиперссылка 2" xfId="36698" hidden="1"/>
    <cellStyle name="Гиперссылка 2" xfId="36752" hidden="1"/>
    <cellStyle name="Гиперссылка 2" xfId="37298" hidden="1"/>
    <cellStyle name="Гиперссылка 2" xfId="37299" hidden="1"/>
    <cellStyle name="Гиперссылка 2" xfId="37593" hidden="1"/>
    <cellStyle name="Гиперссылка 2" xfId="37594" hidden="1"/>
    <cellStyle name="Гиперссылка 2" xfId="37455" hidden="1"/>
    <cellStyle name="Гиперссылка 2" xfId="37304" hidden="1"/>
    <cellStyle name="Гиперссылка 2" xfId="37559" hidden="1"/>
    <cellStyle name="Гиперссылка 2" xfId="37558" hidden="1"/>
    <cellStyle name="Гиперссылка 2" xfId="37748" hidden="1"/>
    <cellStyle name="Гиперссылка 2" xfId="37747" hidden="1"/>
    <cellStyle name="Гиперссылка 2" xfId="37781" hidden="1"/>
    <cellStyle name="Гиперссылка 2" xfId="37782" hidden="1"/>
    <cellStyle name="Гиперссылка 2" xfId="37787" hidden="1"/>
    <cellStyle name="Гиперссылка 2" xfId="37788" hidden="1"/>
    <cellStyle name="Гиперссылка 2" xfId="37784" hidden="1"/>
    <cellStyle name="Гиперссылка 2" xfId="37783" hidden="1"/>
    <cellStyle name="Гиперссылка 2" xfId="37786" hidden="1"/>
    <cellStyle name="Гиперссылка 2" xfId="37785" hidden="1"/>
    <cellStyle name="Гиперссылка 2" xfId="37790" hidden="1"/>
    <cellStyle name="Гиперссылка 2" xfId="37789" hidden="1"/>
    <cellStyle name="Гиперссылка 2" xfId="37792" hidden="1"/>
    <cellStyle name="Гиперссылка 2" xfId="37793" hidden="1"/>
    <cellStyle name="Гиперссылка 2" xfId="37798" hidden="1"/>
    <cellStyle name="Гиперссылка 2" xfId="37799" hidden="1"/>
    <cellStyle name="Гиперссылка 2" xfId="37795" hidden="1"/>
    <cellStyle name="Гиперссылка 2" xfId="37794" hidden="1"/>
    <cellStyle name="Гиперссылка 2" xfId="37797" hidden="1"/>
    <cellStyle name="Гиперссылка 2" xfId="37796" hidden="1"/>
    <cellStyle name="Гиперссылка 2" xfId="37801" hidden="1"/>
    <cellStyle name="Гиперссылка 2" xfId="37800" hidden="1"/>
    <cellStyle name="Гиперссылка 2" xfId="37802" hidden="1"/>
    <cellStyle name="Гиперссылка 2" xfId="37803" hidden="1"/>
    <cellStyle name="Гиперссылка 2" xfId="37808" hidden="1"/>
    <cellStyle name="Гиперссылка 2" xfId="37809" hidden="1"/>
    <cellStyle name="Гиперссылка 2" xfId="37805" hidden="1"/>
    <cellStyle name="Гиперссылка 2" xfId="37804" hidden="1"/>
    <cellStyle name="Гиперссылка 2" xfId="37807" hidden="1"/>
    <cellStyle name="Гиперссылка 2" xfId="37806" hidden="1"/>
    <cellStyle name="Гиперссылка 2" xfId="37811" hidden="1"/>
    <cellStyle name="Гиперссылка 2" xfId="37810" hidden="1"/>
    <cellStyle name="Гиперссылка 2" xfId="37922" hidden="1"/>
    <cellStyle name="Гиперссылка 2" xfId="37923" hidden="1"/>
    <cellStyle name="Гиперссылка 2" xfId="38243" hidden="1"/>
    <cellStyle name="Гиперссылка 2" xfId="38244" hidden="1"/>
    <cellStyle name="Гиперссылка 2" xfId="38069" hidden="1"/>
    <cellStyle name="Гиперссылка 2" xfId="37929" hidden="1"/>
    <cellStyle name="Гиперссылка 2" xfId="38201" hidden="1"/>
    <cellStyle name="Гиперссылка 2" xfId="38200" hidden="1"/>
    <cellStyle name="Гиперссылка 2" xfId="38393" hidden="1"/>
    <cellStyle name="Гиперссылка 2" xfId="38392" hidden="1"/>
    <cellStyle name="Гиперссылка 2" xfId="38433" hidden="1"/>
    <cellStyle name="Гиперссылка 2" xfId="38434" hidden="1"/>
    <cellStyle name="Гиперссылка 2" xfId="38440" hidden="1"/>
    <cellStyle name="Гиперссылка 2" xfId="38441" hidden="1"/>
    <cellStyle name="Гиперссылка 2" xfId="38437" hidden="1"/>
    <cellStyle name="Гиперссылка 2" xfId="38436" hidden="1"/>
    <cellStyle name="Гиперссылка 2" xfId="38439" hidden="1"/>
    <cellStyle name="Гиперссылка 2" xfId="38438" hidden="1"/>
    <cellStyle name="Гиперссылка 2" xfId="38443" hidden="1"/>
    <cellStyle name="Гиперссылка 2" xfId="38442" hidden="1"/>
    <cellStyle name="Гиперссылка 2" xfId="38446" hidden="1"/>
    <cellStyle name="Гиперссылка 2" xfId="38447" hidden="1"/>
    <cellStyle name="Гиперссылка 2" xfId="38452" hidden="1"/>
    <cellStyle name="Гиперссылка 2" xfId="38453" hidden="1"/>
    <cellStyle name="Гиперссылка 2" xfId="38449" hidden="1"/>
    <cellStyle name="Гиперссылка 2" xfId="38448" hidden="1"/>
    <cellStyle name="Гиперссылка 2" xfId="38451" hidden="1"/>
    <cellStyle name="Гиперссылка 2" xfId="38450" hidden="1"/>
    <cellStyle name="Гиперссылка 2" xfId="38455" hidden="1"/>
    <cellStyle name="Гиперссылка 2" xfId="38454" hidden="1"/>
    <cellStyle name="Гиперссылка 2" xfId="38456" hidden="1"/>
    <cellStyle name="Гиперссылка 2" xfId="38457" hidden="1"/>
    <cellStyle name="Гиперссылка 2" xfId="38462" hidden="1"/>
    <cellStyle name="Гиперссылка 2" xfId="38463" hidden="1"/>
    <cellStyle name="Гиперссылка 2" xfId="38459" hidden="1"/>
    <cellStyle name="Гиперссылка 2" xfId="38458" hidden="1"/>
    <cellStyle name="Гиперссылка 2" xfId="38461" hidden="1"/>
    <cellStyle name="Гиперссылка 2" xfId="38460" hidden="1"/>
    <cellStyle name="Гиперссылка 2" xfId="38465" hidden="1"/>
    <cellStyle name="Гиперссылка 2" xfId="38464" hidden="1"/>
    <cellStyle name="Гиперссылка 2" xfId="38237" hidden="1"/>
    <cellStyle name="Гиперссылка 2" xfId="38106" hidden="1"/>
    <cellStyle name="Гиперссылка 2" xfId="38259" hidden="1"/>
    <cellStyle name="Гиперссылка 2" xfId="37934" hidden="1"/>
    <cellStyle name="Гиперссылка 2" xfId="38305" hidden="1"/>
    <cellStyle name="Гиперссылка 2" xfId="38418" hidden="1"/>
    <cellStyle name="Гиперссылка 2" xfId="38159" hidden="1"/>
    <cellStyle name="Гиперссылка 2" xfId="38281" hidden="1"/>
    <cellStyle name="Гиперссылка 2" xfId="38589" hidden="1"/>
    <cellStyle name="Гиперссылка 2" xfId="38588" hidden="1"/>
    <cellStyle name="Гиперссылка 2" xfId="38628" hidden="1"/>
    <cellStyle name="Гиперссылка 2" xfId="38629" hidden="1"/>
    <cellStyle name="Гиперссылка 2" xfId="38635" hidden="1"/>
    <cellStyle name="Гиперссылка 2" xfId="38636" hidden="1"/>
    <cellStyle name="Гиперссылка 2" xfId="38632" hidden="1"/>
    <cellStyle name="Гиперссылка 2" xfId="38631" hidden="1"/>
    <cellStyle name="Гиперссылка 2" xfId="38634" hidden="1"/>
    <cellStyle name="Гиперссылка 2" xfId="38633" hidden="1"/>
    <cellStyle name="Гиперссылка 2" xfId="38638" hidden="1"/>
    <cellStyle name="Гиперссылка 2" xfId="38637" hidden="1"/>
    <cellStyle name="Гиперссылка 2" xfId="38641" hidden="1"/>
    <cellStyle name="Гиперссылка 2" xfId="38642" hidden="1"/>
    <cellStyle name="Гиперссылка 2" xfId="38647" hidden="1"/>
    <cellStyle name="Гиперссылка 2" xfId="38648" hidden="1"/>
    <cellStyle name="Гиперссылка 2" xfId="38644" hidden="1"/>
    <cellStyle name="Гиперссылка 2" xfId="38643" hidden="1"/>
    <cellStyle name="Гиперссылка 2" xfId="38646" hidden="1"/>
    <cellStyle name="Гиперссылка 2" xfId="38645" hidden="1"/>
    <cellStyle name="Гиперссылка 2" xfId="38650" hidden="1"/>
    <cellStyle name="Гиперссылка 2" xfId="38649" hidden="1"/>
    <cellStyle name="Гиперссылка 2" xfId="38651" hidden="1"/>
    <cellStyle name="Гиперссылка 2" xfId="38652" hidden="1"/>
    <cellStyle name="Гиперссылка 2" xfId="38657" hidden="1"/>
    <cellStyle name="Гиперссылка 2" xfId="38658" hidden="1"/>
    <cellStyle name="Гиперссылка 2" xfId="38654" hidden="1"/>
    <cellStyle name="Гиперссылка 2" xfId="38653" hidden="1"/>
    <cellStyle name="Гиперссылка 2" xfId="38656" hidden="1"/>
    <cellStyle name="Гиперссылка 2" xfId="38655" hidden="1"/>
    <cellStyle name="Гиперссылка 2" xfId="38660" hidden="1"/>
    <cellStyle name="Гиперссылка 2" xfId="38659" hidden="1"/>
    <cellStyle name="Гиперссылка 2" xfId="38282" hidden="1"/>
    <cellStyle name="Гиперссылка 2" xfId="37153" hidden="1"/>
    <cellStyle name="Гиперссылка 2" xfId="37196" hidden="1"/>
    <cellStyle name="Гиперссылка 2" xfId="38071" hidden="1"/>
    <cellStyle name="Гиперссылка 2" xfId="38501" hidden="1"/>
    <cellStyle name="Гиперссылка 2" xfId="38614" hidden="1"/>
    <cellStyle name="Гиперссылка 2" xfId="38231" hidden="1"/>
    <cellStyle name="Гиперссылка 2" xfId="38477" hidden="1"/>
    <cellStyle name="Гиперссылка 2" xfId="38782" hidden="1"/>
    <cellStyle name="Гиперссылка 2" xfId="38781" hidden="1"/>
    <cellStyle name="Гиперссылка 2" xfId="38821" hidden="1"/>
    <cellStyle name="Гиперссылка 2" xfId="38822" hidden="1"/>
    <cellStyle name="Гиперссылка 2" xfId="38828" hidden="1"/>
    <cellStyle name="Гиперссылка 2" xfId="38829" hidden="1"/>
    <cellStyle name="Гиперссылка 2" xfId="38825" hidden="1"/>
    <cellStyle name="Гиперссылка 2" xfId="38824" hidden="1"/>
    <cellStyle name="Гиперссылка 2" xfId="38827" hidden="1"/>
    <cellStyle name="Гиперссылка 2" xfId="38826" hidden="1"/>
    <cellStyle name="Гиперссылка 2" xfId="38831" hidden="1"/>
    <cellStyle name="Гиперссылка 2" xfId="38830" hidden="1"/>
    <cellStyle name="Гиперссылка 2" xfId="38834" hidden="1"/>
    <cellStyle name="Гиперссылка 2" xfId="38835" hidden="1"/>
    <cellStyle name="Гиперссылка 2" xfId="38840" hidden="1"/>
    <cellStyle name="Гиперссылка 2" xfId="38841" hidden="1"/>
    <cellStyle name="Гиперссылка 2" xfId="38837" hidden="1"/>
    <cellStyle name="Гиперссылка 2" xfId="38836" hidden="1"/>
    <cellStyle name="Гиперссылка 2" xfId="38839" hidden="1"/>
    <cellStyle name="Гиперссылка 2" xfId="38838" hidden="1"/>
    <cellStyle name="Гиперссылка 2" xfId="38843" hidden="1"/>
    <cellStyle name="Гиперссылка 2" xfId="38842" hidden="1"/>
    <cellStyle name="Гиперссылка 2" xfId="38844" hidden="1"/>
    <cellStyle name="Гиперссылка 2" xfId="38845" hidden="1"/>
    <cellStyle name="Гиперссылка 2" xfId="38850" hidden="1"/>
    <cellStyle name="Гиперссылка 2" xfId="38851" hidden="1"/>
    <cellStyle name="Гиперссылка 2" xfId="38847" hidden="1"/>
    <cellStyle name="Гиперссылка 2" xfId="38846" hidden="1"/>
    <cellStyle name="Гиперссылка 2" xfId="38849" hidden="1"/>
    <cellStyle name="Гиперссылка 2" xfId="38848" hidden="1"/>
    <cellStyle name="Гиперссылка 2" xfId="38853" hidden="1"/>
    <cellStyle name="Гиперссылка 2" xfId="38852" hidden="1"/>
    <cellStyle name="Гиперссылка 2" xfId="38478" hidden="1"/>
    <cellStyle name="Гиперссылка 2" xfId="37210" hidden="1"/>
    <cellStyle name="Гиперссылка 2" xfId="38081" hidden="1"/>
    <cellStyle name="Гиперссылка 2" xfId="37221" hidden="1"/>
    <cellStyle name="Гиперссылка 2" xfId="38695" hidden="1"/>
    <cellStyle name="Гиперссылка 2" xfId="38807" hidden="1"/>
    <cellStyle name="Гиперссылка 2" xfId="38130" hidden="1"/>
    <cellStyle name="Гиперссылка 2" xfId="38672" hidden="1"/>
    <cellStyle name="Гиперссылка 2" xfId="38972" hidden="1"/>
    <cellStyle name="Гиперссылка 2" xfId="38971" hidden="1"/>
    <cellStyle name="Гиперссылка 2" xfId="39011" hidden="1"/>
    <cellStyle name="Гиперссылка 2" xfId="39012" hidden="1"/>
    <cellStyle name="Гиперссылка 2" xfId="39018" hidden="1"/>
    <cellStyle name="Гиперссылка 2" xfId="39019" hidden="1"/>
    <cellStyle name="Гиперссылка 2" xfId="39015" hidden="1"/>
    <cellStyle name="Гиперссылка 2" xfId="39014" hidden="1"/>
    <cellStyle name="Гиперссылка 2" xfId="39017" hidden="1"/>
    <cellStyle name="Гиперссылка 2" xfId="39016" hidden="1"/>
    <cellStyle name="Гиперссылка 2" xfId="39021" hidden="1"/>
    <cellStyle name="Гиперссылка 2" xfId="39020" hidden="1"/>
    <cellStyle name="Гиперссылка 2" xfId="39024" hidden="1"/>
    <cellStyle name="Гиперссылка 2" xfId="39025" hidden="1"/>
    <cellStyle name="Гиперссылка 2" xfId="39030" hidden="1"/>
    <cellStyle name="Гиперссылка 2" xfId="39031" hidden="1"/>
    <cellStyle name="Гиперссылка 2" xfId="39027" hidden="1"/>
    <cellStyle name="Гиперссылка 2" xfId="39026" hidden="1"/>
    <cellStyle name="Гиперссылка 2" xfId="39029" hidden="1"/>
    <cellStyle name="Гиперссылка 2" xfId="39028" hidden="1"/>
    <cellStyle name="Гиперссылка 2" xfId="39033" hidden="1"/>
    <cellStyle name="Гиперссылка 2" xfId="39032" hidden="1"/>
    <cellStyle name="Гиперссылка 2" xfId="39034" hidden="1"/>
    <cellStyle name="Гиперссылка 2" xfId="39035" hidden="1"/>
    <cellStyle name="Гиперссылка 2" xfId="39040" hidden="1"/>
    <cellStyle name="Гиперссылка 2" xfId="39041" hidden="1"/>
    <cellStyle name="Гиперссылка 2" xfId="39037" hidden="1"/>
    <cellStyle name="Гиперссылка 2" xfId="39036" hidden="1"/>
    <cellStyle name="Гиперссылка 2" xfId="39039" hidden="1"/>
    <cellStyle name="Гиперссылка 2" xfId="39038" hidden="1"/>
    <cellStyle name="Гиперссылка 2" xfId="39043" hidden="1"/>
    <cellStyle name="Гиперссылка 2" xfId="39042" hidden="1"/>
    <cellStyle name="Гиперссылка 2" xfId="38673" hidden="1"/>
    <cellStyle name="Гиперссылка 2" xfId="38097" hidden="1"/>
    <cellStyle name="Гиперссылка 2" xfId="37897" hidden="1"/>
    <cellStyle name="Гиперссылка 2" xfId="38080" hidden="1"/>
    <cellStyle name="Гиперссылка 2" xfId="38887" hidden="1"/>
    <cellStyle name="Гиперссылка 2" xfId="38997" hidden="1"/>
    <cellStyle name="Гиперссылка 2" xfId="37893" hidden="1"/>
    <cellStyle name="Гиперссылка 2" xfId="38865" hidden="1"/>
    <cellStyle name="Гиперссылка 2" xfId="39155" hidden="1"/>
    <cellStyle name="Гиперссылка 2" xfId="39154" hidden="1"/>
    <cellStyle name="Гиперссылка 2" xfId="39192" hidden="1"/>
    <cellStyle name="Гиперссылка 2" xfId="39193" hidden="1"/>
    <cellStyle name="Гиперссылка 2" xfId="39199" hidden="1"/>
    <cellStyle name="Гиперссылка 2" xfId="39200" hidden="1"/>
    <cellStyle name="Гиперссылка 2" xfId="39196" hidden="1"/>
    <cellStyle name="Гиперссылка 2" xfId="39195" hidden="1"/>
    <cellStyle name="Гиперссылка 2" xfId="39198" hidden="1"/>
    <cellStyle name="Гиперссылка 2" xfId="39197" hidden="1"/>
    <cellStyle name="Гиперссылка 2" xfId="39202" hidden="1"/>
    <cellStyle name="Гиперссылка 2" xfId="39201" hidden="1"/>
    <cellStyle name="Гиперссылка 2" xfId="39205" hidden="1"/>
    <cellStyle name="Гиперссылка 2" xfId="39206" hidden="1"/>
    <cellStyle name="Гиперссылка 2" xfId="39211" hidden="1"/>
    <cellStyle name="Гиперссылка 2" xfId="39212" hidden="1"/>
    <cellStyle name="Гиперссылка 2" xfId="39208" hidden="1"/>
    <cellStyle name="Гиперссылка 2" xfId="39207" hidden="1"/>
    <cellStyle name="Гиперссылка 2" xfId="39210" hidden="1"/>
    <cellStyle name="Гиперссылка 2" xfId="39209" hidden="1"/>
    <cellStyle name="Гиперссылка 2" xfId="39214" hidden="1"/>
    <cellStyle name="Гиперссылка 2" xfId="39213" hidden="1"/>
    <cellStyle name="Гиперссылка 2" xfId="39215" hidden="1"/>
    <cellStyle name="Гиперссылка 2" xfId="39216" hidden="1"/>
    <cellStyle name="Гиперссылка 2" xfId="39221" hidden="1"/>
    <cellStyle name="Гиперссылка 2" xfId="39222" hidden="1"/>
    <cellStyle name="Гиперссылка 2" xfId="39218" hidden="1"/>
    <cellStyle name="Гиперссылка 2" xfId="39217" hidden="1"/>
    <cellStyle name="Гиперссылка 2" xfId="39220" hidden="1"/>
    <cellStyle name="Гиперссылка 2" xfId="39219" hidden="1"/>
    <cellStyle name="Гиперссылка 2" xfId="39224" hidden="1"/>
    <cellStyle name="Гиперссылка 2" xfId="39223" hidden="1"/>
    <cellStyle name="Гиперссылка 2" xfId="38866" hidden="1"/>
    <cellStyle name="Гиперссылка 2" xfId="38173" hidden="1"/>
    <cellStyle name="Гиперссылка 2" xfId="38299" hidden="1"/>
    <cellStyle name="Гиперссылка 2" xfId="37910" hidden="1"/>
    <cellStyle name="Гиперссылка 2" xfId="39075" hidden="1"/>
    <cellStyle name="Гиперссылка 2" xfId="39179" hidden="1"/>
    <cellStyle name="Гиперссылка 2" xfId="38344" hidden="1"/>
    <cellStyle name="Гиперссылка 2" xfId="39055" hidden="1"/>
    <cellStyle name="Гиперссылка 2" xfId="39330" hidden="1"/>
    <cellStyle name="Гиперссылка 2" xfId="39329" hidden="1"/>
    <cellStyle name="Гиперссылка 2" xfId="39365" hidden="1"/>
    <cellStyle name="Гиперссылка 2" xfId="39366" hidden="1"/>
    <cellStyle name="Гиперссылка 2" xfId="39372" hidden="1"/>
    <cellStyle name="Гиперссылка 2" xfId="39373" hidden="1"/>
    <cellStyle name="Гиперссылка 2" xfId="39369" hidden="1"/>
    <cellStyle name="Гиперссылка 2" xfId="39368" hidden="1"/>
    <cellStyle name="Гиперссылка 2" xfId="39371" hidden="1"/>
    <cellStyle name="Гиперссылка 2" xfId="39370" hidden="1"/>
    <cellStyle name="Гиперссылка 2" xfId="39375" hidden="1"/>
    <cellStyle name="Гиперссылка 2" xfId="39374" hidden="1"/>
    <cellStyle name="Гиперссылка 2" xfId="39378" hidden="1"/>
    <cellStyle name="Гиперссылка 2" xfId="39379" hidden="1"/>
    <cellStyle name="Гиперссылка 2" xfId="39384" hidden="1"/>
    <cellStyle name="Гиперссылка 2" xfId="39385" hidden="1"/>
    <cellStyle name="Гиперссылка 2" xfId="39381" hidden="1"/>
    <cellStyle name="Гиперссылка 2" xfId="39380" hidden="1"/>
    <cellStyle name="Гиперссылка 2" xfId="39383" hidden="1"/>
    <cellStyle name="Гиперссылка 2" xfId="39382" hidden="1"/>
    <cellStyle name="Гиперссылка 2" xfId="39387" hidden="1"/>
    <cellStyle name="Гиперссылка 2" xfId="39386" hidden="1"/>
    <cellStyle name="Гиперссылка 2" xfId="39388" hidden="1"/>
    <cellStyle name="Гиперссылка 2" xfId="39389" hidden="1"/>
    <cellStyle name="Гиперссылка 2" xfId="39394" hidden="1"/>
    <cellStyle name="Гиперссылка 2" xfId="39395" hidden="1"/>
    <cellStyle name="Гиперссылка 2" xfId="39391" hidden="1"/>
    <cellStyle name="Гиперссылка 2" xfId="39390" hidden="1"/>
    <cellStyle name="Гиперссылка 2" xfId="39393" hidden="1"/>
    <cellStyle name="Гиперссылка 2" xfId="39392" hidden="1"/>
    <cellStyle name="Гиперссылка 2" xfId="39397" hidden="1"/>
    <cellStyle name="Гиперссылка 2" xfId="39396" hidden="1"/>
    <cellStyle name="Гиперссылка 2" xfId="39056" hidden="1"/>
    <cellStyle name="Гиперссылка 2" xfId="37266" hidden="1"/>
    <cellStyle name="Гиперссылка 2" xfId="38495" hidden="1"/>
    <cellStyle name="Гиперссылка 2" xfId="37930" hidden="1"/>
    <cellStyle name="Гиперссылка 2" xfId="39255" hidden="1"/>
    <cellStyle name="Гиперссылка 2" xfId="39353" hidden="1"/>
    <cellStyle name="Гиперссылка 2" xfId="38540" hidden="1"/>
    <cellStyle name="Гиперссылка 2" xfId="39236" hidden="1"/>
    <cellStyle name="Гиперссылка 2" xfId="39496" hidden="1"/>
    <cellStyle name="Гиперссылка 2" xfId="39495" hidden="1"/>
    <cellStyle name="Гиперссылка 2" xfId="39526" hidden="1"/>
    <cellStyle name="Гиперссылка 2" xfId="39527" hidden="1"/>
    <cellStyle name="Гиперссылка 2" xfId="39533" hidden="1"/>
    <cellStyle name="Гиперссылка 2" xfId="39534" hidden="1"/>
    <cellStyle name="Гиперссылка 2" xfId="39530" hidden="1"/>
    <cellStyle name="Гиперссылка 2" xfId="39529" hidden="1"/>
    <cellStyle name="Гиперссылка 2" xfId="39532" hidden="1"/>
    <cellStyle name="Гиперссылка 2" xfId="39531" hidden="1"/>
    <cellStyle name="Гиперссылка 2" xfId="39536" hidden="1"/>
    <cellStyle name="Гиперссылка 2" xfId="39535" hidden="1"/>
    <cellStyle name="Гиперссылка 2" xfId="39539" hidden="1"/>
    <cellStyle name="Гиперссылка 2" xfId="39540" hidden="1"/>
    <cellStyle name="Гиперссылка 2" xfId="39545" hidden="1"/>
    <cellStyle name="Гиперссылка 2" xfId="39546" hidden="1"/>
    <cellStyle name="Гиперссылка 2" xfId="39542" hidden="1"/>
    <cellStyle name="Гиперссылка 2" xfId="39541" hidden="1"/>
    <cellStyle name="Гиперссылка 2" xfId="39544" hidden="1"/>
    <cellStyle name="Гиперссылка 2" xfId="39543" hidden="1"/>
    <cellStyle name="Гиперссылка 2" xfId="39548" hidden="1"/>
    <cellStyle name="Гиперссылка 2" xfId="39547" hidden="1"/>
    <cellStyle name="Гиперссылка 2" xfId="39549" hidden="1"/>
    <cellStyle name="Гиперссылка 2" xfId="39550" hidden="1"/>
    <cellStyle name="Гиперссылка 2" xfId="39555" hidden="1"/>
    <cellStyle name="Гиперссылка 2" xfId="39556" hidden="1"/>
    <cellStyle name="Гиперссылка 2" xfId="39552" hidden="1"/>
    <cellStyle name="Гиперссылка 2" xfId="39551" hidden="1"/>
    <cellStyle name="Гиперссылка 2" xfId="39554" hidden="1"/>
    <cellStyle name="Гиперссылка 2" xfId="39553" hidden="1"/>
    <cellStyle name="Гиперссылка 2" xfId="39558" hidden="1"/>
    <cellStyle name="Гиперссылка 2" xfId="39557" hidden="1"/>
    <cellStyle name="Гиперссылка 2" xfId="39237" hidden="1"/>
    <cellStyle name="Гиперссылка 2" xfId="37877" hidden="1"/>
    <cellStyle name="Гиперссылка 2" xfId="38689" hidden="1"/>
    <cellStyle name="Гиперссылка 2" xfId="38367" hidden="1"/>
    <cellStyle name="Гиперссылка 2" xfId="39427" hidden="1"/>
    <cellStyle name="Гиперссылка 2" xfId="39516" hidden="1"/>
    <cellStyle name="Гиперссылка 2" xfId="38733" hidden="1"/>
    <cellStyle name="Гиперссылка 2" xfId="39408" hidden="1"/>
    <cellStyle name="Гиперссылка 2" xfId="39645" hidden="1"/>
    <cellStyle name="Гиперссылка 2" xfId="39644" hidden="1"/>
    <cellStyle name="Гиперссылка 2" xfId="39674" hidden="1"/>
    <cellStyle name="Гиперссылка 2" xfId="39675" hidden="1"/>
    <cellStyle name="Гиперссылка 2" xfId="39681" hidden="1"/>
    <cellStyle name="Гиперссылка 2" xfId="39682" hidden="1"/>
    <cellStyle name="Гиперссылка 2" xfId="39678" hidden="1"/>
    <cellStyle name="Гиперссылка 2" xfId="39677" hidden="1"/>
    <cellStyle name="Гиперссылка 2" xfId="39680" hidden="1"/>
    <cellStyle name="Гиперссылка 2" xfId="39679" hidden="1"/>
    <cellStyle name="Гиперссылка 2" xfId="39684" hidden="1"/>
    <cellStyle name="Гиперссылка 2" xfId="39683" hidden="1"/>
    <cellStyle name="Гиперссылка 2" xfId="39687" hidden="1"/>
    <cellStyle name="Гиперссылка 2" xfId="39688" hidden="1"/>
    <cellStyle name="Гиперссылка 2" xfId="39693" hidden="1"/>
    <cellStyle name="Гиперссылка 2" xfId="39694" hidden="1"/>
    <cellStyle name="Гиперссылка 2" xfId="39690" hidden="1"/>
    <cellStyle name="Гиперссылка 2" xfId="39689" hidden="1"/>
    <cellStyle name="Гиперссылка 2" xfId="39692" hidden="1"/>
    <cellStyle name="Гиперссылка 2" xfId="39691" hidden="1"/>
    <cellStyle name="Гиперссылка 2" xfId="39696" hidden="1"/>
    <cellStyle name="Гиперссылка 2" xfId="39695" hidden="1"/>
    <cellStyle name="Гиперссылка 2" xfId="39697" hidden="1"/>
    <cellStyle name="Гиперссылка 2" xfId="39698" hidden="1"/>
    <cellStyle name="Гиперссылка 2" xfId="39703" hidden="1"/>
    <cellStyle name="Гиперссылка 2" xfId="39704" hidden="1"/>
    <cellStyle name="Гиперссылка 2" xfId="39700" hidden="1"/>
    <cellStyle name="Гиперссылка 2" xfId="39699" hidden="1"/>
    <cellStyle name="Гиперссылка 2" xfId="39702" hidden="1"/>
    <cellStyle name="Гиперссылка 2" xfId="39701" hidden="1"/>
    <cellStyle name="Гиперссылка 2" xfId="39706" hidden="1"/>
    <cellStyle name="Гиперссылка 2" xfId="39705" hidden="1"/>
    <cellStyle name="Гиперссылка 2" xfId="39409" hidden="1"/>
    <cellStyle name="Гиперссылка 2" xfId="38318" hidden="1"/>
    <cellStyle name="Гиперссылка 2" xfId="38881" hidden="1"/>
    <cellStyle name="Гиперссылка 2" xfId="38563" hidden="1"/>
    <cellStyle name="Гиперссылка 2" xfId="39583" hidden="1"/>
    <cellStyle name="Гиперссылка 2" xfId="39664" hidden="1"/>
    <cellStyle name="Гиперссылка 2" xfId="38924" hidden="1"/>
    <cellStyle name="Гиперссылка 2" xfId="39568" hidden="1"/>
    <cellStyle name="Гиперссылка 2" xfId="39782" hidden="1"/>
    <cellStyle name="Гиперссылка 2" xfId="39781" hidden="1"/>
    <cellStyle name="Гиперссылка 2" xfId="39808" hidden="1"/>
    <cellStyle name="Гиперссылка 2" xfId="39809" hidden="1"/>
    <cellStyle name="Гиперссылка 2" xfId="39815" hidden="1"/>
    <cellStyle name="Гиперссылка 2" xfId="39816" hidden="1"/>
    <cellStyle name="Гиперссылка 2" xfId="39812" hidden="1"/>
    <cellStyle name="Гиперссылка 2" xfId="39811" hidden="1"/>
    <cellStyle name="Гиперссылка 2" xfId="39814" hidden="1"/>
    <cellStyle name="Гиперссылка 2" xfId="39813" hidden="1"/>
    <cellStyle name="Гиперссылка 2" xfId="39818" hidden="1"/>
    <cellStyle name="Гиперссылка 2" xfId="39817" hidden="1"/>
    <cellStyle name="Гиперссылка 2" xfId="39820" hidden="1"/>
    <cellStyle name="Гиперссылка 2" xfId="39821" hidden="1"/>
    <cellStyle name="Гиперссылка 2" xfId="39826" hidden="1"/>
    <cellStyle name="Гиперссылка 2" xfId="39827" hidden="1"/>
    <cellStyle name="Гиперссылка 2" xfId="39823" hidden="1"/>
    <cellStyle name="Гиперссылка 2" xfId="39822" hidden="1"/>
    <cellStyle name="Гиперссылка 2" xfId="39825" hidden="1"/>
    <cellStyle name="Гиперссылка 2" xfId="39824" hidden="1"/>
    <cellStyle name="Гиперссылка 2" xfId="39829" hidden="1"/>
    <cellStyle name="Гиперссылка 2" xfId="39828" hidden="1"/>
    <cellStyle name="Гиперссылка 2" xfId="39830" hidden="1"/>
    <cellStyle name="Гиперссылка 2" xfId="39831" hidden="1"/>
    <cellStyle name="Гиперссылка 2" xfId="39836" hidden="1"/>
    <cellStyle name="Гиперссылка 2" xfId="39837" hidden="1"/>
    <cellStyle name="Гиперссылка 2" xfId="39833" hidden="1"/>
    <cellStyle name="Гиперссылка 2" xfId="39832" hidden="1"/>
    <cellStyle name="Гиперссылка 2" xfId="39835" hidden="1"/>
    <cellStyle name="Гиперссылка 2" xfId="39834" hidden="1"/>
    <cellStyle name="Гиперссылка 2" xfId="39839" hidden="1"/>
    <cellStyle name="Гиперссылка 2" xfId="39838" hidden="1"/>
    <cellStyle name="Гиперссылка 2" xfId="39569" hidden="1"/>
    <cellStyle name="Гиперссылка 2" xfId="38514" hidden="1"/>
    <cellStyle name="Гиперссылка 2" xfId="39069" hidden="1"/>
    <cellStyle name="Гиперссылка 2" xfId="38756" hidden="1"/>
    <cellStyle name="Гиперссылка 2" xfId="39728" hidden="1"/>
    <cellStyle name="Гиперссылка 2" xfId="39799" hidden="1"/>
    <cellStyle name="Гиперссылка 2" xfId="39110" hidden="1"/>
    <cellStyle name="Гиперссылка 2" xfId="39715" hidden="1"/>
    <cellStyle name="Гиперссылка 2" xfId="39902" hidden="1"/>
    <cellStyle name="Гиперссылка 2" xfId="39901" hidden="1"/>
    <cellStyle name="Гиперссылка 2" xfId="39925" hidden="1"/>
    <cellStyle name="Гиперссылка 2" xfId="39926" hidden="1"/>
    <cellStyle name="Гиперссылка 2" xfId="39932" hidden="1"/>
    <cellStyle name="Гиперссылка 2" xfId="39933" hidden="1"/>
    <cellStyle name="Гиперссылка 2" xfId="39929" hidden="1"/>
    <cellStyle name="Гиперссылка 2" xfId="39928" hidden="1"/>
    <cellStyle name="Гиперссылка 2" xfId="39931" hidden="1"/>
    <cellStyle name="Гиперссылка 2" xfId="39930" hidden="1"/>
    <cellStyle name="Гиперссылка 2" xfId="39935" hidden="1"/>
    <cellStyle name="Гиперссылка 2" xfId="39934" hidden="1"/>
    <cellStyle name="Гиперссылка 2" xfId="39937" hidden="1"/>
    <cellStyle name="Гиперссылка 2" xfId="39938" hidden="1"/>
    <cellStyle name="Гиперссылка 2" xfId="39943" hidden="1"/>
    <cellStyle name="Гиперссылка 2" xfId="39944" hidden="1"/>
    <cellStyle name="Гиперссылка 2" xfId="39940" hidden="1"/>
    <cellStyle name="Гиперссылка 2" xfId="39939" hidden="1"/>
    <cellStyle name="Гиперссылка 2" xfId="39942" hidden="1"/>
    <cellStyle name="Гиперссылка 2" xfId="39941" hidden="1"/>
    <cellStyle name="Гиперссылка 2" xfId="39946" hidden="1"/>
    <cellStyle name="Гиперссылка 2" xfId="39945" hidden="1"/>
    <cellStyle name="Гиперссылка 2" xfId="39947" hidden="1"/>
    <cellStyle name="Гиперссылка 2" xfId="39948" hidden="1"/>
    <cellStyle name="Гиперссылка 2" xfId="39953" hidden="1"/>
    <cellStyle name="Гиперссылка 2" xfId="39954" hidden="1"/>
    <cellStyle name="Гиперссылка 2" xfId="39950" hidden="1"/>
    <cellStyle name="Гиперссылка 2" xfId="39949" hidden="1"/>
    <cellStyle name="Гиперссылка 2" xfId="39952" hidden="1"/>
    <cellStyle name="Гиперссылка 2" xfId="39951" hidden="1"/>
    <cellStyle name="Гиперссылка 2" xfId="39956" hidden="1"/>
    <cellStyle name="Гиперссылка 2" xfId="39955" hidden="1"/>
    <cellStyle name="Гиперссылка 2" xfId="39716" hidden="1"/>
    <cellStyle name="Гиперссылка 2" xfId="38707" hidden="1"/>
    <cellStyle name="Гиперссылка 2" xfId="39250" hidden="1"/>
    <cellStyle name="Гиперссылка 2" xfId="38946" hidden="1"/>
    <cellStyle name="Гиперссылка 2" xfId="39856" hidden="1"/>
    <cellStyle name="Гиперссылка 2" xfId="39918" hidden="1"/>
    <cellStyle name="Гиперссылка 2" xfId="39288" hidden="1"/>
    <cellStyle name="Гиперссылка 2" xfId="39846" hidden="1"/>
    <cellStyle name="Гиперссылка 2" xfId="39997" hidden="1"/>
    <cellStyle name="Гиперссылка 2" xfId="39996" hidden="1"/>
    <cellStyle name="Гиперссылка 2" xfId="40012" hidden="1"/>
    <cellStyle name="Гиперссылка 2" xfId="40013" hidden="1"/>
    <cellStyle name="Гиперссылка 2" xfId="40019" hidden="1"/>
    <cellStyle name="Гиперссылка 2" xfId="40020" hidden="1"/>
    <cellStyle name="Гиперссылка 2" xfId="40016" hidden="1"/>
    <cellStyle name="Гиперссылка 2" xfId="40015" hidden="1"/>
    <cellStyle name="Гиперссылка 2" xfId="40018" hidden="1"/>
    <cellStyle name="Гиперссылка 2" xfId="40017" hidden="1"/>
    <cellStyle name="Гиперссылка 2" xfId="40022" hidden="1"/>
    <cellStyle name="Гиперссылка 2" xfId="40021" hidden="1"/>
    <cellStyle name="Гиперссылка 2" xfId="40023" hidden="1"/>
    <cellStyle name="Гиперссылка 2" xfId="40024" hidden="1"/>
    <cellStyle name="Гиперссылка 2" xfId="40029" hidden="1"/>
    <cellStyle name="Гиперссылка 2" xfId="40030" hidden="1"/>
    <cellStyle name="Гиперссылка 2" xfId="40026" hidden="1"/>
    <cellStyle name="Гиперссылка 2" xfId="40025" hidden="1"/>
    <cellStyle name="Гиперссылка 2" xfId="40028" hidden="1"/>
    <cellStyle name="Гиперссылка 2" xfId="40027" hidden="1"/>
    <cellStyle name="Гиперссылка 2" xfId="40032" hidden="1"/>
    <cellStyle name="Гиперссылка 2" xfId="40031" hidden="1"/>
    <cellStyle name="Гиперссылка 2" xfId="40033" hidden="1"/>
    <cellStyle name="Гиперссылка 2" xfId="40034" hidden="1"/>
    <cellStyle name="Гиперссылка 2" xfId="40039" hidden="1"/>
    <cellStyle name="Гиперссылка 2" xfId="40040" hidden="1"/>
    <cellStyle name="Гиперссылка 2" xfId="40036" hidden="1"/>
    <cellStyle name="Гиперссылка 2" xfId="40035" hidden="1"/>
    <cellStyle name="Гиперссылка 2" xfId="40038" hidden="1"/>
    <cellStyle name="Гиперссылка 2" xfId="40037" hidden="1"/>
    <cellStyle name="Гиперссылка 2" xfId="40042" hidden="1"/>
    <cellStyle name="Гиперссылка 2" xfId="40041" hidden="1"/>
    <cellStyle name="Гиперссылка 2" xfId="39847" hidden="1"/>
    <cellStyle name="Гиперссылка 2" xfId="38899" hidden="1"/>
    <cellStyle name="Гиперссылка 2" xfId="39422" hidden="1"/>
    <cellStyle name="Гиперссылка 2" xfId="39130" hidden="1"/>
    <cellStyle name="Гиперссылка 2" xfId="39964" hidden="1"/>
    <cellStyle name="Гиперссылка 2" xfId="40009" hidden="1"/>
    <cellStyle name="Гиперссылка 2" xfId="39457" hidden="1"/>
    <cellStyle name="Гиперссылка 2" xfId="39960" hidden="1"/>
    <cellStyle name="Гиперссылка 2" xfId="40044" hidden="1"/>
    <cellStyle name="Гиперссылка 2" xfId="40043" hidden="1"/>
    <cellStyle name="Гиперссылка 2" xfId="40045" hidden="1"/>
    <cellStyle name="Гиперссылка 2" xfId="40046" hidden="1"/>
    <cellStyle name="Гиперссылка 2" xfId="40051" hidden="1"/>
    <cellStyle name="Гиперссылка 2" xfId="40052" hidden="1"/>
    <cellStyle name="Гиперссылка 2" xfId="40048" hidden="1"/>
    <cellStyle name="Гиперссылка 2" xfId="40047" hidden="1"/>
    <cellStyle name="Гиперссылка 2" xfId="40050" hidden="1"/>
    <cellStyle name="Гиперссылка 2" xfId="40049" hidden="1"/>
    <cellStyle name="Гиперссылка 2" xfId="40054" hidden="1"/>
    <cellStyle name="Гиперссылка 2" xfId="40053" hidden="1"/>
    <cellStyle name="Гиперссылка 2" xfId="40055" hidden="1"/>
    <cellStyle name="Гиперссылка 2" xfId="40056" hidden="1"/>
    <cellStyle name="Гиперссылка 2" xfId="40061" hidden="1"/>
    <cellStyle name="Гиперссылка 2" xfId="40062" hidden="1"/>
    <cellStyle name="Гиперссылка 2" xfId="40058" hidden="1"/>
    <cellStyle name="Гиперссылка 2" xfId="40057" hidden="1"/>
    <cellStyle name="Гиперссылка 2" xfId="40060" hidden="1"/>
    <cellStyle name="Гиперссылка 2" xfId="40059" hidden="1"/>
    <cellStyle name="Гиперссылка 2" xfId="40064" hidden="1"/>
    <cellStyle name="Гиперссылка 2" xfId="40063" hidden="1"/>
    <cellStyle name="Гиперссылка 2" xfId="40065" hidden="1"/>
    <cellStyle name="Гиперссылка 2" xfId="40066" hidden="1"/>
    <cellStyle name="Гиперссылка 2" xfId="40071" hidden="1"/>
    <cellStyle name="Гиперссылка 2" xfId="40072" hidden="1"/>
    <cellStyle name="Гиперссылка 2" xfId="40068" hidden="1"/>
    <cellStyle name="Гиперссылка 2" xfId="40067" hidden="1"/>
    <cellStyle name="Гиперссылка 2" xfId="40070" hidden="1"/>
    <cellStyle name="Гиперссылка 2" xfId="40069" hidden="1"/>
    <cellStyle name="Гиперссылка 2" xfId="40074" hidden="1"/>
    <cellStyle name="Гиперссылка 2" xfId="40073" hidden="1"/>
    <cellStyle name="Гиперссылка 2" xfId="40153" hidden="1"/>
    <cellStyle name="Гиперссылка 2" xfId="40154" hidden="1"/>
    <cellStyle name="Гиперссылка 2" xfId="40289" hidden="1"/>
    <cellStyle name="Гиперссылка 2" xfId="40290" hidden="1"/>
    <cellStyle name="Гиперссылка 2" xfId="40211" hidden="1"/>
    <cellStyle name="Гиперссылка 2" xfId="40157" hidden="1"/>
    <cellStyle name="Гиперссылка 2" xfId="40270" hidden="1"/>
    <cellStyle name="Гиперссылка 2" xfId="40269" hidden="1"/>
    <cellStyle name="Гиперссылка 2" xfId="40345" hidden="1"/>
    <cellStyle name="Гиперссылка 2" xfId="40344" hidden="1"/>
    <cellStyle name="Гиперссылка 2" xfId="40360" hidden="1"/>
    <cellStyle name="Гиперссылка 2" xfId="40361" hidden="1"/>
    <cellStyle name="Гиперссылка 2" xfId="40367" hidden="1"/>
    <cellStyle name="Гиперссылка 2" xfId="40368" hidden="1"/>
    <cellStyle name="Гиперссылка 2" xfId="40364" hidden="1"/>
    <cellStyle name="Гиперссылка 2" xfId="40363" hidden="1"/>
    <cellStyle name="Гиперссылка 2" xfId="40366" hidden="1"/>
    <cellStyle name="Гиперссылка 2" xfId="40365" hidden="1"/>
    <cellStyle name="Гиперссылка 2" xfId="40370" hidden="1"/>
    <cellStyle name="Гиперссылка 2" xfId="40369" hidden="1"/>
    <cellStyle name="Гиперссылка 2" xfId="40371" hidden="1"/>
    <cellStyle name="Гиперссылка 2" xfId="40372" hidden="1"/>
    <cellStyle name="Гиперссылка 2" xfId="40377" hidden="1"/>
    <cellStyle name="Гиперссылка 2" xfId="40378" hidden="1"/>
    <cellStyle name="Гиперссылка 2" xfId="40374" hidden="1"/>
    <cellStyle name="Гиперссылка 2" xfId="40373" hidden="1"/>
    <cellStyle name="Гиперссылка 2" xfId="40376" hidden="1"/>
    <cellStyle name="Гиперссылка 2" xfId="40375" hidden="1"/>
    <cellStyle name="Гиперссылка 2" xfId="40380" hidden="1"/>
    <cellStyle name="Гиперссылка 2" xfId="40379" hidden="1"/>
    <cellStyle name="Гиперссылка 2" xfId="40381" hidden="1"/>
    <cellStyle name="Гиперссылка 2" xfId="40382" hidden="1"/>
    <cellStyle name="Гиперссылка 2" xfId="40387" hidden="1"/>
    <cellStyle name="Гиперссылка 2" xfId="40388" hidden="1"/>
    <cellStyle name="Гиперссылка 2" xfId="40384" hidden="1"/>
    <cellStyle name="Гиперссылка 2" xfId="40383" hidden="1"/>
    <cellStyle name="Гиперссылка 2" xfId="40386" hidden="1"/>
    <cellStyle name="Гиперссылка 2" xfId="40385" hidden="1"/>
    <cellStyle name="Гиперссылка 2" xfId="40390" hidden="1"/>
    <cellStyle name="Гиперссылка 2" xfId="40389" hidden="1"/>
    <cellStyle name="Гиперссылка 2" xfId="40437" hidden="1"/>
    <cellStyle name="Гиперссылка 2" xfId="40438" hidden="1"/>
    <cellStyle name="Гиперссылка 2" xfId="40551" hidden="1"/>
    <cellStyle name="Гиперссылка 2" xfId="40552" hidden="1"/>
    <cellStyle name="Гиперссылка 2" xfId="40494" hidden="1"/>
    <cellStyle name="Гиперссылка 2" xfId="40440" hidden="1"/>
    <cellStyle name="Гиперссылка 2" xfId="40538" hidden="1"/>
    <cellStyle name="Гиперссылка 2" xfId="40537" hidden="1"/>
    <cellStyle name="Гиперссылка 2" xfId="40611" hidden="1"/>
    <cellStyle name="Гиперссылка 2" xfId="40610" hidden="1"/>
    <cellStyle name="Гиперссылка 2" xfId="40629" hidden="1"/>
    <cellStyle name="Гиперссылка 2" xfId="40630" hidden="1"/>
    <cellStyle name="Гиперссылка 2" xfId="40635" hidden="1"/>
    <cellStyle name="Гиперссылка 2" xfId="40636" hidden="1"/>
    <cellStyle name="Гиперссылка 2" xfId="40632" hidden="1"/>
    <cellStyle name="Гиперссылка 2" xfId="40631" hidden="1"/>
    <cellStyle name="Гиперссылка 2" xfId="40634" hidden="1"/>
    <cellStyle name="Гиперссылка 2" xfId="40633" hidden="1"/>
    <cellStyle name="Гиперссылка 2" xfId="40638" hidden="1"/>
    <cellStyle name="Гиперссылка 2" xfId="40637" hidden="1"/>
    <cellStyle name="Гиперссылка 2" xfId="40640" hidden="1"/>
    <cellStyle name="Гиперссылка 2" xfId="40641" hidden="1"/>
    <cellStyle name="Гиперссылка 2" xfId="40646" hidden="1"/>
    <cellStyle name="Гиперссылка 2" xfId="40647" hidden="1"/>
    <cellStyle name="Гиперссылка 2" xfId="40643" hidden="1"/>
    <cellStyle name="Гиперссылка 2" xfId="40642" hidden="1"/>
    <cellStyle name="Гиперссылка 2" xfId="40645" hidden="1"/>
    <cellStyle name="Гиперссылка 2" xfId="40644" hidden="1"/>
    <cellStyle name="Гиперссылка 2" xfId="40649" hidden="1"/>
    <cellStyle name="Гиперссылка 2" xfId="40648" hidden="1"/>
    <cellStyle name="Гиперссылка 2" xfId="40650" hidden="1"/>
    <cellStyle name="Гиперссылка 2" xfId="40651" hidden="1"/>
    <cellStyle name="Гиперссылка 2" xfId="40656" hidden="1"/>
    <cellStyle name="Гиперссылка 2" xfId="40657" hidden="1"/>
    <cellStyle name="Гиперссылка 2" xfId="40653" hidden="1"/>
    <cellStyle name="Гиперссылка 2" xfId="40652" hidden="1"/>
    <cellStyle name="Гиперссылка 2" xfId="40655" hidden="1"/>
    <cellStyle name="Гиперссылка 2" xfId="40654" hidden="1"/>
    <cellStyle name="Гиперссылка 2" xfId="40659" hidden="1"/>
    <cellStyle name="Гиперссылка 2" xfId="40658" hidden="1"/>
    <cellStyle name="Гиперссылка 2" xfId="40548" hidden="1"/>
    <cellStyle name="Гиперссылка 2" xfId="40510" hidden="1"/>
    <cellStyle name="Гиперссылка 2" xfId="40559" hidden="1"/>
    <cellStyle name="Гиперссылка 2" xfId="40442" hidden="1"/>
    <cellStyle name="Гиперссылка 2" xfId="40577" hidden="1"/>
    <cellStyle name="Гиперссылка 2" xfId="40620" hidden="1"/>
    <cellStyle name="Гиперссылка 2" xfId="40526" hidden="1"/>
    <cellStyle name="Гиперссылка 2" xfId="40566" hidden="1"/>
    <cellStyle name="Гиперссылка 2" xfId="40714" hidden="1"/>
    <cellStyle name="Гиперссылка 2" xfId="40713" hidden="1"/>
    <cellStyle name="Гиперссылка 2" xfId="40728" hidden="1"/>
    <cellStyle name="Гиперссылка 2" xfId="40729" hidden="1"/>
    <cellStyle name="Гиперссылка 2" xfId="40734" hidden="1"/>
    <cellStyle name="Гиперссылка 2" xfId="40735" hidden="1"/>
    <cellStyle name="Гиперссылка 2" xfId="40731" hidden="1"/>
    <cellStyle name="Гиперссылка 2" xfId="40730" hidden="1"/>
    <cellStyle name="Гиперссылка 2" xfId="40733" hidden="1"/>
    <cellStyle name="Гиперссылка 2" xfId="40732" hidden="1"/>
    <cellStyle name="Гиперссылка 2" xfId="40737" hidden="1"/>
    <cellStyle name="Гиперссылка 2" xfId="40736" hidden="1"/>
    <cellStyle name="Гиперссылка 2" xfId="40739" hidden="1"/>
    <cellStyle name="Гиперссылка 2" xfId="40740" hidden="1"/>
    <cellStyle name="Гиперссылка 2" xfId="40745" hidden="1"/>
    <cellStyle name="Гиперссылка 2" xfId="40746" hidden="1"/>
    <cellStyle name="Гиперссылка 2" xfId="40742" hidden="1"/>
    <cellStyle name="Гиперссылка 2" xfId="40741" hidden="1"/>
    <cellStyle name="Гиперссылка 2" xfId="40744" hidden="1"/>
    <cellStyle name="Гиперссылка 2" xfId="40743" hidden="1"/>
    <cellStyle name="Гиперссылка 2" xfId="40748" hidden="1"/>
    <cellStyle name="Гиперссылка 2" xfId="40747" hidden="1"/>
    <cellStyle name="Гиперссылка 2" xfId="40749" hidden="1"/>
    <cellStyle name="Гиперссылка 2" xfId="40750" hidden="1"/>
    <cellStyle name="Гиперссылка 2" xfId="40755" hidden="1"/>
    <cellStyle name="Гиперссылка 2" xfId="40756" hidden="1"/>
    <cellStyle name="Гиперссылка 2" xfId="40752" hidden="1"/>
    <cellStyle name="Гиперссылка 2" xfId="40751" hidden="1"/>
    <cellStyle name="Гиперссылка 2" xfId="40754" hidden="1"/>
    <cellStyle name="Гиперссылка 2" xfId="40753" hidden="1"/>
    <cellStyle name="Гиперссылка 2" xfId="40758" hidden="1"/>
    <cellStyle name="Гиперссылка 2" xfId="40757" hidden="1"/>
    <cellStyle name="Гиперссылка 2" xfId="40567" hidden="1"/>
    <cellStyle name="Гиперссылка 2" xfId="40101" hidden="1"/>
    <cellStyle name="Гиперссылка 2" xfId="40114" hidden="1"/>
    <cellStyle name="Гиперссылка 2" xfId="40495" hidden="1"/>
    <cellStyle name="Гиперссылка 2" xfId="40679" hidden="1"/>
    <cellStyle name="Гиперссылка 2" xfId="40724" hidden="1"/>
    <cellStyle name="Гиперссылка 2" xfId="40545" hidden="1"/>
    <cellStyle name="Гиперссылка 2" xfId="40668" hidden="1"/>
    <cellStyle name="Гиперссылка 2" xfId="40812" hidden="1"/>
    <cellStyle name="Гиперссылка 2" xfId="40811" hidden="1"/>
    <cellStyle name="Гиперссылка 2" xfId="40827" hidden="1"/>
    <cellStyle name="Гиперссылка 2" xfId="40828" hidden="1"/>
    <cellStyle name="Гиперссылка 2" xfId="40834" hidden="1"/>
    <cellStyle name="Гиперссылка 2" xfId="40835" hidden="1"/>
    <cellStyle name="Гиперссылка 2" xfId="40831" hidden="1"/>
    <cellStyle name="Гиперссылка 2" xfId="40830" hidden="1"/>
    <cellStyle name="Гиперссылка 2" xfId="40833" hidden="1"/>
    <cellStyle name="Гиперссылка 2" xfId="40832" hidden="1"/>
    <cellStyle name="Гиперссылка 2" xfId="40837" hidden="1"/>
    <cellStyle name="Гиперссылка 2" xfId="40836" hidden="1"/>
    <cellStyle name="Гиперссылка 2" xfId="40840" hidden="1"/>
    <cellStyle name="Гиперссылка 2" xfId="40841" hidden="1"/>
    <cellStyle name="Гиперссылка 2" xfId="40846" hidden="1"/>
    <cellStyle name="Гиперссылка 2" xfId="40847" hidden="1"/>
    <cellStyle name="Гиперссылка 2" xfId="40843" hidden="1"/>
    <cellStyle name="Гиперссылка 2" xfId="40842" hidden="1"/>
    <cellStyle name="Гиперссылка 2" xfId="40845" hidden="1"/>
    <cellStyle name="Гиперссылка 2" xfId="40844" hidden="1"/>
    <cellStyle name="Гиперссылка 2" xfId="40849" hidden="1"/>
    <cellStyle name="Гиперссылка 2" xfId="40848" hidden="1"/>
    <cellStyle name="Гиперссылка 2" xfId="40850" hidden="1"/>
    <cellStyle name="Гиперссылка 2" xfId="40851" hidden="1"/>
    <cellStyle name="Гиперссылка 2" xfId="40856" hidden="1"/>
    <cellStyle name="Гиперссылка 2" xfId="40857" hidden="1"/>
    <cellStyle name="Гиперссылка 2" xfId="40853" hidden="1"/>
    <cellStyle name="Гиперссылка 2" xfId="40852" hidden="1"/>
    <cellStyle name="Гиперссылка 2" xfId="40855" hidden="1"/>
    <cellStyle name="Гиперссылка 2" xfId="40854" hidden="1"/>
    <cellStyle name="Гиперссылка 2" xfId="40859" hidden="1"/>
    <cellStyle name="Гиперссылка 2" xfId="40858" hidden="1"/>
    <cellStyle name="Гиперссылка 2" xfId="40669" hidden="1"/>
    <cellStyle name="Гиперссылка 2" xfId="40120" hidden="1"/>
    <cellStyle name="Гиперссылка 2" xfId="40501" hidden="1"/>
    <cellStyle name="Гиперссылка 2" xfId="40124" hidden="1"/>
    <cellStyle name="Гиперссылка 2" xfId="40775" hidden="1"/>
    <cellStyle name="Гиперссылка 2" xfId="40821" hidden="1"/>
    <cellStyle name="Гиперссылка 2" xfId="40518" hidden="1"/>
    <cellStyle name="Гиперссылка 2" xfId="40764" hidden="1"/>
    <cellStyle name="Гиперссылка 2" xfId="40906" hidden="1"/>
    <cellStyle name="Гиперссылка 2" xfId="40905" hidden="1"/>
    <cellStyle name="Гиперссылка 2" xfId="40924" hidden="1"/>
    <cellStyle name="Гиперссылка 2" xfId="40925" hidden="1"/>
    <cellStyle name="Гиперссылка 2" xfId="40930" hidden="1"/>
    <cellStyle name="Гиперссылка 2" xfId="40931" hidden="1"/>
    <cellStyle name="Гиперссылка 2" xfId="40927" hidden="1"/>
    <cellStyle name="Гиперссылка 2" xfId="40926" hidden="1"/>
    <cellStyle name="Гиперссылка 2" xfId="40929" hidden="1"/>
    <cellStyle name="Гиперссылка 2" xfId="40928" hidden="1"/>
    <cellStyle name="Гиперссылка 2" xfId="40933" hidden="1"/>
    <cellStyle name="Гиперссылка 2" xfId="40932" hidden="1"/>
    <cellStyle name="Гиперссылка 2" xfId="40935" hidden="1"/>
    <cellStyle name="Гиперссылка 2" xfId="40936" hidden="1"/>
    <cellStyle name="Гиперссылка 2" xfId="40941" hidden="1"/>
    <cellStyle name="Гиперссылка 2" xfId="40942" hidden="1"/>
    <cellStyle name="Гиперссылка 2" xfId="40938" hidden="1"/>
    <cellStyle name="Гиперссылка 2" xfId="40937" hidden="1"/>
    <cellStyle name="Гиперссылка 2" xfId="40940" hidden="1"/>
    <cellStyle name="Гиперссылка 2" xfId="40939" hidden="1"/>
    <cellStyle name="Гиперссылка 2" xfId="40944" hidden="1"/>
    <cellStyle name="Гиперссылка 2" xfId="40943" hidden="1"/>
    <cellStyle name="Гиперссылка 2" xfId="40945" hidden="1"/>
    <cellStyle name="Гиперссылка 2" xfId="40946" hidden="1"/>
    <cellStyle name="Гиперссылка 2" xfId="40951" hidden="1"/>
    <cellStyle name="Гиперссылка 2" xfId="40952" hidden="1"/>
    <cellStyle name="Гиперссылка 2" xfId="40948" hidden="1"/>
    <cellStyle name="Гиперссылка 2" xfId="40947" hidden="1"/>
    <cellStyle name="Гиперссылка 2" xfId="40950" hidden="1"/>
    <cellStyle name="Гиперссылка 2" xfId="40949" hidden="1"/>
    <cellStyle name="Гиперссылка 2" xfId="40954" hidden="1"/>
    <cellStyle name="Гиперссылка 2" xfId="40953" hidden="1"/>
    <cellStyle name="Гиперссылка 2" xfId="40765" hidden="1"/>
    <cellStyle name="Гиперссылка 2" xfId="40508" hidden="1"/>
    <cellStyle name="Гиперссылка 2" xfId="40424" hidden="1"/>
    <cellStyle name="Гиперссылка 2" xfId="40500" hidden="1"/>
    <cellStyle name="Гиперссылка 2" xfId="40871" hidden="1"/>
    <cellStyle name="Гиперссылка 2" xfId="40916" hidden="1"/>
    <cellStyle name="Гиперссылка 2" xfId="40421" hidden="1"/>
    <cellStyle name="Гиперссылка 2" xfId="40862" hidden="1"/>
    <cellStyle name="Гиперссылка 2" xfId="40992" hidden="1"/>
    <cellStyle name="Гиперссылка 2" xfId="40991" hidden="1"/>
    <cellStyle name="Гиперссылка 2" xfId="41006" hidden="1"/>
    <cellStyle name="Гиперссылка 2" xfId="41007" hidden="1"/>
    <cellStyle name="Гиперссылка 2" xfId="41012" hidden="1"/>
    <cellStyle name="Гиперссылка 2" xfId="41013" hidden="1"/>
    <cellStyle name="Гиперссылка 2" xfId="41009" hidden="1"/>
    <cellStyle name="Гиперссылка 2" xfId="41008" hidden="1"/>
    <cellStyle name="Гиперссылка 2" xfId="41011" hidden="1"/>
    <cellStyle name="Гиперссылка 2" xfId="41010" hidden="1"/>
    <cellStyle name="Гиперссылка 2" xfId="41015" hidden="1"/>
    <cellStyle name="Гиперссылка 2" xfId="41014" hidden="1"/>
    <cellStyle name="Гиперссылка 2" xfId="41018" hidden="1"/>
    <cellStyle name="Гиперссылка 2" xfId="41019" hidden="1"/>
    <cellStyle name="Гиперссылка 2" xfId="41024" hidden="1"/>
    <cellStyle name="Гиперссылка 2" xfId="41025" hidden="1"/>
    <cellStyle name="Гиперссылка 2" xfId="41021" hidden="1"/>
    <cellStyle name="Гиперссылка 2" xfId="41020" hidden="1"/>
    <cellStyle name="Гиперссылка 2" xfId="41023" hidden="1"/>
    <cellStyle name="Гиперссылка 2" xfId="41022" hidden="1"/>
    <cellStyle name="Гиперссылка 2" xfId="41027" hidden="1"/>
    <cellStyle name="Гиперссылка 2" xfId="41026" hidden="1"/>
    <cellStyle name="Гиперссылка 2" xfId="41028" hidden="1"/>
    <cellStyle name="Гиперссылка 2" xfId="41029" hidden="1"/>
    <cellStyle name="Гиперссылка 2" xfId="41034" hidden="1"/>
    <cellStyle name="Гиперссылка 2" xfId="41035" hidden="1"/>
    <cellStyle name="Гиперссылка 2" xfId="41031" hidden="1"/>
    <cellStyle name="Гиперссылка 2" xfId="41030" hidden="1"/>
    <cellStyle name="Гиперссылка 2" xfId="41033" hidden="1"/>
    <cellStyle name="Гиперссылка 2" xfId="41032" hidden="1"/>
    <cellStyle name="Гиперссылка 2" xfId="41037" hidden="1"/>
    <cellStyle name="Гиперссылка 2" xfId="41036" hidden="1"/>
    <cellStyle name="Гиперссылка 2" xfId="40863" hidden="1"/>
    <cellStyle name="Гиперссылка 2" xfId="40529" hidden="1"/>
    <cellStyle name="Гиперссылка 2" xfId="40575" hidden="1"/>
    <cellStyle name="Гиперссылка 2" xfId="40431" hidden="1"/>
    <cellStyle name="Гиперссылка 2" xfId="40968" hidden="1"/>
    <cellStyle name="Гиперссылка 2" xfId="41000" hidden="1"/>
    <cellStyle name="Гиперссылка 2" xfId="40589" hidden="1"/>
    <cellStyle name="Гиперссылка 2" xfId="40961" hidden="1"/>
    <cellStyle name="Гиперссылка 2" xfId="41079" hidden="1"/>
    <cellStyle name="Гиперссылка 2" xfId="41078" hidden="1"/>
    <cellStyle name="Гиперссылка 2" xfId="41093" hidden="1"/>
    <cellStyle name="Гиперссылка 2" xfId="41094" hidden="1"/>
    <cellStyle name="Гиперссылка 2" xfId="41099" hidden="1"/>
    <cellStyle name="Гиперссылка 2" xfId="41100" hidden="1"/>
    <cellStyle name="Гиперссылка 2" xfId="41096" hidden="1"/>
    <cellStyle name="Гиперссылка 2" xfId="41095" hidden="1"/>
    <cellStyle name="Гиперссылка 2" xfId="41098" hidden="1"/>
    <cellStyle name="Гиперссылка 2" xfId="41097" hidden="1"/>
    <cellStyle name="Гиперссылка 2" xfId="41102" hidden="1"/>
    <cellStyle name="Гиперссылка 2" xfId="41101" hidden="1"/>
    <cellStyle name="Гиперссылка 2" xfId="41104" hidden="1"/>
    <cellStyle name="Гиперссылка 2" xfId="41105" hidden="1"/>
    <cellStyle name="Гиперссылка 2" xfId="41110" hidden="1"/>
    <cellStyle name="Гиперссылка 2" xfId="41111" hidden="1"/>
    <cellStyle name="Гиперссылка 2" xfId="41107" hidden="1"/>
    <cellStyle name="Гиперссылка 2" xfId="41106" hidden="1"/>
    <cellStyle name="Гиперссылка 2" xfId="41109" hidden="1"/>
    <cellStyle name="Гиперссылка 2" xfId="41108" hidden="1"/>
    <cellStyle name="Гиперссылка 2" xfId="41113" hidden="1"/>
    <cellStyle name="Гиперссылка 2" xfId="41112" hidden="1"/>
    <cellStyle name="Гиперссылка 2" xfId="41114" hidden="1"/>
    <cellStyle name="Гиперссылка 2" xfId="41115" hidden="1"/>
    <cellStyle name="Гиперссылка 2" xfId="41120" hidden="1"/>
    <cellStyle name="Гиперссылка 2" xfId="41121" hidden="1"/>
    <cellStyle name="Гиперссылка 2" xfId="41117" hidden="1"/>
    <cellStyle name="Гиперссылка 2" xfId="41116" hidden="1"/>
    <cellStyle name="Гиперссылка 2" xfId="41119" hidden="1"/>
    <cellStyle name="Гиперссылка 2" xfId="41118" hidden="1"/>
    <cellStyle name="Гиперссылка 2" xfId="41123" hidden="1"/>
    <cellStyle name="Гиперссылка 2" xfId="41122" hidden="1"/>
    <cellStyle name="Гиперссылка 2" xfId="40962" hidden="1"/>
    <cellStyle name="Гиперссылка 2" xfId="40133" hidden="1"/>
    <cellStyle name="Гиперссылка 2" xfId="40676" hidden="1"/>
    <cellStyle name="Гиперссылка 2" xfId="40441" hidden="1"/>
    <cellStyle name="Гиперссылка 2" xfId="41052" hidden="1"/>
    <cellStyle name="Гиперссылка 2" xfId="41089" hidden="1"/>
    <cellStyle name="Гиперссылка 2" xfId="40699" hidden="1"/>
    <cellStyle name="Гиперссылка 2" xfId="41041" hidden="1"/>
    <cellStyle name="Гиперссылка 2" xfId="41163" hidden="1"/>
    <cellStyle name="Гиперссылка 2" xfId="41162" hidden="1"/>
    <cellStyle name="Гиперссылка 2" xfId="41176" hidden="1"/>
    <cellStyle name="Гиперссылка 2" xfId="41177" hidden="1"/>
    <cellStyle name="Гиперссылка 2" xfId="41182" hidden="1"/>
    <cellStyle name="Гиперссылка 2" xfId="41183" hidden="1"/>
    <cellStyle name="Гиперссылка 2" xfId="41179" hidden="1"/>
    <cellStyle name="Гиперссылка 2" xfId="41178" hidden="1"/>
    <cellStyle name="Гиперссылка 2" xfId="41181" hidden="1"/>
    <cellStyle name="Гиперссылка 2" xfId="41180" hidden="1"/>
    <cellStyle name="Гиперссылка 2" xfId="41185" hidden="1"/>
    <cellStyle name="Гиперссылка 2" xfId="41184" hidden="1"/>
    <cellStyle name="Гиперссылка 2" xfId="41186" hidden="1"/>
    <cellStyle name="Гиперссылка 2" xfId="41187" hidden="1"/>
    <cellStyle name="Гиперссылка 2" xfId="41192" hidden="1"/>
    <cellStyle name="Гиперссылка 2" xfId="41193" hidden="1"/>
    <cellStyle name="Гиперссылка 2" xfId="41189" hidden="1"/>
    <cellStyle name="Гиперссылка 2" xfId="41188" hidden="1"/>
    <cellStyle name="Гиперссылка 2" xfId="41191" hidden="1"/>
    <cellStyle name="Гиперссылка 2" xfId="41190" hidden="1"/>
    <cellStyle name="Гиперссылка 2" xfId="41195" hidden="1"/>
    <cellStyle name="Гиперссылка 2" xfId="41194" hidden="1"/>
    <cellStyle name="Гиперссылка 2" xfId="41196" hidden="1"/>
    <cellStyle name="Гиперссылка 2" xfId="41197" hidden="1"/>
    <cellStyle name="Гиперссылка 2" xfId="41202" hidden="1"/>
    <cellStyle name="Гиперссылка 2" xfId="41203" hidden="1"/>
    <cellStyle name="Гиперссылка 2" xfId="41199" hidden="1"/>
    <cellStyle name="Гиперссылка 2" xfId="41198" hidden="1"/>
    <cellStyle name="Гиперссылка 2" xfId="41201" hidden="1"/>
    <cellStyle name="Гиперссылка 2" xfId="41200" hidden="1"/>
    <cellStyle name="Гиперссылка 2" xfId="41205" hidden="1"/>
    <cellStyle name="Гиперссылка 2" xfId="41204" hidden="1"/>
    <cellStyle name="Гиперссылка 2" xfId="41042" hidden="1"/>
    <cellStyle name="Гиперссылка 2" xfId="40413" hidden="1"/>
    <cellStyle name="Гиперссылка 2" xfId="40772" hidden="1"/>
    <cellStyle name="Гиперссылка 2" xfId="40597" hidden="1"/>
    <cellStyle name="Гиперссылка 2" xfId="41139" hidden="1"/>
    <cellStyle name="Гиперссылка 2" xfId="41172" hidden="1"/>
    <cellStyle name="Гиперссылка 2" xfId="40786" hidden="1"/>
    <cellStyle name="Гиперссылка 2" xfId="41130" hidden="1"/>
    <cellStyle name="Гиперссылка 2" xfId="41239" hidden="1"/>
    <cellStyle name="Гиперссылка 2" xfId="41238" hidden="1"/>
    <cellStyle name="Гиперссылка 2" xfId="41253" hidden="1"/>
    <cellStyle name="Гиперссылка 2" xfId="41254" hidden="1"/>
    <cellStyle name="Гиперссылка 2" xfId="41260" hidden="1"/>
    <cellStyle name="Гиперссылка 2" xfId="41261" hidden="1"/>
    <cellStyle name="Гиперссылка 2" xfId="41257" hidden="1"/>
    <cellStyle name="Гиперссылка 2" xfId="41256" hidden="1"/>
    <cellStyle name="Гиперссылка 2" xfId="41259" hidden="1"/>
    <cellStyle name="Гиперссылка 2" xfId="41258" hidden="1"/>
    <cellStyle name="Гиперссылка 2" xfId="41263" hidden="1"/>
    <cellStyle name="Гиперссылка 2" xfId="41262" hidden="1"/>
    <cellStyle name="Гиперссылка 2" xfId="41266" hidden="1"/>
    <cellStyle name="Гиперссылка 2" xfId="41267" hidden="1"/>
    <cellStyle name="Гиперссылка 2" xfId="41272" hidden="1"/>
    <cellStyle name="Гиперссылка 2" xfId="41273" hidden="1"/>
    <cellStyle name="Гиперссылка 2" xfId="41269" hidden="1"/>
    <cellStyle name="Гиперссылка 2" xfId="41268" hidden="1"/>
    <cellStyle name="Гиперссылка 2" xfId="41271" hidden="1"/>
    <cellStyle name="Гиперссылка 2" xfId="41270" hidden="1"/>
    <cellStyle name="Гиперссылка 2" xfId="41275" hidden="1"/>
    <cellStyle name="Гиперссылка 2" xfId="41274" hidden="1"/>
    <cellStyle name="Гиперссылка 2" xfId="41276" hidden="1"/>
    <cellStyle name="Гиперссылка 2" xfId="41277" hidden="1"/>
    <cellStyle name="Гиперссылка 2" xfId="41282" hidden="1"/>
    <cellStyle name="Гиперссылка 2" xfId="41283" hidden="1"/>
    <cellStyle name="Гиперссылка 2" xfId="41279" hidden="1"/>
    <cellStyle name="Гиперссылка 2" xfId="41278" hidden="1"/>
    <cellStyle name="Гиперссылка 2" xfId="41281" hidden="1"/>
    <cellStyle name="Гиперссылка 2" xfId="41280" hidden="1"/>
    <cellStyle name="Гиперссылка 2" xfId="41285" hidden="1"/>
    <cellStyle name="Гиперссылка 2" xfId="41284" hidden="1"/>
    <cellStyle name="Гиперссылка 2" xfId="41131" hidden="1"/>
    <cellStyle name="Гиперссылка 2" xfId="40583" hidden="1"/>
    <cellStyle name="Гиперссылка 2" xfId="40868" hidden="1"/>
    <cellStyle name="Гиперссылка 2" xfId="40704" hidden="1"/>
    <cellStyle name="Гиперссылка 2" xfId="41214" hidden="1"/>
    <cellStyle name="Гиперссылка 2" xfId="41248" hidden="1"/>
    <cellStyle name="Гиперссылка 2" xfId="40886" hidden="1"/>
    <cellStyle name="Гиперссылка 2" xfId="41209" hidden="1"/>
    <cellStyle name="Гиперссылка 2" xfId="41314" hidden="1"/>
    <cellStyle name="Гиперссылка 2" xfId="41313" hidden="1"/>
    <cellStyle name="Гиперссылка 2" xfId="41326" hidden="1"/>
    <cellStyle name="Гиперссылка 2" xfId="41327" hidden="1"/>
    <cellStyle name="Гиперссылка 2" xfId="41332" hidden="1"/>
    <cellStyle name="Гиперссылка 2" xfId="41333" hidden="1"/>
    <cellStyle name="Гиперссылка 2" xfId="41329" hidden="1"/>
    <cellStyle name="Гиперссылка 2" xfId="41328" hidden="1"/>
    <cellStyle name="Гиперссылка 2" xfId="41331" hidden="1"/>
    <cellStyle name="Гиперссылка 2" xfId="41330" hidden="1"/>
    <cellStyle name="Гиперссылка 2" xfId="41335" hidden="1"/>
    <cellStyle name="Гиперссылка 2" xfId="41334" hidden="1"/>
    <cellStyle name="Гиперссылка 2" xfId="41336" hidden="1"/>
    <cellStyle name="Гиперссылка 2" xfId="41337" hidden="1"/>
    <cellStyle name="Гиперссылка 2" xfId="41342" hidden="1"/>
    <cellStyle name="Гиперссылка 2" xfId="41343" hidden="1"/>
    <cellStyle name="Гиперссылка 2" xfId="41339" hidden="1"/>
    <cellStyle name="Гиперссылка 2" xfId="41338" hidden="1"/>
    <cellStyle name="Гиперссылка 2" xfId="41341" hidden="1"/>
    <cellStyle name="Гиперссылка 2" xfId="41340" hidden="1"/>
    <cellStyle name="Гиперссылка 2" xfId="41345" hidden="1"/>
    <cellStyle name="Гиперссылка 2" xfId="41344" hidden="1"/>
    <cellStyle name="Гиперссылка 2" xfId="41346" hidden="1"/>
    <cellStyle name="Гиперссылка 2" xfId="41347" hidden="1"/>
    <cellStyle name="Гиперссылка 2" xfId="41352" hidden="1"/>
    <cellStyle name="Гиперссылка 2" xfId="41353" hidden="1"/>
    <cellStyle name="Гиперссылка 2" xfId="41349" hidden="1"/>
    <cellStyle name="Гиперссылка 2" xfId="41348" hidden="1"/>
    <cellStyle name="Гиперссылка 2" xfId="41351" hidden="1"/>
    <cellStyle name="Гиперссылка 2" xfId="41350" hidden="1"/>
    <cellStyle name="Гиперссылка 2" xfId="41355" hidden="1"/>
    <cellStyle name="Гиперссылка 2" xfId="41354" hidden="1"/>
    <cellStyle name="Гиперссылка 2" xfId="41210" hidden="1"/>
    <cellStyle name="Гиперссылка 2" xfId="40686" hidden="1"/>
    <cellStyle name="Гиперссылка 2" xfId="40966" hidden="1"/>
    <cellStyle name="Гиперссылка 2" xfId="40796" hidden="1"/>
    <cellStyle name="Гиперссылка 2" xfId="41297" hidden="1"/>
    <cellStyle name="Гиперссылка 2" xfId="41322" hidden="1"/>
    <cellStyle name="Гиперссылка 2" xfId="40977" hidden="1"/>
    <cellStyle name="Гиперссылка 2" xfId="41289" hidden="1"/>
    <cellStyle name="Гиперссылка 2" xfId="41381" hidden="1"/>
    <cellStyle name="Гиперссылка 2" xfId="41380" hidden="1"/>
    <cellStyle name="Гиперссылка 2" xfId="41390" hidden="1"/>
    <cellStyle name="Гиперссылка 2" xfId="41391" hidden="1"/>
    <cellStyle name="Гиперссылка 2" xfId="41396" hidden="1"/>
    <cellStyle name="Гиперссылка 2" xfId="41397" hidden="1"/>
    <cellStyle name="Гиперссылка 2" xfId="41393" hidden="1"/>
    <cellStyle name="Гиперссылка 2" xfId="41392" hidden="1"/>
    <cellStyle name="Гиперссылка 2" xfId="41395" hidden="1"/>
    <cellStyle name="Гиперссылка 2" xfId="41394" hidden="1"/>
    <cellStyle name="Гиперссылка 2" xfId="41399" hidden="1"/>
    <cellStyle name="Гиперссылка 2" xfId="41398" hidden="1"/>
    <cellStyle name="Гиперссылка 2" xfId="41401" hidden="1"/>
    <cellStyle name="Гиперссылка 2" xfId="41402" hidden="1"/>
    <cellStyle name="Гиперссылка 2" xfId="41407" hidden="1"/>
    <cellStyle name="Гиперссылка 2" xfId="41408" hidden="1"/>
    <cellStyle name="Гиперссылка 2" xfId="41404" hidden="1"/>
    <cellStyle name="Гиперссылка 2" xfId="41403" hidden="1"/>
    <cellStyle name="Гиперссылка 2" xfId="41406" hidden="1"/>
    <cellStyle name="Гиперссылка 2" xfId="41405" hidden="1"/>
    <cellStyle name="Гиперссылка 2" xfId="41410" hidden="1"/>
    <cellStyle name="Гиперссылка 2" xfId="41409" hidden="1"/>
    <cellStyle name="Гиперссылка 2" xfId="41411" hidden="1"/>
    <cellStyle name="Гиперссылка 2" xfId="41412" hidden="1"/>
    <cellStyle name="Гиперссылка 2" xfId="41417" hidden="1"/>
    <cellStyle name="Гиперссылка 2" xfId="41418" hidden="1"/>
    <cellStyle name="Гиперссылка 2" xfId="41414" hidden="1"/>
    <cellStyle name="Гиперссылка 2" xfId="41413" hidden="1"/>
    <cellStyle name="Гиперссылка 2" xfId="41416" hidden="1"/>
    <cellStyle name="Гиперссылка 2" xfId="41415" hidden="1"/>
    <cellStyle name="Гиперссылка 2" xfId="41420" hidden="1"/>
    <cellStyle name="Гиперссылка 2" xfId="41419" hidden="1"/>
    <cellStyle name="Гиперссылка 2" xfId="41290" hidden="1"/>
    <cellStyle name="Гиперссылка 2" xfId="40778" hidden="1"/>
    <cellStyle name="Гиперссылка 2" xfId="41049" hidden="1"/>
    <cellStyle name="Гиперссылка 2" xfId="40897" hidden="1"/>
    <cellStyle name="Гиперссылка 2" xfId="41362" hidden="1"/>
    <cellStyle name="Гиперссылка 2" xfId="41388" hidden="1"/>
    <cellStyle name="Гиперссылка 2" xfId="41062" hidden="1"/>
    <cellStyle name="Гиперссылка 2" xfId="41357" hidden="1"/>
    <cellStyle name="Гиперссылка 2" xfId="41438" hidden="1"/>
    <cellStyle name="Гиперссылка 2" xfId="41437" hidden="1"/>
    <cellStyle name="Гиперссылка 2" xfId="41445" hidden="1"/>
    <cellStyle name="Гиперссылка 2" xfId="41446" hidden="1"/>
    <cellStyle name="Гиперссылка 2" xfId="41451" hidden="1"/>
    <cellStyle name="Гиперссылка 2" xfId="41452" hidden="1"/>
    <cellStyle name="Гиперссылка 2" xfId="41448" hidden="1"/>
    <cellStyle name="Гиперссылка 2" xfId="41447" hidden="1"/>
    <cellStyle name="Гиперссылка 2" xfId="41450" hidden="1"/>
    <cellStyle name="Гиперссылка 2" xfId="41449" hidden="1"/>
    <cellStyle name="Гиперссылка 2" xfId="41454" hidden="1"/>
    <cellStyle name="Гиперссылка 2" xfId="41453" hidden="1"/>
    <cellStyle name="Гиперссылка 2" xfId="41455" hidden="1"/>
    <cellStyle name="Гиперссылка 2" xfId="41456" hidden="1"/>
    <cellStyle name="Гиперссылка 2" xfId="41461" hidden="1"/>
    <cellStyle name="Гиперссылка 2" xfId="41462" hidden="1"/>
    <cellStyle name="Гиперссылка 2" xfId="41458" hidden="1"/>
    <cellStyle name="Гиперссылка 2" xfId="41457" hidden="1"/>
    <cellStyle name="Гиперссылка 2" xfId="41460" hidden="1"/>
    <cellStyle name="Гиперссылка 2" xfId="41459" hidden="1"/>
    <cellStyle name="Гиперссылка 2" xfId="41464" hidden="1"/>
    <cellStyle name="Гиперссылка 2" xfId="41463" hidden="1"/>
    <cellStyle name="Гиперссылка 2" xfId="41465" hidden="1"/>
    <cellStyle name="Гиперссылка 2" xfId="41466" hidden="1"/>
    <cellStyle name="Гиперссылка 2" xfId="41471" hidden="1"/>
    <cellStyle name="Гиперссылка 2" xfId="41472" hidden="1"/>
    <cellStyle name="Гиперссылка 2" xfId="41468" hidden="1"/>
    <cellStyle name="Гиперссылка 2" xfId="41467" hidden="1"/>
    <cellStyle name="Гиперссылка 2" xfId="41470" hidden="1"/>
    <cellStyle name="Гиперссылка 2" xfId="41469" hidden="1"/>
    <cellStyle name="Гиперссылка 2" xfId="41474" hidden="1"/>
    <cellStyle name="Гиперссылка 2" xfId="41473" hidden="1"/>
    <cellStyle name="Гиперссылка 2" xfId="41358" hidden="1"/>
    <cellStyle name="Гиперссылка 2" xfId="40878" hidden="1"/>
    <cellStyle name="Гиперссылка 2" xfId="41137" hidden="1"/>
    <cellStyle name="Гиперссылка 2" xfId="40983" hidden="1"/>
    <cellStyle name="Гиперссылка 2" xfId="41425" hidden="1"/>
    <cellStyle name="Гиперссылка 2" xfId="41444" hidden="1"/>
    <cellStyle name="Гиперссылка 2" xfId="41150" hidden="1"/>
    <cellStyle name="Гиперссылка 2" xfId="41422" hidden="1"/>
    <cellStyle name="Гиперссылка 2" xfId="41476" hidden="1"/>
    <cellStyle name="Гиперссылка 2" xfId="41475" hidden="1"/>
    <cellStyle name="Гиперссылка 2" xfId="41477" hidden="1"/>
    <cellStyle name="Гиперссылка 2" xfId="41478" hidden="1"/>
    <cellStyle name="Гиперссылка 2" xfId="41483" hidden="1"/>
    <cellStyle name="Гиперссылка 2" xfId="41484" hidden="1"/>
    <cellStyle name="Гиперссылка 2" xfId="41480" hidden="1"/>
    <cellStyle name="Гиперссылка 2" xfId="41479" hidden="1"/>
    <cellStyle name="Гиперссылка 2" xfId="41482" hidden="1"/>
    <cellStyle name="Гиперссылка 2" xfId="41481" hidden="1"/>
    <cellStyle name="Гиперссылка 2" xfId="41486" hidden="1"/>
    <cellStyle name="Гиперссылка 2" xfId="41485" hidden="1"/>
    <cellStyle name="Гиперссылка 2" xfId="41487" hidden="1"/>
    <cellStyle name="Гиперссылка 2" xfId="41488" hidden="1"/>
    <cellStyle name="Гиперссылка 2" xfId="41493" hidden="1"/>
    <cellStyle name="Гиперссылка 2" xfId="41494" hidden="1"/>
    <cellStyle name="Гиперссылка 2" xfId="41490" hidden="1"/>
    <cellStyle name="Гиперссылка 2" xfId="41489" hidden="1"/>
    <cellStyle name="Гиперссылка 2" xfId="41492" hidden="1"/>
    <cellStyle name="Гиперссылка 2" xfId="41491" hidden="1"/>
    <cellStyle name="Гиперссылка 2" xfId="41496" hidden="1"/>
    <cellStyle name="Гиперссылка 2" xfId="41495" hidden="1"/>
    <cellStyle name="Гиперссылка 2" xfId="41497" hidden="1"/>
    <cellStyle name="Гиперссылка 2" xfId="41498" hidden="1"/>
    <cellStyle name="Гиперссылка 2" xfId="41503" hidden="1"/>
    <cellStyle name="Гиперссылка 2" xfId="41504" hidden="1"/>
    <cellStyle name="Гиперссылка 2" xfId="41500" hidden="1"/>
    <cellStyle name="Гиперссылка 2" xfId="41499" hidden="1"/>
    <cellStyle name="Гиперссылка 2" xfId="41502" hidden="1"/>
    <cellStyle name="Гиперссылка 2" xfId="41501" hidden="1"/>
    <cellStyle name="Гиперссылка 2" xfId="41506" hidden="1"/>
    <cellStyle name="Гиперссылка 2" xfId="41505" hidden="1"/>
    <cellStyle name="Гиперссылка 2" xfId="40826" hidden="1"/>
    <cellStyle name="Гиперссылка 2" xfId="37007" hidden="1"/>
    <cellStyle name="Гиперссылка 2" xfId="41242" hidden="1"/>
    <cellStyle name="Гиперссылка 2" xfId="40113" hidden="1"/>
    <cellStyle name="Гиперссылка 2" xfId="41057" hidden="1"/>
    <cellStyle name="Гиперссылка 2" xfId="40420" hidden="1"/>
    <cellStyle name="Гиперссылка 2" xfId="40317" hidden="1"/>
    <cellStyle name="Гиперссылка 2" xfId="40305" hidden="1"/>
    <cellStyle name="Гиперссылка 2" xfId="40331" hidden="1"/>
    <cellStyle name="Гиперссылка 2" xfId="40099" hidden="1"/>
    <cellStyle name="Гиперссылка 2" xfId="41375" hidden="1"/>
    <cellStyle name="Гиперссылка 2" xfId="41228" hidden="1"/>
    <cellStyle name="Гиперссылка 2" xfId="40707" hidden="1"/>
    <cellStyle name="Гиперссылка 2" xfId="37061" hidden="1"/>
    <cellStyle name="Гиперссылка 2" xfId="41157" hidden="1"/>
    <cellStyle name="Гиперссылка 2" xfId="41310" hidden="1"/>
    <cellStyle name="Гиперссылка 2" xfId="40901" hidden="1"/>
    <cellStyle name="Гиперссылка 2" xfId="40989" hidden="1"/>
    <cellStyle name="Гиперссылка 2" xfId="40975" hidden="1"/>
    <cellStyle name="Гиперссылка 2" xfId="37001" hidden="1"/>
    <cellStyle name="Гиперссылка 2" xfId="37020" hidden="1"/>
    <cellStyle name="Гиперссылка 2" xfId="40404" hidden="1"/>
    <cellStyle name="Гиперссылка 2" xfId="40158" hidden="1"/>
    <cellStyle name="Гиперссылка 2" xfId="40155" hidden="1"/>
    <cellStyle name="Гиперссылка 2" xfId="40515" hidden="1"/>
    <cellStyle name="Гиперссылка 2" xfId="40540" hidden="1"/>
    <cellStyle name="Гиперссылка 2" xfId="40291" hidden="1"/>
    <cellStyle name="Гиперссылка 2" xfId="40294" hidden="1"/>
    <cellStyle name="Гиперссылка 2" xfId="40358" hidden="1"/>
    <cellStyle name="Гиперссылка 2" xfId="40142" hidden="1"/>
    <cellStyle name="Гиперссылка 2" xfId="40288" hidden="1"/>
    <cellStyle name="Гиперссылка 2" xfId="40226" hidden="1"/>
    <cellStyle name="Гиперссылка 2" xfId="40279" hidden="1"/>
    <cellStyle name="Гиперссылка 2" xfId="40236" hidden="1"/>
    <cellStyle name="Гиперссылка 2" xfId="40264" hidden="1"/>
    <cellStyle name="Гиперссылка 2" xfId="40340" hidden="1"/>
    <cellStyle name="Гиперссылка 2" xfId="40351" hidden="1"/>
    <cellStyle name="Гиперссылка 2" xfId="40078" hidden="1"/>
    <cellStyle name="Гиперссылка 2" xfId="40283" hidden="1"/>
    <cellStyle name="Гиперссылка 2" xfId="40334" hidden="1"/>
    <cellStyle name="Гиперссылка 2" xfId="37053" hidden="1"/>
    <cellStyle name="Гиперссылка 2" xfId="40435" hidden="1"/>
    <cellStyle name="Гиперссылка 2" xfId="40325" hidden="1"/>
    <cellStyle name="Гиперссылка 2" xfId="40252" hidden="1"/>
    <cellStyle name="Гиперссылка 2" xfId="40350" hidden="1"/>
    <cellStyle name="Гиперссылка 2" xfId="40675" hidden="1"/>
    <cellStyle name="Гиперссылка 2" xfId="41302" hidden="1"/>
    <cellStyle name="Гиперссылка 2" xfId="41367" hidden="1"/>
    <cellStyle name="Гиперссылка 2" xfId="40202" hidden="1"/>
    <cellStyle name="Гиперссылка 2" xfId="40483" hidden="1"/>
    <cellStyle name="Гиперссылка 2" xfId="41044" hidden="1"/>
    <cellStyle name="Гиперссылка 2" xfId="40866" hidden="1"/>
    <cellStyle name="Гиперссылка 2" xfId="40243" hidden="1"/>
    <cellStyle name="Гиперссылка 2" xfId="40918" hidden="1"/>
    <cellStyle name="Гиперссылка 2" xfId="40593" hidden="1"/>
    <cellStyle name="Гиперссылка 2" xfId="37027" hidden="1"/>
    <cellStyle name="Гиперссылка 2" xfId="40320" hidden="1"/>
    <cellStyle name="Гиперссылка 2" xfId="40301" hidden="1"/>
    <cellStyle name="Гиперссылка 2" xfId="40522" hidden="1"/>
    <cellStyle name="Гиперссылка 2" xfId="40623" hidden="1"/>
    <cellStyle name="Гиперссылка 2" xfId="41323" hidden="1"/>
    <cellStyle name="Гиперссылка 2" xfId="41173" hidden="1"/>
    <cellStyle name="Гиперссылка 2" xfId="40891" hidden="1"/>
    <cellStyle name="Гиперссылка 2" xfId="37028" hidden="1"/>
    <cellStyle name="Гиперссылка 2" xfId="41307" hidden="1"/>
    <cellStyle name="Гиперссылка 2" xfId="41433" hidden="1"/>
    <cellStyle name="Гиперссылка 2" xfId="41067" hidden="1"/>
    <cellStyle name="Гиперссылка 2" xfId="41152" hidden="1"/>
    <cellStyle name="Гиперссылка 2" xfId="40303" hidden="1"/>
    <cellStyle name="Гиперссылка 2" xfId="40393" hidden="1"/>
    <cellStyle name="Гиперссылка 2" xfId="40199" hidden="1"/>
    <cellStyle name="Гиперссылка 2" xfId="40912" hidden="1"/>
    <cellStyle name="Гиперссылка 2" xfId="41167" hidden="1"/>
    <cellStyle name="Гиперссылка 2" xfId="40996" hidden="1"/>
    <cellStyle name="Гиперссылка 2" xfId="40549" hidden="1"/>
    <cellStyle name="Гиперссылка 2" xfId="40616" hidden="1"/>
    <cellStyle name="Гиперссылка 2" xfId="41318" hidden="1"/>
    <cellStyle name="Гиперссылка 2" xfId="40197" hidden="1"/>
    <cellStyle name="Гиперссылка 2" xfId="41320" hidden="1"/>
    <cellStyle name="Гиперссылка 2" xfId="41385" hidden="1"/>
    <cellStyle name="Гиперссылка 2" xfId="40711" hidden="1"/>
    <cellStyle name="Гиперссылка 2" xfId="40691" hidden="1"/>
    <cellStyle name="Гиперссылка 2" xfId="41229" hidden="1"/>
    <cellStyle name="Гиперссылка 2" xfId="40170" hidden="1"/>
    <cellStyle name="Гиперссылка 2" xfId="40563" hidden="1"/>
    <cellStyle name="Гиперссылка 2" xfId="40398" hidden="1"/>
    <cellStyle name="Гиперссылка 2" xfId="40971" hidden="1"/>
    <cellStyle name="Гиперссылка 2" xfId="40963" hidden="1"/>
    <cellStyle name="Гиперссылка 2" xfId="40313" hidden="1"/>
    <cellStyle name="Гиперссылка 2" xfId="40318" hidden="1"/>
    <cellStyle name="Гиперссылка 2" xfId="40471" hidden="1"/>
    <cellStyle name="Гиперссылка 2" xfId="40394" hidden="1"/>
    <cellStyle name="Гиперссылка 2" xfId="40838" hidden="1"/>
    <cellStyle name="Гиперссылка 2" xfId="40639" hidden="1"/>
    <cellStyle name="Гиперссылка 2" xfId="41264" hidden="1"/>
    <cellStyle name="Гиперссылка 2" xfId="40432" hidden="1"/>
    <cellStyle name="Гиперссылка 2" xfId="41016" hidden="1"/>
    <cellStyle name="Гиперссылка 2" xfId="41103" hidden="1"/>
    <cellStyle name="Гиперссылка 2" xfId="37043" hidden="1"/>
    <cellStyle name="Гиперссылка 2" xfId="37039" hidden="1"/>
    <cellStyle name="Гиперссылка 2" xfId="40978" hidden="1"/>
    <cellStyle name="Гиперссылка 2" xfId="40888" hidden="1"/>
    <cellStyle name="Гиперссылка 2" xfId="37064" hidden="1"/>
    <cellStyle name="Гиперссылка 2" xfId="40262" hidden="1"/>
    <cellStyle name="Гиперссылка 2" xfId="40513" hidden="1"/>
    <cellStyle name="Гиперссылка 2" xfId="40590" hidden="1"/>
    <cellStyle name="Гиперссылка 2" xfId="40084" hidden="1"/>
    <cellStyle name="Гиперссылка 2" xfId="40123" hidden="1"/>
    <cellStyle name="Гиперссылка 2" xfId="40146" hidden="1"/>
    <cellStyle name="Гиперссылка 2" xfId="40150" hidden="1"/>
    <cellStyle name="Гиперссылка 2" xfId="40357" hidden="1"/>
    <cellStyle name="Гиперссылка 2" xfId="40287" hidden="1"/>
    <cellStyle name="Гиперссылка 2" xfId="40352" hidden="1"/>
    <cellStyle name="Гиперссылка 2" xfId="40281" hidden="1"/>
    <cellStyle name="Гиперссылка 2" xfId="40342" hidden="1"/>
    <cellStyle name="Гиперссылка 2" xfId="40137" hidden="1"/>
    <cellStyle name="Гиперссылка 2" xfId="40227" hidden="1"/>
    <cellStyle name="Гиперссылка 2" xfId="40267" hidden="1"/>
    <cellStyle name="Гиперссылка 2" xfId="40355" hidden="1"/>
    <cellStyle name="Гиперссылка 2" xfId="40231" hidden="1"/>
    <cellStyle name="Гиперссылка 2" xfId="40864" hidden="1"/>
    <cellStyle name="Гиперссылка 2" xfId="40455" hidden="1"/>
    <cellStyle name="Гиперссылка 2" xfId="40349" hidden="1"/>
    <cellStyle name="Гиперссылка 2" xfId="40255" hidden="1"/>
    <cellStyle name="Гиперссылка 2" xfId="40079" hidden="1"/>
    <cellStyle name="Гиперссылка 2" xfId="37030" hidden="1"/>
    <cellStyle name="Гиперссылка 2" xfId="41237" hidden="1"/>
    <cellStyle name="Гиперссылка 2" xfId="40514" hidden="1"/>
    <cellStyle name="Гиперссылка 2" xfId="37048" hidden="1"/>
    <cellStyle name="Гиперссылка 2" xfId="40136" hidden="1"/>
    <cellStyle name="Гиперссылка 2" xfId="40979" hidden="1"/>
    <cellStyle name="Гиперссылка 2" xfId="40787" hidden="1"/>
    <cellStyle name="Гиперссылка 2" xfId="40416" hidden="1"/>
    <cellStyle name="Гиперссылка 2" xfId="40499" hidden="1"/>
    <cellStyle name="Гиперссылка 2" xfId="41369" hidden="1"/>
    <cellStyle name="Гиперссылка 2" xfId="40186" hidden="1"/>
    <cellStyle name="Гиперссылка 2" xfId="41151" hidden="1"/>
    <cellStyle name="Гиперссылка 2" xfId="41225" hidden="1"/>
    <cellStyle name="Гиперссылка 2" xfId="40119" hidden="1"/>
    <cellStyle name="Гиперссылка 2" xfId="40557" hidden="1"/>
    <cellStyle name="Гиперссылка 2" xfId="40444" hidden="1"/>
    <cellStyle name="Гиперссылка 2" xfId="40112" hidden="1"/>
    <cellStyle name="Гиперссылка 2" xfId="40512" hidden="1"/>
    <cellStyle name="Гиперссылка 2" xfId="40184" hidden="1"/>
    <cellStyle name="Гиперссылка 2" xfId="40660" hidden="1"/>
    <cellStyle name="Гиперссылка 2" xfId="40265" hidden="1"/>
    <cellStyle name="Гиперссылка 2" xfId="40539" hidden="1"/>
    <cellStyle name="Гиперссылка 2" xfId="40453" hidden="1"/>
    <cellStyle name="Гиперссылка 2" xfId="40860" hidden="1"/>
    <cellStyle name="Гиперссылка 2" xfId="40955" hidden="1"/>
    <cellStyle name="Гиперссылка 2" xfId="40103" hidden="1"/>
    <cellStyle name="Гиперссылка 2" xfId="40767" hidden="1"/>
    <cellStyle name="Гиперссылка 2" xfId="40606" hidden="1"/>
    <cellStyle name="Гиперссылка 2" xfId="40312" hidden="1"/>
    <cellStyle name="Гиперссылка 2" xfId="40511" hidden="1"/>
    <cellStyle name="Гиперссылка 2" xfId="40487" hidden="1"/>
    <cellStyle name="Гиперссылка 2" xfId="37008" hidden="1"/>
    <cellStyle name="Гиперссылка 2" xfId="40408" hidden="1"/>
    <cellStyle name="Гиперссылка 2" xfId="40816" hidden="1"/>
    <cellStyle name="Гиперссылка 2" xfId="40192" hidden="1"/>
    <cellStyle name="Гиперссылка 2" xfId="40561" hidden="1"/>
    <cellStyle name="Гиперссылка 2" xfId="41129" hidden="1"/>
    <cellStyle name="Гиперссылка 2" xfId="40921" hidden="1"/>
    <cellStyle name="Гиперссылка 2" xfId="40417" hidden="1"/>
    <cellStyle name="Гиперссылка 2" xfId="40143" hidden="1"/>
    <cellStyle name="Гиперссылка 2" xfId="41144" hidden="1"/>
    <cellStyle name="Гиперссылка 2" xfId="40254" hidden="1"/>
    <cellStyle name="Гиперссылка 2" xfId="37023" hidden="1"/>
    <cellStyle name="Гиперссылка 2" xfId="40179" hidden="1"/>
    <cellStyle name="Гиперссылка 2" xfId="40459" hidden="1"/>
    <cellStyle name="Гиперссылка 2" xfId="41308" hidden="1"/>
    <cellStyle name="Гиперссылка 2" xfId="41153" hidden="1"/>
    <cellStyle name="Гиперссылка 2" xfId="37050" hidden="1"/>
    <cellStyle name="Гиперссылка 2" xfId="37002" hidden="1"/>
    <cellStyle name="Гиперссылка 2" xfId="37052" hidden="1"/>
    <cellStyle name="Гиперссылка 2" xfId="40793" hidden="1"/>
    <cellStyle name="Гиперссылка 2" xfId="37032" hidden="1"/>
    <cellStyle name="Гиперссылка 2" xfId="37026" hidden="1"/>
    <cellStyle name="Гиперссылка 2" xfId="36997" hidden="1"/>
    <cellStyle name="Гиперссылка 2" xfId="37046" hidden="1"/>
    <cellStyle name="Гиперссылка 2" xfId="40343" hidden="1"/>
    <cellStyle name="Гиперссылка 2" xfId="40268" hidden="1"/>
    <cellStyle name="Гиперссылка 2" xfId="41435" hidden="1"/>
    <cellStyle name="Гиперссылка 2" xfId="41309" hidden="1"/>
    <cellStyle name="Гиперссылка 2" xfId="40797" hidden="1"/>
    <cellStyle name="Гиперссылка 2" xfId="40984" hidden="1"/>
    <cellStyle name="Гиперссылка 2" xfId="40465" hidden="1"/>
    <cellStyle name="Гиперссылка 2" xfId="40598" hidden="1"/>
    <cellStyle name="Гиперссылка 2" xfId="41061" hidden="1"/>
    <cellStyle name="Гиперссылка 2" xfId="40104" hidden="1"/>
    <cellStyle name="Гиперссылка 2" xfId="40882" hidden="1"/>
    <cellStyle name="Гиперссылка 2" xfId="40698" hidden="1"/>
    <cellStyle name="Гиперссылка 2" xfId="40304" hidden="1"/>
    <cellStyle name="Гиперссылка 2" xfId="40228" hidden="1"/>
    <cellStyle name="Гиперссылка 2" xfId="37006" hidden="1"/>
    <cellStyle name="Гиперссылка 2" xfId="40533" hidden="1"/>
    <cellStyle name="Гиперссылка 2" xfId="40117" hidden="1"/>
    <cellStyle name="Гиперссылка 2" xfId="40535" hidden="1"/>
    <cellStyle name="Гиперссылка 2" xfId="40446" hidden="1"/>
    <cellStyle name="Гиперссылка 2" xfId="40392" hidden="1"/>
    <cellStyle name="Гиперссылка 2" xfId="37015" hidden="1"/>
    <cellStyle name="Гиперссылка 2" xfId="40410" hidden="1"/>
    <cellStyle name="Гиперссылка 2" xfId="40292" hidden="1"/>
    <cellStyle name="Гиперссылка 2" xfId="41004" hidden="1"/>
    <cellStyle name="Гиперссылка 2" xfId="41373" hidden="1"/>
    <cellStyle name="Гиперссылка 2" xfId="40879" hidden="1"/>
    <cellStyle name="Гиперссылка 2" xfId="40823" hidden="1"/>
    <cellStyle name="Гиперссылка 2" xfId="41379" hidden="1"/>
    <cellStyle name="Гиперссылка 2" xfId="40439" hidden="1"/>
    <cellStyle name="Гиперссылка 2" xfId="40619" hidden="1"/>
    <cellStyle name="Гиперссылка 2" xfId="41400" hidden="1"/>
    <cellStyle name="Гиперссылка 2" xfId="41265" hidden="1"/>
    <cellStyle name="Гиперссылка 2" xfId="40466" hidden="1"/>
    <cellStyle name="Гиперссылка 2" xfId="37005" hidden="1"/>
    <cellStyle name="Гиперссылка 2" xfId="40877" hidden="1"/>
    <cellStyle name="Гиперссылка 2" xfId="41054" hidden="1"/>
    <cellStyle name="Гиперссылка 2" xfId="40582" hidden="1"/>
    <cellStyle name="Гиперссылка 2" xfId="40685" hidden="1"/>
    <cellStyle name="Гиперссылка 2" xfId="40341" hidden="1"/>
    <cellStyle name="Гиперссылка 2" xfId="40082" hidden="1"/>
    <cellStyle name="Гиперссылка 2" xfId="40677" hidden="1"/>
    <cellStyle name="Гиперссылка 2" xfId="40544" hidden="1"/>
    <cellStyle name="Гиперссылка 2" xfId="40773" hidden="1"/>
    <cellStyle name="Гиперссылка 2" xfId="41436" hidden="1"/>
    <cellStyle name="Гиперссылка 2" xfId="40176" hidden="1"/>
    <cellStyle name="Гиперссылка 2" xfId="40443" hidden="1"/>
    <cellStyle name="Гиперссылка 2" xfId="40967" hidden="1"/>
    <cellStyle name="Гиперссылка 2" xfId="41050" hidden="1"/>
    <cellStyle name="Гиперссылка 2" xfId="41156" hidden="1"/>
    <cellStyle name="Гиперссылка 2" xfId="41231" hidden="1"/>
    <cellStyle name="Гиперссылка 2" xfId="40987" hidden="1"/>
    <cellStyle name="Гиперссылка 2" xfId="40799" hidden="1"/>
    <cellStyle name="Гиперссылка 2" xfId="40716" hidden="1"/>
    <cellStyle name="Гиперссылка 2" xfId="40490" hidden="1"/>
    <cellStyle name="Гиперссылка 2" xfId="40306" hidden="1"/>
    <cellStyle name="Гиперссылка 2" xfId="40546" hidden="1"/>
    <cellStyle name="Гиперссылка 2" xfId="40196" hidden="1"/>
    <cellStyle name="Гиперссылка 2" xfId="40182" hidden="1"/>
    <cellStyle name="Гиперссылка 2" xfId="40174" hidden="1"/>
    <cellStyle name="Гиперссылка 2" xfId="40452" hidden="1"/>
    <cellStyle name="Гиперссылка 2" xfId="41312" hidden="1"/>
    <cellStyle name="Гиперссылка 2" xfId="41366" hidden="1"/>
    <cellStyle name="Гиперссылка 2" xfId="40248" hidden="1"/>
    <cellStyle name="Гиперссылка 2" xfId="40695" hidden="1"/>
    <cellStyle name="Гиперссылка 2" xfId="41443" hidden="1"/>
    <cellStyle name="Гиперссылка 2" xfId="40109" hidden="1"/>
    <cellStyle name="Гиперссылка 2" xfId="41317" hidden="1"/>
    <cellStyle name="Гиперссылка 2" xfId="40903" hidden="1"/>
    <cellStyle name="Гиперссылка 2" xfId="41521" hidden="1"/>
    <cellStyle name="Гиперссылка 2" xfId="41520" hidden="1"/>
    <cellStyle name="Гиперссылка 2" xfId="41531" hidden="1"/>
    <cellStyle name="Гиперссылка 2" xfId="41532" hidden="1"/>
    <cellStyle name="Гиперссылка 2" xfId="41537" hidden="1"/>
    <cellStyle name="Гиперссылка 2" xfId="41538" hidden="1"/>
    <cellStyle name="Гиперссылка 2" xfId="41534" hidden="1"/>
    <cellStyle name="Гиперссылка 2" xfId="41533" hidden="1"/>
    <cellStyle name="Гиперссылка 2" xfId="41536" hidden="1"/>
    <cellStyle name="Гиперссылка 2" xfId="41535" hidden="1"/>
    <cellStyle name="Гиперссылка 2" xfId="41540" hidden="1"/>
    <cellStyle name="Гиперссылка 2" xfId="41539" hidden="1"/>
    <cellStyle name="Гиперссылка 2" xfId="41542" hidden="1"/>
    <cellStyle name="Гиперссылка 2" xfId="41543" hidden="1"/>
    <cellStyle name="Гиперссылка 2" xfId="41548" hidden="1"/>
    <cellStyle name="Гиперссылка 2" xfId="41549" hidden="1"/>
    <cellStyle name="Гиперссылка 2" xfId="41545" hidden="1"/>
    <cellStyle name="Гиперссылка 2" xfId="41544" hidden="1"/>
    <cellStyle name="Гиперссылка 2" xfId="41547" hidden="1"/>
    <cellStyle name="Гиперссылка 2" xfId="41546" hidden="1"/>
    <cellStyle name="Гиперссылка 2" xfId="41551" hidden="1"/>
    <cellStyle name="Гиперссылка 2" xfId="41550" hidden="1"/>
    <cellStyle name="Гиперссылка 2" xfId="41552" hidden="1"/>
    <cellStyle name="Гиперссылка 2" xfId="41553" hidden="1"/>
    <cellStyle name="Гиперссылка 2" xfId="41558" hidden="1"/>
    <cellStyle name="Гиперссылка 2" xfId="41559" hidden="1"/>
    <cellStyle name="Гиперссылка 2" xfId="41555" hidden="1"/>
    <cellStyle name="Гиперссылка 2" xfId="41554" hidden="1"/>
    <cellStyle name="Гиперссылка 2" xfId="41557" hidden="1"/>
    <cellStyle name="Гиперссылка 2" xfId="41556" hidden="1"/>
    <cellStyle name="Гиперссылка 2" xfId="41561" hidden="1"/>
    <cellStyle name="Гиперссылка 2" xfId="41560" hidden="1"/>
    <cellStyle name="Гиперссылка 2" xfId="40806" hidden="1"/>
    <cellStyle name="Гиперссылка 2" xfId="40409" hidden="1"/>
    <cellStyle name="Гиперссылка 2" xfId="40578" hidden="1"/>
    <cellStyle name="Гиперссылка 2" xfId="40574" hidden="1"/>
    <cellStyle name="Гиперссылка 2" xfId="41206" hidden="1"/>
    <cellStyle name="Гиперссылка 2" xfId="41526" hidden="1"/>
    <cellStyle name="Гиперссылка 2" xfId="40475" hidden="1"/>
    <cellStyle name="Гиперссылка 2" xfId="40693" hidden="1"/>
    <cellStyle name="Гиперссылка 2" xfId="41600" hidden="1"/>
    <cellStyle name="Гиперссылка 2" xfId="41599" hidden="1"/>
    <cellStyle name="Гиперссылка 2" xfId="41609" hidden="1"/>
    <cellStyle name="Гиперссылка 2" xfId="41610" hidden="1"/>
    <cellStyle name="Гиперссылка 2" xfId="41615" hidden="1"/>
    <cellStyle name="Гиперссылка 2" xfId="41616" hidden="1"/>
    <cellStyle name="Гиперссылка 2" xfId="41612" hidden="1"/>
    <cellStyle name="Гиперссылка 2" xfId="41611" hidden="1"/>
    <cellStyle name="Гиперссылка 2" xfId="41614" hidden="1"/>
    <cellStyle name="Гиперссылка 2" xfId="41613" hidden="1"/>
    <cellStyle name="Гиперссылка 2" xfId="41618" hidden="1"/>
    <cellStyle name="Гиперссылка 2" xfId="41617" hidden="1"/>
    <cellStyle name="Гиперссылка 2" xfId="41619" hidden="1"/>
    <cellStyle name="Гиперссылка 2" xfId="41620" hidden="1"/>
    <cellStyle name="Гиперссылка 2" xfId="41625" hidden="1"/>
    <cellStyle name="Гиперссылка 2" xfId="41626" hidden="1"/>
    <cellStyle name="Гиперссылка 2" xfId="41622" hidden="1"/>
    <cellStyle name="Гиперссылка 2" xfId="41621" hidden="1"/>
    <cellStyle name="Гиперссылка 2" xfId="41624" hidden="1"/>
    <cellStyle name="Гиперссылка 2" xfId="41623" hidden="1"/>
    <cellStyle name="Гиперссылка 2" xfId="41628" hidden="1"/>
    <cellStyle name="Гиперссылка 2" xfId="41627" hidden="1"/>
    <cellStyle name="Гиперссылка 2" xfId="41629" hidden="1"/>
    <cellStyle name="Гиперссылка 2" xfId="41630" hidden="1"/>
    <cellStyle name="Гиперссылка 2" xfId="41635" hidden="1"/>
    <cellStyle name="Гиперссылка 2" xfId="41636" hidden="1"/>
    <cellStyle name="Гиперссылка 2" xfId="41632" hidden="1"/>
    <cellStyle name="Гиперссылка 2" xfId="41631" hidden="1"/>
    <cellStyle name="Гиперссылка 2" xfId="41634" hidden="1"/>
    <cellStyle name="Гиперссылка 2" xfId="41633" hidden="1"/>
    <cellStyle name="Гиперссылка 2" xfId="41638" hidden="1"/>
    <cellStyle name="Гиперссылка 2" xfId="41637" hidden="1"/>
    <cellStyle name="Гиперссылка 2" xfId="37040" hidden="1"/>
    <cellStyle name="Гиперссылка 2" xfId="40594" hidden="1"/>
    <cellStyle name="Гиперссылка 2" xfId="40140" hidden="1"/>
    <cellStyle name="Гиперссылка 2" xfId="41316" hidden="1"/>
    <cellStyle name="Гиперссылка 2" xfId="41575" hidden="1"/>
    <cellStyle name="Гиперссылка 2" xfId="41606" hidden="1"/>
    <cellStyle name="Гиперссылка 2" xfId="40498" hidden="1"/>
    <cellStyle name="Гиперссылка 2" xfId="41566" hidden="1"/>
    <cellStyle name="Гиперссылка 2" xfId="41667" hidden="1"/>
    <cellStyle name="Гиперссылка 2" xfId="41666" hidden="1"/>
    <cellStyle name="Гиперссылка 2" xfId="41680" hidden="1"/>
    <cellStyle name="Гиперссылка 2" xfId="41681" hidden="1"/>
    <cellStyle name="Гиперссылка 2" xfId="41687" hidden="1"/>
    <cellStyle name="Гиперссылка 2" xfId="41688" hidden="1"/>
    <cellStyle name="Гиперссылка 2" xfId="41684" hidden="1"/>
    <cellStyle name="Гиперссылка 2" xfId="41683" hidden="1"/>
    <cellStyle name="Гиперссылка 2" xfId="41686" hidden="1"/>
    <cellStyle name="Гиперссылка 2" xfId="41685" hidden="1"/>
    <cellStyle name="Гиперссылка 2" xfId="41690" hidden="1"/>
    <cellStyle name="Гиперссылка 2" xfId="41689" hidden="1"/>
    <cellStyle name="Гиперссылка 2" xfId="41693" hidden="1"/>
    <cellStyle name="Гиперссылка 2" xfId="41694" hidden="1"/>
    <cellStyle name="Гиперссылка 2" xfId="41699" hidden="1"/>
    <cellStyle name="Гиперссылка 2" xfId="41700" hidden="1"/>
    <cellStyle name="Гиперссылка 2" xfId="41696" hidden="1"/>
    <cellStyle name="Гиперссылка 2" xfId="41695" hidden="1"/>
    <cellStyle name="Гиперссылка 2" xfId="41698" hidden="1"/>
    <cellStyle name="Гиперссылка 2" xfId="41697" hidden="1"/>
    <cellStyle name="Гиперссылка 2" xfId="41702" hidden="1"/>
    <cellStyle name="Гиперссылка 2" xfId="41701" hidden="1"/>
    <cellStyle name="Гиперссылка 2" xfId="41703" hidden="1"/>
    <cellStyle name="Гиперссылка 2" xfId="41704" hidden="1"/>
    <cellStyle name="Гиперссылка 2" xfId="41709" hidden="1"/>
    <cellStyle name="Гиперссылка 2" xfId="41710" hidden="1"/>
    <cellStyle name="Гиперссылка 2" xfId="41706" hidden="1"/>
    <cellStyle name="Гиперссылка 2" xfId="41705" hidden="1"/>
    <cellStyle name="Гиперссылка 2" xfId="41708" hidden="1"/>
    <cellStyle name="Гиперссылка 2" xfId="41707" hidden="1"/>
    <cellStyle name="Гиперссылка 2" xfId="41712" hidden="1"/>
    <cellStyle name="Гиперссылка 2" xfId="41711" hidden="1"/>
    <cellStyle name="Гиперссылка 2" xfId="41567" hidden="1"/>
    <cellStyle name="Гиперссылка 2" xfId="41063" hidden="1"/>
    <cellStyle name="Гиперссылка 2" xfId="40791" hidden="1"/>
    <cellStyle name="Гиперссылка 2" xfId="40166" hidden="1"/>
    <cellStyle name="Гиперссылка 2" xfId="41647" hidden="1"/>
    <cellStyle name="Гиперссылка 2" xfId="41675" hidden="1"/>
    <cellStyle name="Гиперссылка 2" xfId="41149" hidden="1"/>
    <cellStyle name="Гиперссылка 2" xfId="41641" hidden="1"/>
    <cellStyle name="Гиперссылка 2" xfId="41739" hidden="1"/>
    <cellStyle name="Гиперссылка 2" xfId="41738" hidden="1"/>
    <cellStyle name="Гиперссылка 2" xfId="41750" hidden="1"/>
    <cellStyle name="Гиперссылка 2" xfId="41751" hidden="1"/>
    <cellStyle name="Гиперссылка 2" xfId="41756" hidden="1"/>
    <cellStyle name="Гиперссылка 2" xfId="41757" hidden="1"/>
    <cellStyle name="Гиперссылка 2" xfId="41753" hidden="1"/>
    <cellStyle name="Гиперссылка 2" xfId="41752" hidden="1"/>
    <cellStyle name="Гиперссылка 2" xfId="41755" hidden="1"/>
    <cellStyle name="Гиперссылка 2" xfId="41754" hidden="1"/>
    <cellStyle name="Гиперссылка 2" xfId="41759" hidden="1"/>
    <cellStyle name="Гиперссылка 2" xfId="41758" hidden="1"/>
    <cellStyle name="Гиперссылка 2" xfId="41760" hidden="1"/>
    <cellStyle name="Гиперссылка 2" xfId="41761" hidden="1"/>
    <cellStyle name="Гиперссылка 2" xfId="41766" hidden="1"/>
    <cellStyle name="Гиперссылка 2" xfId="41767" hidden="1"/>
    <cellStyle name="Гиперссылка 2" xfId="41763" hidden="1"/>
    <cellStyle name="Гиперссылка 2" xfId="41762" hidden="1"/>
    <cellStyle name="Гиперссылка 2" xfId="41765" hidden="1"/>
    <cellStyle name="Гиперссылка 2" xfId="41764" hidden="1"/>
    <cellStyle name="Гиперссылка 2" xfId="41769" hidden="1"/>
    <cellStyle name="Гиперссылка 2" xfId="41768" hidden="1"/>
    <cellStyle name="Гиперссылка 2" xfId="41770" hidden="1"/>
    <cellStyle name="Гиперссылка 2" xfId="41771" hidden="1"/>
    <cellStyle name="Гиперссылка 2" xfId="41776" hidden="1"/>
    <cellStyle name="Гиперссылка 2" xfId="41777" hidden="1"/>
    <cellStyle name="Гиперссылка 2" xfId="41773" hidden="1"/>
    <cellStyle name="Гиперссылка 2" xfId="41772" hidden="1"/>
    <cellStyle name="Гиперссылка 2" xfId="41775" hidden="1"/>
    <cellStyle name="Гиперссылка 2" xfId="41774" hidden="1"/>
    <cellStyle name="Гиперссылка 2" xfId="41779" hidden="1"/>
    <cellStyle name="Гиперссылка 2" xfId="41778" hidden="1"/>
    <cellStyle name="Гиперссылка 2" xfId="41642" hidden="1"/>
    <cellStyle name="Гиперссылка 2" xfId="41043" hidden="1"/>
    <cellStyle name="Гиперссылка 2" xfId="40914" hidden="1"/>
    <cellStyle name="Гиперссылка 2" xfId="40560" hidden="1"/>
    <cellStyle name="Гиперссылка 2" xfId="41722" hidden="1"/>
    <cellStyle name="Гиперссылка 2" xfId="41746" hidden="1"/>
    <cellStyle name="Гиперссылка 2" xfId="41249" hidden="1"/>
    <cellStyle name="Гиперссылка 2" xfId="41716" hidden="1"/>
    <cellStyle name="Гиперссылка 2" xfId="41803" hidden="1"/>
    <cellStyle name="Гиперссылка 2" xfId="41802" hidden="1"/>
    <cellStyle name="Гиперссылка 2" xfId="41812" hidden="1"/>
    <cellStyle name="Гиперссылка 2" xfId="41813" hidden="1"/>
    <cellStyle name="Гиперссылка 2" xfId="41818" hidden="1"/>
    <cellStyle name="Гиперссылка 2" xfId="41819" hidden="1"/>
    <cellStyle name="Гиперссылка 2" xfId="41815" hidden="1"/>
    <cellStyle name="Гиперссылка 2" xfId="41814" hidden="1"/>
    <cellStyle name="Гиперссылка 2" xfId="41817" hidden="1"/>
    <cellStyle name="Гиперссылка 2" xfId="41816" hidden="1"/>
    <cellStyle name="Гиперссылка 2" xfId="41821" hidden="1"/>
    <cellStyle name="Гиперссылка 2" xfId="41820" hidden="1"/>
    <cellStyle name="Гиперссылка 2" xfId="41823" hidden="1"/>
    <cellStyle name="Гиперссылка 2" xfId="41824" hidden="1"/>
    <cellStyle name="Гиперссылка 2" xfId="41829" hidden="1"/>
    <cellStyle name="Гиперссылка 2" xfId="41830" hidden="1"/>
    <cellStyle name="Гиперссылка 2" xfId="41826" hidden="1"/>
    <cellStyle name="Гиперссылка 2" xfId="41825" hidden="1"/>
    <cellStyle name="Гиперссылка 2" xfId="41828" hidden="1"/>
    <cellStyle name="Гиперссылка 2" xfId="41827" hidden="1"/>
    <cellStyle name="Гиперссылка 2" xfId="41832" hidden="1"/>
    <cellStyle name="Гиперссылка 2" xfId="41831" hidden="1"/>
    <cellStyle name="Гиперссылка 2" xfId="41833" hidden="1"/>
    <cellStyle name="Гиперссылка 2" xfId="41834" hidden="1"/>
    <cellStyle name="Гиперссылка 2" xfId="41839" hidden="1"/>
    <cellStyle name="Гиперссылка 2" xfId="41840" hidden="1"/>
    <cellStyle name="Гиперссылка 2" xfId="41836" hidden="1"/>
    <cellStyle name="Гиперссылка 2" xfId="41835" hidden="1"/>
    <cellStyle name="Гиперссылка 2" xfId="41838" hidden="1"/>
    <cellStyle name="Гиперссылка 2" xfId="41837" hidden="1"/>
    <cellStyle name="Гиперссылка 2" xfId="41842" hidden="1"/>
    <cellStyle name="Гиперссылка 2" xfId="41841" hidden="1"/>
    <cellStyle name="Гиперссылка 2" xfId="41717" hidden="1"/>
    <cellStyle name="Гиперссылка 2" xfId="41140" hidden="1"/>
    <cellStyle name="Гиперссылка 2" xfId="40450" hidden="1"/>
    <cellStyle name="Гиперссылка 2" xfId="40904" hidden="1"/>
    <cellStyle name="Гиперссылка 2" xfId="41786" hidden="1"/>
    <cellStyle name="Гиперссылка 2" xfId="41810" hidden="1"/>
    <cellStyle name="Гиперссылка 2" xfId="41507" hidden="1"/>
    <cellStyle name="Гиперссылка 2" xfId="41780" hidden="1"/>
    <cellStyle name="Гиперссылка 2" xfId="41859" hidden="1"/>
    <cellStyle name="Гиперссылка 2" xfId="41858" hidden="1"/>
    <cellStyle name="Гиперссылка 2" xfId="41864" hidden="1"/>
    <cellStyle name="Гиперссылка 2" xfId="41865" hidden="1"/>
    <cellStyle name="Гиперссылка 2" xfId="41870" hidden="1"/>
    <cellStyle name="Гиперссылка 2" xfId="41871" hidden="1"/>
    <cellStyle name="Гиперссылка 2" xfId="41867" hidden="1"/>
    <cellStyle name="Гиперссылка 2" xfId="41866" hidden="1"/>
    <cellStyle name="Гиперссылка 2" xfId="41869" hidden="1"/>
    <cellStyle name="Гиперссылка 2" xfId="41868" hidden="1"/>
    <cellStyle name="Гиперссылка 2" xfId="41873" hidden="1"/>
    <cellStyle name="Гиперссылка 2" xfId="41872" hidden="1"/>
    <cellStyle name="Гиперссылка 2" xfId="41874" hidden="1"/>
    <cellStyle name="Гиперссылка 2" xfId="41875" hidden="1"/>
    <cellStyle name="Гиперссылка 2" xfId="41880" hidden="1"/>
    <cellStyle name="Гиперссылка 2" xfId="41881" hidden="1"/>
    <cellStyle name="Гиперссылка 2" xfId="41877" hidden="1"/>
    <cellStyle name="Гиперссылка 2" xfId="41876" hidden="1"/>
    <cellStyle name="Гиперссылка 2" xfId="41879" hidden="1"/>
    <cellStyle name="Гиперссылка 2" xfId="41878" hidden="1"/>
    <cellStyle name="Гиперссылка 2" xfId="41883" hidden="1"/>
    <cellStyle name="Гиперссылка 2" xfId="41882" hidden="1"/>
    <cellStyle name="Гиперссылка 2" xfId="41884" hidden="1"/>
    <cellStyle name="Гиперссылка 2" xfId="41885" hidden="1"/>
    <cellStyle name="Гиперссылка 2" xfId="41890" hidden="1"/>
    <cellStyle name="Гиперссылка 2" xfId="41891" hidden="1"/>
    <cellStyle name="Гиперссылка 2" xfId="41887" hidden="1"/>
    <cellStyle name="Гиперссылка 2" xfId="41886" hidden="1"/>
    <cellStyle name="Гиперссылка 2" xfId="41889" hidden="1"/>
    <cellStyle name="Гиперссылка 2" xfId="41888" hidden="1"/>
    <cellStyle name="Гиперссылка 2" xfId="41893" hidden="1"/>
    <cellStyle name="Гиперссылка 2" xfId="41892" hidden="1"/>
    <cellStyle name="Гиперссылка 2" xfId="41781" hidden="1"/>
    <cellStyle name="Гиперссылка 2" xfId="40804" hidden="1"/>
    <cellStyle name="Гиперссылка 2" xfId="41574" hidden="1"/>
    <cellStyle name="Гиперссылка 2" xfId="40556" hidden="1"/>
    <cellStyle name="Гиперссылка 2" xfId="41846" hidden="1"/>
    <cellStyle name="Гиперссылка 2" xfId="41863" hidden="1"/>
    <cellStyle name="Гиперссылка 2" xfId="41586" hidden="1"/>
    <cellStyle name="Гиперссылка 2" xfId="41844" hidden="1"/>
    <cellStyle name="Гиперссылка 2" xfId="41895" hidden="1"/>
    <cellStyle name="Гиперссылка 2" xfId="41894" hidden="1"/>
    <cellStyle name="Гиперссылка 2" xfId="41896" hidden="1"/>
    <cellStyle name="Гиперссылка 2" xfId="41897" hidden="1"/>
    <cellStyle name="Гиперссылка 2" xfId="41902" hidden="1"/>
    <cellStyle name="Гиперссылка 2" xfId="41903" hidden="1"/>
    <cellStyle name="Гиперссылка 2" xfId="41899" hidden="1"/>
    <cellStyle name="Гиперссылка 2" xfId="41898" hidden="1"/>
    <cellStyle name="Гиперссылка 2" xfId="41901" hidden="1"/>
    <cellStyle name="Гиперссылка 2" xfId="41900" hidden="1"/>
    <cellStyle name="Гиперссылка 2" xfId="41905" hidden="1"/>
    <cellStyle name="Гиперссылка 2" xfId="41904" hidden="1"/>
    <cellStyle name="Гиперссылка 2" xfId="41906" hidden="1"/>
    <cellStyle name="Гиперссылка 2" xfId="41907" hidden="1"/>
    <cellStyle name="Гиперссылка 2" xfId="41912" hidden="1"/>
    <cellStyle name="Гиперссылка 2" xfId="41913" hidden="1"/>
    <cellStyle name="Гиперссылка 2" xfId="41909" hidden="1"/>
    <cellStyle name="Гиперссылка 2" xfId="41908" hidden="1"/>
    <cellStyle name="Гиперссылка 2" xfId="41911" hidden="1"/>
    <cellStyle name="Гиперссылка 2" xfId="41910" hidden="1"/>
    <cellStyle name="Гиперссылка 2" xfId="41915" hidden="1"/>
    <cellStyle name="Гиперссылка 2" xfId="41914" hidden="1"/>
    <cellStyle name="Гиперссылка 2" xfId="41916" hidden="1"/>
    <cellStyle name="Гиперссылка 2" xfId="41917" hidden="1"/>
    <cellStyle name="Гиперссылка 2" xfId="41922" hidden="1"/>
    <cellStyle name="Гиперссылка 2" xfId="41923" hidden="1"/>
    <cellStyle name="Гиперссылка 2" xfId="41919" hidden="1"/>
    <cellStyle name="Гиперссылка 2" xfId="41918" hidden="1"/>
    <cellStyle name="Гиперссылка 2" xfId="41921" hidden="1"/>
    <cellStyle name="Гиперссылка 2" xfId="41920" hidden="1"/>
    <cellStyle name="Гиперссылка 2" xfId="41925" hidden="1"/>
    <cellStyle name="Гиперссылка 2" xfId="41924" hidden="1"/>
    <cellStyle name="Гиперссылка 2" xfId="40185" hidden="1"/>
    <cellStyle name="Гиперссылка 2" xfId="40100" hidden="1"/>
    <cellStyle name="Гиперссылка 2" xfId="41669" hidden="1"/>
    <cellStyle name="Гиперссылка 2" xfId="40467" hidden="1"/>
    <cellStyle name="Гиперссылка 2" xfId="36998" hidden="1"/>
    <cellStyle name="Гиперссылка 2" xfId="40919" hidden="1"/>
    <cellStyle name="Гиперссылка 2" xfId="41384" hidden="1"/>
    <cellStyle name="Гиперссылка 2" xfId="40722" hidden="1"/>
    <cellStyle name="Гиперссылка 2" xfId="41155" hidden="1"/>
    <cellStyle name="Гиперссылка 2" xfId="40278" hidden="1"/>
    <cellStyle name="Гиперссылка 2" xfId="41799" hidden="1"/>
    <cellStyle name="Гиперссылка 2" xfId="41659" hidden="1"/>
    <cellStyle name="Гиперссылка 2" xfId="41370" hidden="1"/>
    <cellStyle name="Гиперссылка 2" xfId="40497" hidden="1"/>
    <cellStyle name="Гиперссылка 2" xfId="41594" hidden="1"/>
    <cellStyle name="Гиперссылка 2" xfId="41735" hidden="1"/>
    <cellStyle name="Гиперссылка 2" xfId="40608" hidden="1"/>
    <cellStyle name="Гиперссылка 2" xfId="41058" hidden="1"/>
    <cellStyle name="Гиперссылка 2" xfId="40430" hidden="1"/>
    <cellStyle name="Гиперссылка 2" xfId="40356" hidden="1"/>
    <cellStyle name="Гиперссылка 2" xfId="40221" hidden="1"/>
    <cellStyle name="Гиперссылка 2" xfId="41233" hidden="1"/>
    <cellStyle name="Гиперссылка 2" xfId="40463" hidden="1"/>
    <cellStyle name="Гиперссылка 2" xfId="40329" hidden="1"/>
    <cellStyle name="Гиперссылка 2" xfId="41135" hidden="1"/>
    <cellStyle name="Гиперссылка 2" xfId="40783" hidden="1"/>
    <cellStyle name="Гиперссылка 2" xfId="41134" hidden="1"/>
    <cellStyle name="Гиперссылка 2" xfId="40576" hidden="1"/>
    <cellStyle name="Гиперссылка 2" xfId="40599" hidden="1"/>
    <cellStyle name="Гиперссылка 2" xfId="37041" hidden="1"/>
    <cellStyle name="Гиперссылка 2" xfId="40614" hidden="1"/>
    <cellStyle name="Гиперссылка 2" xfId="40885" hidden="1"/>
    <cellStyle name="Гиперссылка 2" xfId="40982" hidden="1"/>
    <cellStyle name="Гиперссылка 2" xfId="40194" hidden="1"/>
    <cellStyle name="Гиперссылка 2" xfId="40865" hidden="1"/>
    <cellStyle name="Гиперссылка 2" xfId="41141" hidden="1"/>
    <cellStyle name="Гиперссылка 2" xfId="40922" hidden="1"/>
    <cellStyle name="Гиперссылка 2" xfId="40473" hidden="1"/>
    <cellStyle name="Гиперссылка 2" xfId="40543" hidden="1"/>
    <cellStyle name="Гиперссылка 2" xfId="40309" hidden="1"/>
    <cellStyle name="Гиперссылка 2" xfId="40285" hidden="1"/>
    <cellStyle name="Гиперссылка 2" xfId="40810" hidden="1"/>
    <cellStyle name="Гиперссылка 2" xfId="40482" hidden="1"/>
    <cellStyle name="Гиперссылка 2" xfId="40587" hidden="1"/>
    <cellStyle name="Гиперссылка 2" xfId="41175" hidden="1"/>
    <cellStyle name="Гиперссылка 2" xfId="40680" hidden="1"/>
    <cellStyle name="Гиперссылка 2" xfId="41728" hidden="1"/>
    <cellStyle name="Гиперссылка 2" xfId="41790" hidden="1"/>
    <cellStyle name="Гиперссылка 2" xfId="37022" hidden="1"/>
    <cellStyle name="Гиперссылка 2" xfId="40678" hidden="1"/>
    <cellStyle name="Гиперссылка 2" xfId="40314" hidden="1"/>
    <cellStyle name="Гиперссылка 2" xfId="40902" hidden="1"/>
    <cellStyle name="Гиперссылка 2" xfId="41245" hidden="1"/>
    <cellStyle name="Гиперссылка 2" xfId="40457" hidden="1"/>
    <cellStyle name="Гиперссылка 2" xfId="40296" hidden="1"/>
    <cellStyle name="Гиперссылка 2" xfId="41325" hidden="1"/>
    <cellStyle name="Гиперссылка 2" xfId="41286" hidden="1"/>
    <cellStyle name="Гиперссылка 2" xfId="40870" hidden="1"/>
    <cellStyle name="Гиперссылка 2" xfId="37013" hidden="1"/>
    <cellStyle name="Гиперссылка 2" xfId="40480" hidden="1"/>
    <cellStyle name="Гиперссылка 2" xfId="41747" hidden="1"/>
    <cellStyle name="Гиперссылка 2" xfId="41607" hidden="1"/>
    <cellStyle name="Гиперссылка 2" xfId="40253" hidden="1"/>
    <cellStyle name="Гиперссылка 2" xfId="41003" hidden="1"/>
    <cellStyle name="Гиперссылка 2" xfId="41731" hidden="1"/>
    <cellStyle name="Гиперссылка 2" xfId="41852" hidden="1"/>
    <cellStyle name="Гиперссылка 2" xfId="41512" hidden="1"/>
    <cellStyle name="Гиперссылка 2" xfId="41589" hidden="1"/>
    <cellStyle name="Гиперссылка 2" xfId="40080" hidden="1"/>
    <cellStyle name="Гиперссылка 2" xfId="37011" hidden="1"/>
    <cellStyle name="Гиперссылка 2" xfId="41241" hidden="1"/>
    <cellStyle name="Гиперссылка 2" xfId="40915" hidden="1"/>
    <cellStyle name="Гиперссылка 2" xfId="41602" hidden="1"/>
    <cellStyle name="Гиперссылка 2" xfId="41292" hidden="1"/>
    <cellStyle name="Гиперссылка 2" xfId="40403" hidden="1"/>
    <cellStyle name="Гиперссылка 2" xfId="40803" hidden="1"/>
    <cellStyle name="Гиперссылка 2" xfId="41742" hidden="1"/>
    <cellStyle name="Гиперссылка 2" xfId="40128" hidden="1"/>
    <cellStyle name="Гиперссылка 2" xfId="41744" hidden="1"/>
    <cellStyle name="Гиперссылка 2" xfId="41807" hidden="1"/>
    <cellStyle name="Гиперссылка 2" xfId="40509" hidden="1"/>
    <cellStyle name="Гиперссылка 2" xfId="41386" hidden="1"/>
    <cellStyle name="Гиперссылка 2" xfId="41660" hidden="1"/>
    <cellStyle name="Гиперссылка 2" xfId="40405" hidden="1"/>
    <cellStyle name="Гиперссылка 2" xfId="40407" hidden="1"/>
    <cellStyle name="Гиперссылка 2" xfId="37033" hidden="1"/>
    <cellStyle name="Гиперссылка 2" xfId="40720" hidden="1"/>
    <cellStyle name="Гиперссылка 2" xfId="40710" hidden="1"/>
    <cellStyle name="Гиперссылка 2" xfId="40092" hidden="1"/>
    <cellStyle name="Гиперссылка 2" xfId="41165" hidden="1"/>
    <cellStyle name="Гиперссылка 2" xfId="40759" hidden="1"/>
    <cellStyle name="Гиперссылка 2" xfId="37018" hidden="1"/>
    <cellStyle name="Гиперссылка 2" xfId="40391" hidden="1"/>
    <cellStyle name="Гиперссылка 2" xfId="40198" hidden="1"/>
    <cellStyle name="Гиперссылка 2" xfId="41691" hidden="1"/>
    <cellStyle name="Гиперссылка 2" xfId="40418" hidden="1"/>
    <cellStyle name="Гиперссылка 2" xfId="40266" hidden="1"/>
    <cellStyle name="Гиперссылка 2" xfId="41541" hidden="1"/>
    <cellStyle name="Гиперссылка 2" xfId="40336" hidden="1"/>
    <cellStyle name="Гиперссылка 2" xfId="40218" hidden="1"/>
    <cellStyle name="Гиперссылка 2" xfId="41002" hidden="1"/>
    <cellStyle name="Гиперссылка 2" xfId="40883" hidden="1"/>
    <cellStyle name="Гиперссылка 2" xfId="40286" hidden="1"/>
    <cellStyle name="Гиперссылка 2" xfId="41211" hidden="1"/>
    <cellStyle name="Гиперссылка 2" xfId="41423" hidden="1"/>
    <cellStyle name="Гиперссылка 2" xfId="41085" hidden="1"/>
    <cellStyle name="Гиперссылка 2" xfId="40399" hidden="1"/>
    <cellStyle name="Гиперссылка 2" xfId="40454" hidden="1"/>
    <cellStyle name="Гиперссылка 2" xfId="40209" hidden="1"/>
    <cellStyle name="Гиперссылка 2" xfId="41092" hidden="1"/>
    <cellStyle name="Гиперссылка 2" xfId="40798" hidden="1"/>
    <cellStyle name="Гиперссылка 2" xfId="40817" hidden="1"/>
    <cellStyle name="Гиперссылка 2" xfId="40727" hidden="1"/>
    <cellStyle name="Гиперссылка 2" xfId="40795" hidden="1"/>
    <cellStyle name="Гиперссылка 2" xfId="40776" hidden="1"/>
    <cellStyle name="Гиперссылка 2" xfId="40990" hidden="1"/>
    <cellStyle name="Гиперссылка 2" xfId="40122" hidden="1"/>
    <cellStyle name="Гиперссылка 2" xfId="40547" hidden="1"/>
    <cellStyle name="Гиперссылка 2" xfId="40107" hidden="1"/>
    <cellStyle name="Гиперссылка 2" xfId="40980" hidden="1"/>
    <cellStyle name="Гиперссылка 2" xfId="41234" hidden="1"/>
    <cellStyle name="Гиперссылка 2" xfId="41298" hidden="1"/>
    <cellStyle name="Гиперссылка 2" xfId="41252" hidden="1"/>
    <cellStyle name="Гиперссылка 2" xfId="40570" hidden="1"/>
    <cellStyle name="Гиперссылка 2" xfId="40504" hidden="1"/>
    <cellStyle name="Гиперссылка 2" xfId="37049" hidden="1"/>
    <cellStyle name="Гиперссылка 2" xfId="41664" hidden="1"/>
    <cellStyle name="Гиперссылка 2" xfId="41212" hidden="1"/>
    <cellStyle name="Гиперссылка 2" xfId="40081" hidden="1"/>
    <cellStyle name="Гиперссылка 2" xfId="41077" hidden="1"/>
    <cellStyle name="Гиперссылка 2" xfId="40917" hidden="1"/>
    <cellStyle name="Гиперссылка 2" xfId="40337" hidden="1"/>
    <cellStyle name="Гиперссылка 2" xfId="41324" hidden="1"/>
    <cellStyle name="Гиперссылка 2" xfId="41091" hidden="1"/>
    <cellStyle name="Гиперссылка 2" xfId="41794" hidden="1"/>
    <cellStyle name="Гиперссылка 2" xfId="41427" hidden="1"/>
    <cellStyle name="Гиперссылка 2" xfId="41587" hidden="1"/>
    <cellStyle name="Гиперссылка 2" xfId="41655" hidden="1"/>
    <cellStyle name="Гиперссылка 2" xfId="41288" hidden="1"/>
    <cellStyle name="Гиперссылка 2" xfId="40204" hidden="1"/>
    <cellStyle name="Гиперссылка 2" xfId="41048" hidden="1"/>
    <cellStyle name="Гиперссылка 2" xfId="40815" hidden="1"/>
    <cellStyle name="Гиперссылка 2" xfId="40131" hidden="1"/>
    <cellStyle name="Гиперссылка 2" xfId="40779" hidden="1"/>
    <cellStyle name="Гиперссылка 2" xfId="41169" hidden="1"/>
    <cellStyle name="Гиперссылка 2" xfId="40766" hidden="1"/>
    <cellStyle name="Гиперссылка 2" xfId="40553" hidden="1"/>
    <cellStyle name="Гиперссылка 2" xfId="40234" hidden="1"/>
    <cellStyle name="Гиперссылка 2" xfId="40613" hidden="1"/>
    <cellStyle name="Гиперссылка 2" xfId="40517" hidden="1"/>
    <cellStyle name="Гиперссылка 2" xfId="40353" hidden="1"/>
    <cellStyle name="Гиперссылка 2" xfId="37024" hidden="1"/>
    <cellStyle name="Гиперссылка 2" xfId="40604" hidden="1"/>
    <cellStyle name="Гиперссылка 2" xfId="40554" hidden="1"/>
    <cellStyle name="Гиперссылка 2" xfId="41428" hidden="1"/>
    <cellStyle name="Гиперссылка 2" xfId="40682" hidden="1"/>
    <cellStyle name="Гиперссылка 2" xfId="40261" hidden="1"/>
    <cellStyle name="Гиперссылка 2" xfId="40624" hidden="1"/>
    <cellStyle name="Гиперссылка 2" xfId="40180" hidden="1"/>
    <cellStyle name="Гиперссылка 2" xfId="40347" hidden="1"/>
    <cellStyle name="Гиперссылка 2" xfId="40346" hidden="1"/>
    <cellStyle name="Гиперссылка 2" xfId="41565" hidden="1"/>
    <cellStyle name="Гиперссылка 2" xfId="41299" hidden="1"/>
    <cellStyle name="Гиперссылка 2" xfId="41250" hidden="1"/>
    <cellStyle name="Гиперссылка 2" xfId="40530" hidden="1"/>
    <cellStyle name="Гиперссылка 2" xfId="41578" hidden="1"/>
    <cellStyle name="Гиперссылка 2" xfId="41045" hidden="1"/>
    <cellStyle name="Гиперссылка 2" xfId="40448" hidden="1"/>
    <cellStyle name="Гиперссылка 2" xfId="40580" hidden="1"/>
    <cellStyle name="Гиперссылка 2" xfId="41377" hidden="1"/>
    <cellStyle name="Гиперссылка 2" xfId="41732" hidden="1"/>
    <cellStyle name="Гиперссылка 2" xfId="41591" hidden="1"/>
    <cellStyle name="Гиперссылка 2" xfId="37044" hidden="1"/>
    <cellStyle name="Гиперссылка 2" xfId="40229" hidden="1"/>
    <cellStyle name="Гиперссылка 2" xfId="37036" hidden="1"/>
    <cellStyle name="Гиперссылка 2" xfId="37038" hidden="1"/>
    <cellStyle name="Гиперссылка 2" xfId="37057" hidden="1"/>
    <cellStyle name="Гиперссылка 2" xfId="40293" hidden="1"/>
    <cellStyle name="Гиперссылка 2" xfId="37037" hidden="1"/>
    <cellStyle name="Гиперссылка 2" xfId="40141" hidden="1"/>
    <cellStyle name="Гиперссылка 2" xfId="40434" hidden="1"/>
    <cellStyle name="Гиперссылка 2" xfId="40596" hidden="1"/>
    <cellStyle name="Гиперссылка 2" xfId="41854" hidden="1"/>
    <cellStyle name="Гиперссылка 2" xfId="41734" hidden="1"/>
    <cellStyle name="Гиперссылка 2" xfId="40096" hidden="1"/>
    <cellStyle name="Гиперссылка 2" xfId="40461" hidden="1"/>
    <cellStyle name="Гиперссылка 2" xfId="40333" hidden="1"/>
    <cellStyle name="Гиперссылка 2" xfId="41243" hidden="1"/>
    <cellStyle name="Гиперссылка 2" xfId="40152" hidden="1"/>
    <cellStyle name="Гиперссылка 2" xfId="40282" hidden="1"/>
    <cellStyle name="Гиперссылка 2" xfId="40507" hidden="1"/>
    <cellStyle name="Гиперссылка 2" xfId="40156" hidden="1"/>
    <cellStyle name="Гиперссылка 2" xfId="40193" hidden="1"/>
    <cellStyle name="Гиперссылка 2" xfId="41371" hidden="1"/>
    <cellStyle name="Гиперссылка 2" xfId="40595" hidden="1"/>
    <cellStyle name="Гиперссылка 2" xfId="40585" hidden="1"/>
    <cellStyle name="Гиперссылка 2" xfId="40565" hidden="1"/>
    <cellStyle name="Гиперссылка 2" xfId="40972" hidden="1"/>
    <cellStyle name="Гиперссылка 2" xfId="40339" hidden="1"/>
    <cellStyle name="Гиперссылка 2" xfId="40212" hidden="1"/>
    <cellStyle name="Гиперссылка 2" xfId="40486" hidden="1"/>
    <cellStyle name="Гиперссылка 2" xfId="40162" hidden="1"/>
    <cellStyle name="Гиперссылка 2" xfId="41046" hidden="1"/>
    <cellStyle name="Гиперссылка 2" xfId="40738" hidden="1"/>
    <cellStyle name="Гиперссылка 2" xfId="41797" hidden="1"/>
    <cellStyle name="Гиперссылка 2" xfId="40247" hidden="1"/>
    <cellStyle name="Гиперссылка 2" xfId="37056" hidden="1"/>
    <cellStyle name="Гиперссылка 2" xfId="41801" hidden="1"/>
    <cellStyle name="Гиперссылка 2" xfId="40319" hidden="1"/>
    <cellStyle name="Гиперссылка 2" xfId="40190" hidden="1"/>
    <cellStyle name="Гиперссылка 2" xfId="41822" hidden="1"/>
    <cellStyle name="Гиперссылка 2" xfId="41692" hidden="1"/>
    <cellStyle name="Гиперссылка 2" xfId="40280" hidden="1"/>
    <cellStyle name="Гиперссылка 2" xfId="40256" hidden="1"/>
    <cellStyle name="Гиперссылка 2" xfId="41074" hidden="1"/>
    <cellStyle name="Гиперссылка 2" xfId="40825" hidden="1"/>
    <cellStyle name="Гиперссылка 2" xfId="41305" hidden="1"/>
    <cellStyle name="Гиперссылка 2" xfId="40476" hidden="1"/>
    <cellStyle name="Гиперссылка 2" xfId="40874" hidden="1"/>
    <cellStyle name="Гиперссылка 2" xfId="40558" hidden="1"/>
    <cellStyle name="Гиперссылка 2" xfId="40493" hidden="1"/>
    <cellStyle name="Гиперссылка 2" xfId="41222" hidden="1"/>
    <cellStyle name="Гиперссылка 2" xfId="40139" hidden="1"/>
    <cellStyle name="Гиперссылка 2" xfId="41855" hidden="1"/>
    <cellStyle name="Гиперссылка 2" xfId="40489" hidden="1"/>
    <cellStyle name="Гиперссылка 2" xfId="41136" hidden="1"/>
    <cellStyle name="Гиперссылка 2" xfId="40820" hidden="1"/>
    <cellStyle name="Гиперссылка 2" xfId="40173" hidden="1"/>
    <cellStyle name="Гиперссылка 2" xfId="41593" hidden="1"/>
    <cellStyle name="Гиперссылка 2" xfId="41661" hidden="1"/>
    <cellStyle name="Гиперссылка 2" xfId="41047" hidden="1"/>
    <cellStyle name="Гиперссылка 2" xfId="40981" hidden="1"/>
    <cellStyle name="Гиперссылка 2" xfId="40790" hidden="1"/>
    <cellStyle name="Гиперссылка 2" xfId="41217" hidden="1"/>
    <cellStyle name="Гиперссылка 2" xfId="41148" hidden="1"/>
    <cellStyle name="Гиперссылка 2" xfId="41159" hidden="1"/>
    <cellStyle name="Гиперссылка 2" xfId="41146" hidden="1"/>
    <cellStyle name="Гиперссылка 2" xfId="40697" hidden="1"/>
    <cellStyle name="Гиперссылка 2" xfId="40555" hidden="1"/>
    <cellStyle name="Гиперссылка 2" xfId="40581" hidden="1"/>
    <cellStyle name="Гиперссылка 2" xfId="41736" hidden="1"/>
    <cellStyle name="Гиперссылка 2" xfId="41788" hidden="1"/>
    <cellStyle name="Гиперссылка 2" xfId="41059" hidden="1"/>
    <cellStyle name="Гиперссылка 2" xfId="40436" hidden="1"/>
    <cellStyle name="Гиперссылка 2" xfId="41862" hidden="1"/>
    <cellStyle name="Гиперссылка 2" xfId="41226" hidden="1"/>
    <cellStyle name="Гиперссылка 2" xfId="41741" hidden="1"/>
    <cellStyle name="Гиперссылка 2" xfId="40165" hidden="1"/>
    <cellStyle name="Гиперссылка 2" xfId="41936" hidden="1"/>
    <cellStyle name="Гиперссылка 2" xfId="41935" hidden="1"/>
    <cellStyle name="Гиперссылка 2" xfId="41943" hidden="1"/>
    <cellStyle name="Гиперссылка 2" xfId="41944" hidden="1"/>
    <cellStyle name="Гиперссылка 2" xfId="41949" hidden="1"/>
    <cellStyle name="Гиперссылка 2" xfId="41950" hidden="1"/>
    <cellStyle name="Гиперссылка 2" xfId="41946" hidden="1"/>
    <cellStyle name="Гиперссылка 2" xfId="41945" hidden="1"/>
    <cellStyle name="Гиперссылка 2" xfId="41948" hidden="1"/>
    <cellStyle name="Гиперссылка 2" xfId="41947" hidden="1"/>
    <cellStyle name="Гиперссылка 2" xfId="41952" hidden="1"/>
    <cellStyle name="Гиперссылка 2" xfId="41951" hidden="1"/>
    <cellStyle name="Гиперссылка 2" xfId="41955" hidden="1"/>
    <cellStyle name="Гиперссылка 2" xfId="41956" hidden="1"/>
    <cellStyle name="Гиперссылка 2" xfId="41961" hidden="1"/>
    <cellStyle name="Гиперссылка 2" xfId="41962" hidden="1"/>
    <cellStyle name="Гиперссылка 2" xfId="41958" hidden="1"/>
    <cellStyle name="Гиперссылка 2" xfId="41957" hidden="1"/>
    <cellStyle name="Гиперссылка 2" xfId="41960" hidden="1"/>
    <cellStyle name="Гиперссылка 2" xfId="41959" hidden="1"/>
    <cellStyle name="Гиперссылка 2" xfId="41964" hidden="1"/>
    <cellStyle name="Гиперссылка 2" xfId="41963" hidden="1"/>
    <cellStyle name="Гиперссылка 2" xfId="41965" hidden="1"/>
    <cellStyle name="Гиперссылка 2" xfId="41966" hidden="1"/>
    <cellStyle name="Гиперссылка 2" xfId="41971" hidden="1"/>
    <cellStyle name="Гиперссылка 2" xfId="41972" hidden="1"/>
    <cellStyle name="Гиперссылка 2" xfId="41968" hidden="1"/>
    <cellStyle name="Гиперссылка 2" xfId="41967" hidden="1"/>
    <cellStyle name="Гиперссылка 2" xfId="41970" hidden="1"/>
    <cellStyle name="Гиперссылка 2" xfId="41969" hidden="1"/>
    <cellStyle name="Гиперссылка 2" xfId="41974" hidden="1"/>
    <cellStyle name="Гиперссылка 2" xfId="41973" hidden="1"/>
    <cellStyle name="Гиперссылка 2" xfId="40505" hidden="1"/>
    <cellStyle name="Гиперссылка 2" xfId="40178" hidden="1"/>
    <cellStyle name="Гиперссылка 2" xfId="41421" hidden="1"/>
    <cellStyle name="Гиперссылка 2" xfId="40233" hidden="1"/>
    <cellStyle name="Гиперссылка 2" xfId="41639" hidden="1"/>
    <cellStyle name="Гиперссылка 2" xfId="41939" hidden="1"/>
    <cellStyle name="Гиперссылка 2" xfId="41038" hidden="1"/>
    <cellStyle name="Гиперссылка 2" xfId="40998" hidden="1"/>
    <cellStyle name="Гиперссылка 2" xfId="42006" hidden="1"/>
    <cellStyle name="Гиперссылка 2" xfId="42005" hidden="1"/>
    <cellStyle name="Гиперссылка 2" xfId="42014" hidden="1"/>
    <cellStyle name="Гиперссылка 2" xfId="42015" hidden="1"/>
    <cellStyle name="Гиперссылка 2" xfId="42020" hidden="1"/>
    <cellStyle name="Гиперссылка 2" xfId="42021" hidden="1"/>
    <cellStyle name="Гиперссылка 2" xfId="42017" hidden="1"/>
    <cellStyle name="Гиперссылка 2" xfId="42016" hidden="1"/>
    <cellStyle name="Гиперссылка 2" xfId="42019" hidden="1"/>
    <cellStyle name="Гиперссылка 2" xfId="42018" hidden="1"/>
    <cellStyle name="Гиперссылка 2" xfId="42023" hidden="1"/>
    <cellStyle name="Гиперссылка 2" xfId="42022" hidden="1"/>
    <cellStyle name="Гиперссылка 2" xfId="42024" hidden="1"/>
    <cellStyle name="Гиперссылка 2" xfId="42025" hidden="1"/>
    <cellStyle name="Гиперссылка 2" xfId="42030" hidden="1"/>
    <cellStyle name="Гиперссылка 2" xfId="42031" hidden="1"/>
    <cellStyle name="Гиперссылка 2" xfId="42027" hidden="1"/>
    <cellStyle name="Гиперссылка 2" xfId="42026" hidden="1"/>
    <cellStyle name="Гиперссылка 2" xfId="42029" hidden="1"/>
    <cellStyle name="Гиперссылка 2" xfId="42028" hidden="1"/>
    <cellStyle name="Гиперссылка 2" xfId="42033" hidden="1"/>
    <cellStyle name="Гиперссылка 2" xfId="42032" hidden="1"/>
    <cellStyle name="Гиперссылка 2" xfId="42034" hidden="1"/>
    <cellStyle name="Гиперссылка 2" xfId="42035" hidden="1"/>
    <cellStyle name="Гиперссылка 2" xfId="42040" hidden="1"/>
    <cellStyle name="Гиперссылка 2" xfId="42041" hidden="1"/>
    <cellStyle name="Гиперссылка 2" xfId="42037" hidden="1"/>
    <cellStyle name="Гиперссылка 2" xfId="42036" hidden="1"/>
    <cellStyle name="Гиперссылка 2" xfId="42039" hidden="1"/>
    <cellStyle name="Гиперссылка 2" xfId="42038" hidden="1"/>
    <cellStyle name="Гиперссылка 2" xfId="42043" hidden="1"/>
    <cellStyle name="Гиперссылка 2" xfId="42042" hidden="1"/>
    <cellStyle name="Гиперссылка 2" xfId="40284" hidden="1"/>
    <cellStyle name="Гиперссылка 2" xfId="40909" hidden="1"/>
    <cellStyle name="Гиперссылка 2" xfId="40898" hidden="1"/>
    <cellStyle name="Гиперссылка 2" xfId="41740" hidden="1"/>
    <cellStyle name="Гиперссылка 2" xfId="41986" hidden="1"/>
    <cellStyle name="Гиперссылка 2" xfId="42011" hidden="1"/>
    <cellStyle name="Гиперссылка 2" xfId="40456" hidden="1"/>
    <cellStyle name="Гиперссылка 2" xfId="41977" hidden="1"/>
    <cellStyle name="Гиперссылка 2" xfId="42068" hidden="1"/>
    <cellStyle name="Гиперссылка 2" xfId="42067" hidden="1"/>
    <cellStyle name="Гиперссылка 2" xfId="42076" hidden="1"/>
    <cellStyle name="Гиперссылка 2" xfId="42077" hidden="1"/>
    <cellStyle name="Гиперссылка 2" xfId="42082" hidden="1"/>
    <cellStyle name="Гиперссылка 2" xfId="42083" hidden="1"/>
    <cellStyle name="Гиперссылка 2" xfId="42079" hidden="1"/>
    <cellStyle name="Гиперссылка 2" xfId="42078" hidden="1"/>
    <cellStyle name="Гиперссылка 2" xfId="42081" hidden="1"/>
    <cellStyle name="Гиперссылка 2" xfId="42080" hidden="1"/>
    <cellStyle name="Гиперссылка 2" xfId="42085" hidden="1"/>
    <cellStyle name="Гиперссылка 2" xfId="42084" hidden="1"/>
    <cellStyle name="Гиперссылка 2" xfId="42088" hidden="1"/>
    <cellStyle name="Гиперссылка 2" xfId="42089" hidden="1"/>
    <cellStyle name="Гиперссылка 2" xfId="42094" hidden="1"/>
    <cellStyle name="Гиперссылка 2" xfId="42095" hidden="1"/>
    <cellStyle name="Гиперссылка 2" xfId="42091" hidden="1"/>
    <cellStyle name="Гиперссылка 2" xfId="42090" hidden="1"/>
    <cellStyle name="Гиперссылка 2" xfId="42093" hidden="1"/>
    <cellStyle name="Гиперссылка 2" xfId="42092" hidden="1"/>
    <cellStyle name="Гиперссылка 2" xfId="42097" hidden="1"/>
    <cellStyle name="Гиперссылка 2" xfId="42096" hidden="1"/>
    <cellStyle name="Гиперссылка 2" xfId="42098" hidden="1"/>
    <cellStyle name="Гиперссылка 2" xfId="42099" hidden="1"/>
    <cellStyle name="Гиперссылка 2" xfId="42104" hidden="1"/>
    <cellStyle name="Гиперссылка 2" xfId="42105" hidden="1"/>
    <cellStyle name="Гиперссылка 2" xfId="42101" hidden="1"/>
    <cellStyle name="Гиперссылка 2" xfId="42100" hidden="1"/>
    <cellStyle name="Гиперссылка 2" xfId="42103" hidden="1"/>
    <cellStyle name="Гиперссылка 2" xfId="42102" hidden="1"/>
    <cellStyle name="Гиперссылка 2" xfId="42107" hidden="1"/>
    <cellStyle name="Гиперссылка 2" xfId="42106" hidden="1"/>
    <cellStyle name="Гиперссылка 2" xfId="41978" hidden="1"/>
    <cellStyle name="Гиперссылка 2" xfId="41508" hidden="1"/>
    <cellStyle name="Гиперссылка 2" xfId="37003" hidden="1"/>
    <cellStyle name="Гиперссылка 2" xfId="40700" hidden="1"/>
    <cellStyle name="Гиперссылка 2" xfId="42052" hidden="1"/>
    <cellStyle name="Гиперссылка 2" xfId="42071" hidden="1"/>
    <cellStyle name="Гиперссылка 2" xfId="41585" hidden="1"/>
    <cellStyle name="Гиперссылка 2" xfId="42046" hidden="1"/>
    <cellStyle name="Гиперссылка 2" xfId="42131" hidden="1"/>
    <cellStyle name="Гиперссылка 2" xfId="42130" hidden="1"/>
    <cellStyle name="Гиперссылка 2" xfId="42140" hidden="1"/>
    <cellStyle name="Гиперссылка 2" xfId="42141" hidden="1"/>
    <cellStyle name="Гиперссылка 2" xfId="42147" hidden="1"/>
    <cellStyle name="Гиперссылка 2" xfId="42148" hidden="1"/>
    <cellStyle name="Гиперссылка 2" xfId="42144" hidden="1"/>
    <cellStyle name="Гиперссылка 2" xfId="42143" hidden="1"/>
    <cellStyle name="Гиперссылка 2" xfId="42146" hidden="1"/>
    <cellStyle name="Гиперссылка 2" xfId="42145" hidden="1"/>
    <cellStyle name="Гиперссылка 2" xfId="42150" hidden="1"/>
    <cellStyle name="Гиперссылка 2" xfId="42149" hidden="1"/>
    <cellStyle name="Гиперссылка 2" xfId="42151" hidden="1"/>
    <cellStyle name="Гиперссылка 2" xfId="42152" hidden="1"/>
    <cellStyle name="Гиперссылка 2" xfId="42157" hidden="1"/>
    <cellStyle name="Гиперссылка 2" xfId="42158" hidden="1"/>
    <cellStyle name="Гиперссылка 2" xfId="42154" hidden="1"/>
    <cellStyle name="Гиперссылка 2" xfId="42153" hidden="1"/>
    <cellStyle name="Гиперссылка 2" xfId="42156" hidden="1"/>
    <cellStyle name="Гиперссылка 2" xfId="42155" hidden="1"/>
    <cellStyle name="Гиперссылка 2" xfId="42160" hidden="1"/>
    <cellStyle name="Гиперссылка 2" xfId="42159" hidden="1"/>
    <cellStyle name="Гиперссылка 2" xfId="42161" hidden="1"/>
    <cellStyle name="Гиперссылка 2" xfId="42162" hidden="1"/>
    <cellStyle name="Гиперссылка 2" xfId="42167" hidden="1"/>
    <cellStyle name="Гиперссылка 2" xfId="42168" hidden="1"/>
    <cellStyle name="Гиперссылка 2" xfId="42164" hidden="1"/>
    <cellStyle name="Гиперссылка 2" xfId="42163" hidden="1"/>
    <cellStyle name="Гиперссылка 2" xfId="42166" hidden="1"/>
    <cellStyle name="Гиперссылка 2" xfId="42165" hidden="1"/>
    <cellStyle name="Гиперссылка 2" xfId="42170" hidden="1"/>
    <cellStyle name="Гиперссылка 2" xfId="42169" hidden="1"/>
    <cellStyle name="Гиперссылка 2" xfId="42047" hidden="1"/>
    <cellStyle name="Гиперссылка 2" xfId="40502" hidden="1"/>
    <cellStyle name="Гиперссылка 2" xfId="40175" hidden="1"/>
    <cellStyle name="Гиперссылка 2" xfId="37014" hidden="1"/>
    <cellStyle name="Гиперссылка 2" xfId="42114" hidden="1"/>
    <cellStyle name="Гиперссылка 2" xfId="42136" hidden="1"/>
    <cellStyle name="Гиперссылка 2" xfId="41676" hidden="1"/>
    <cellStyle name="Гиперссылка 2" xfId="42109" hidden="1"/>
    <cellStyle name="Гиперссылка 2" xfId="42189" hidden="1"/>
    <cellStyle name="Гиперссылка 2" xfId="42188" hidden="1"/>
    <cellStyle name="Гиперссылка 2" xfId="42198" hidden="1"/>
    <cellStyle name="Гиперссылка 2" xfId="42199" hidden="1"/>
    <cellStyle name="Гиперссылка 2" xfId="42204" hidden="1"/>
    <cellStyle name="Гиперссылка 2" xfId="42205" hidden="1"/>
    <cellStyle name="Гиперссылка 2" xfId="42201" hidden="1"/>
    <cellStyle name="Гиперссылка 2" xfId="42200" hidden="1"/>
    <cellStyle name="Гиперссылка 2" xfId="42203" hidden="1"/>
    <cellStyle name="Гиперссылка 2" xfId="42202" hidden="1"/>
    <cellStyle name="Гиперссылка 2" xfId="42207" hidden="1"/>
    <cellStyle name="Гиперссылка 2" xfId="42206" hidden="1"/>
    <cellStyle name="Гиперссылка 2" xfId="42209" hidden="1"/>
    <cellStyle name="Гиперссылка 2" xfId="42210" hidden="1"/>
    <cellStyle name="Гиперссылка 2" xfId="42215" hidden="1"/>
    <cellStyle name="Гиперссылка 2" xfId="42216" hidden="1"/>
    <cellStyle name="Гиперссылка 2" xfId="42212" hidden="1"/>
    <cellStyle name="Гиперссылка 2" xfId="42211" hidden="1"/>
    <cellStyle name="Гиперссылка 2" xfId="42214" hidden="1"/>
    <cellStyle name="Гиперссылка 2" xfId="42213" hidden="1"/>
    <cellStyle name="Гиперссылка 2" xfId="42218" hidden="1"/>
    <cellStyle name="Гиперссылка 2" xfId="42217" hidden="1"/>
    <cellStyle name="Гиперссылка 2" xfId="42219" hidden="1"/>
    <cellStyle name="Гиперссылка 2" xfId="42220" hidden="1"/>
    <cellStyle name="Гиперссылка 2" xfId="42225" hidden="1"/>
    <cellStyle name="Гиперссылка 2" xfId="42226" hidden="1"/>
    <cellStyle name="Гиперссылка 2" xfId="42222" hidden="1"/>
    <cellStyle name="Гиперссылка 2" xfId="42221" hidden="1"/>
    <cellStyle name="Гиперссылка 2" xfId="42224" hidden="1"/>
    <cellStyle name="Гиперссылка 2" xfId="42223" hidden="1"/>
    <cellStyle name="Гиперссылка 2" xfId="42228" hidden="1"/>
    <cellStyle name="Гиперссылка 2" xfId="42227" hidden="1"/>
    <cellStyle name="Гиперссылка 2" xfId="42110" hidden="1"/>
    <cellStyle name="Гиперссылка 2" xfId="41576" hidden="1"/>
    <cellStyle name="Гиперссылка 2" xfId="40777" hidden="1"/>
    <cellStyle name="Гиперссылка 2" xfId="40709" hidden="1"/>
    <cellStyle name="Гиперссылка 2" xfId="42175" hidden="1"/>
    <cellStyle name="Гиперссылка 2" xfId="42196" hidden="1"/>
    <cellStyle name="Гиперссылка 2" xfId="41926" hidden="1"/>
    <cellStyle name="Гиперссылка 2" xfId="42173" hidden="1"/>
    <cellStyle name="Гиперссылка 2" xfId="42247" hidden="1"/>
    <cellStyle name="Гиперссылка 2" xfId="42246" hidden="1"/>
    <cellStyle name="Гиперссылка 2" xfId="42254" hidden="1"/>
    <cellStyle name="Гиперссылка 2" xfId="42255" hidden="1"/>
    <cellStyle name="Гиперссылка 2" xfId="42260" hidden="1"/>
    <cellStyle name="Гиперссылка 2" xfId="42261" hidden="1"/>
    <cellStyle name="Гиперссылка 2" xfId="42257" hidden="1"/>
    <cellStyle name="Гиперссылка 2" xfId="42256" hidden="1"/>
    <cellStyle name="Гиперссылка 2" xfId="42259" hidden="1"/>
    <cellStyle name="Гиперссылка 2" xfId="42258" hidden="1"/>
    <cellStyle name="Гиперссылка 2" xfId="42263" hidden="1"/>
    <cellStyle name="Гиперссылка 2" xfId="42262" hidden="1"/>
    <cellStyle name="Гиперссылка 2" xfId="42264" hidden="1"/>
    <cellStyle name="Гиперссылка 2" xfId="42265" hidden="1"/>
    <cellStyle name="Гиперссылка 2" xfId="42270" hidden="1"/>
    <cellStyle name="Гиперссылка 2" xfId="42271" hidden="1"/>
    <cellStyle name="Гиперссылка 2" xfId="42267" hidden="1"/>
    <cellStyle name="Гиперссылка 2" xfId="42266" hidden="1"/>
    <cellStyle name="Гиперссылка 2" xfId="42269" hidden="1"/>
    <cellStyle name="Гиперссылка 2" xfId="42268" hidden="1"/>
    <cellStyle name="Гиперссылка 2" xfId="42273" hidden="1"/>
    <cellStyle name="Гиперссылка 2" xfId="42272" hidden="1"/>
    <cellStyle name="Гиперссылка 2" xfId="42274" hidden="1"/>
    <cellStyle name="Гиперссылка 2" xfId="42275" hidden="1"/>
    <cellStyle name="Гиперссылка 2" xfId="42280" hidden="1"/>
    <cellStyle name="Гиперссылка 2" xfId="42281" hidden="1"/>
    <cellStyle name="Гиперссылка 2" xfId="42277" hidden="1"/>
    <cellStyle name="Гиперссылка 2" xfId="42276" hidden="1"/>
    <cellStyle name="Гиперссылка 2" xfId="42279" hidden="1"/>
    <cellStyle name="Гиперссылка 2" xfId="42278" hidden="1"/>
    <cellStyle name="Гиперссылка 2" xfId="42283" hidden="1"/>
    <cellStyle name="Гиперссылка 2" xfId="42282" hidden="1"/>
    <cellStyle name="Гиперссылка 2" xfId="42174" hidden="1"/>
    <cellStyle name="Гиперссылка 2" xfId="41434" hidden="1"/>
    <cellStyle name="Гиперссылка 2" xfId="41982" hidden="1"/>
    <cellStyle name="Гиперссылка 2" xfId="40520" hidden="1"/>
    <cellStyle name="Гиперссылка 2" xfId="42231" hidden="1"/>
    <cellStyle name="Гиперссылка 2" xfId="42252" hidden="1"/>
    <cellStyle name="Гиперссылка 2" xfId="41995" hidden="1"/>
    <cellStyle name="Гиперссылка 2" xfId="42229" hidden="1"/>
    <cellStyle name="Гиперссылка 2" xfId="42285" hidden="1"/>
    <cellStyle name="Гиперссылка 2" xfId="42284" hidden="1"/>
    <cellStyle name="Гиперссылка 2" xfId="42286" hidden="1"/>
    <cellStyle name="Гиперссылка 2" xfId="42287" hidden="1"/>
    <cellStyle name="Гиперссылка 2" xfId="42292" hidden="1"/>
    <cellStyle name="Гиперссылка 2" xfId="42293" hidden="1"/>
    <cellStyle name="Гиперссылка 2" xfId="42289" hidden="1"/>
    <cellStyle name="Гиперссылка 2" xfId="42288" hidden="1"/>
    <cellStyle name="Гиперссылка 2" xfId="42291" hidden="1"/>
    <cellStyle name="Гиперссылка 2" xfId="42290" hidden="1"/>
    <cellStyle name="Гиперссылка 2" xfId="42295" hidden="1"/>
    <cellStyle name="Гиперссылка 2" xfId="42294" hidden="1"/>
    <cellStyle name="Гиперссылка 2" xfId="42296" hidden="1"/>
    <cellStyle name="Гиперссылка 2" xfId="42297" hidden="1"/>
    <cellStyle name="Гиперссылка 2" xfId="42302" hidden="1"/>
    <cellStyle name="Гиперссылка 2" xfId="42303" hidden="1"/>
    <cellStyle name="Гиперссылка 2" xfId="42299" hidden="1"/>
    <cellStyle name="Гиперссылка 2" xfId="42298" hidden="1"/>
    <cellStyle name="Гиперссылка 2" xfId="42301" hidden="1"/>
    <cellStyle name="Гиперссылка 2" xfId="42300" hidden="1"/>
    <cellStyle name="Гиперссылка 2" xfId="42305" hidden="1"/>
    <cellStyle name="Гиперссылка 2" xfId="42304" hidden="1"/>
    <cellStyle name="Гиперссылка 2" xfId="42306" hidden="1"/>
    <cellStyle name="Гиперссылка 2" xfId="42307" hidden="1"/>
    <cellStyle name="Гиперссылка 2" xfId="42312" hidden="1"/>
    <cellStyle name="Гиперссылка 2" xfId="42313" hidden="1"/>
    <cellStyle name="Гиперссылка 2" xfId="42309" hidden="1"/>
    <cellStyle name="Гиперссылка 2" xfId="42308" hidden="1"/>
    <cellStyle name="Гиперссылка 2" xfId="42311" hidden="1"/>
    <cellStyle name="Гиперссылка 2" xfId="42310" hidden="1"/>
    <cellStyle name="Гиперссылка 2" xfId="42315" hidden="1"/>
    <cellStyle name="Гиперссылка 2" xfId="42314" hidden="1"/>
    <cellStyle name="Гиперссылка 2" xfId="40688" hidden="1"/>
    <cellStyle name="Гиперссылка 2" xfId="40235" hidden="1"/>
    <cellStyle name="Гиперссылка 2" xfId="42070" hidden="1"/>
    <cellStyle name="Гиперссылка 2" xfId="40230" hidden="1"/>
    <cellStyle name="Гиперссылка 2" xfId="40237" hidden="1"/>
    <cellStyle name="Гиперссылка 2" xfId="40177" hidden="1"/>
    <cellStyle name="Гиперссылка 2" xfId="41806" hidden="1"/>
    <cellStyle name="Гиперссылка 2" xfId="40689" hidden="1"/>
    <cellStyle name="Гиперссылка 2" xfId="41592" hidden="1"/>
    <cellStyle name="Гиперссылка 2" xfId="41071" hidden="1"/>
    <cellStyle name="Гиперссылка 2" xfId="42185" hidden="1"/>
    <cellStyle name="Гиперссылка 2" xfId="42062" hidden="1"/>
    <cellStyle name="Гиперссылка 2" xfId="41795" hidden="1"/>
    <cellStyle name="Гиперссылка 2" xfId="40086" hidden="1"/>
    <cellStyle name="Гиперссылка 2" xfId="42001" hidden="1"/>
    <cellStyle name="Гиперссылка 2" xfId="42128" hidden="1"/>
    <cellStyle name="Гиперссылка 2" xfId="40321" hidden="1"/>
    <cellStyle name="Гиперссылка 2" xfId="40076" hidden="1"/>
    <cellStyle name="Гиперссылка 2" xfId="40782" hidden="1"/>
    <cellStyle name="Гиперссылка 2" xfId="40899" hidden="1"/>
    <cellStyle name="Гиперссылка 2" xfId="40098" hidden="1"/>
    <cellStyle name="Гиперссылка 2" xfId="41662" hidden="1"/>
    <cellStyle name="Гиперссылка 2" xfId="40263" hidden="1"/>
    <cellStyle name="Гиперссылка 2" xfId="40094" hidden="1"/>
    <cellStyle name="Гиперссылка 2" xfId="41571" hidden="1"/>
    <cellStyle name="Гиперссылка 2" xfId="40134" hidden="1"/>
    <cellStyle name="Гиперссылка 2" xfId="41570" hidden="1"/>
    <cellStyle name="Гиперссылка 2" xfId="40761" hidden="1"/>
    <cellStyle name="Гиперссылка 2" xfId="41083" hidden="1"/>
    <cellStyle name="Гиперссылка 2" xfId="40224" hidden="1"/>
    <cellStyle name="Гиперссылка 2" xfId="41311" hidden="1"/>
    <cellStyle name="Гиперссылка 2" xfId="41223" hidden="1"/>
    <cellStyle name="Гиперссылка 2" xfId="40573" hidden="1"/>
    <cellStyle name="Гиперссылка 2" xfId="41056" hidden="1"/>
    <cellStyle name="Гиперссылка 2" xfId="41075" hidden="1"/>
    <cellStyle name="Гиперссылка 2" xfId="41577" hidden="1"/>
    <cellStyle name="Гиперссылка 2" xfId="40095" hidden="1"/>
    <cellStyle name="Гиперссылка 2" xfId="40215" hidden="1"/>
    <cellStyle name="Гиперссылка 2" xfId="40207" hidden="1"/>
    <cellStyle name="Гиперссылка 2" xfId="40586" hidden="1"/>
    <cellStyle name="Гиперссылка 2" xfId="40993" hidden="1"/>
    <cellStyle name="Гиперссылка 2" xfId="40425" hidden="1"/>
    <cellStyle name="Гиперссылка 2" xfId="40774" hidden="1"/>
    <cellStyle name="Гиперссылка 2" xfId="40485" hidden="1"/>
    <cellStyle name="Гиперссылка 2" xfId="41608" hidden="1"/>
    <cellStyle name="Гиперссылка 2" xfId="40232" hidden="1"/>
    <cellStyle name="Гиперссылка 2" xfId="42120" hidden="1"/>
    <cellStyle name="Гиперссылка 2" xfId="42181" hidden="1"/>
    <cellStyle name="Гиперссылка 2" xfId="40168" hidden="1"/>
    <cellStyle name="Гиперссылка 2" xfId="37000" hidden="1"/>
    <cellStyle name="Гиперссылка 2" xfId="40240" hidden="1"/>
    <cellStyle name="Гиперссылка 2" xfId="40723" hidden="1"/>
    <cellStyle name="Гиперссылка 2" xfId="41671" hidden="1"/>
    <cellStyle name="Гиперссылка 2" xfId="41053" hidden="1"/>
    <cellStyle name="Гиперссылка 2" xfId="40238" hidden="1"/>
    <cellStyle name="Гиперссылка 2" xfId="41749" hidden="1"/>
    <cellStyle name="Гиперссылка 2" xfId="41714" hidden="1"/>
    <cellStyle name="Гиперссылка 2" xfId="40464" hidden="1"/>
    <cellStyle name="Гиперссылка 2" xfId="40297" hidden="1"/>
    <cellStyle name="Гиперссылка 2" xfId="41051" hidden="1"/>
    <cellStyle name="Гиперссылка 2" xfId="42137" hidden="1"/>
    <cellStyle name="Гиперссылка 2" xfId="42012" hidden="1"/>
    <cellStyle name="Гиперссылка 2" xfId="41221" hidden="1"/>
    <cellStyle name="Гиперссылка 2" xfId="40934" hidden="1"/>
    <cellStyle name="Гиперссылка 2" xfId="42121" hidden="1"/>
    <cellStyle name="Гиперссылка 2" xfId="42237" hidden="1"/>
    <cellStyle name="Гиперссылка 2" xfId="41929" hidden="1"/>
    <cellStyle name="Гиперссылка 2" xfId="41998" hidden="1"/>
    <cellStyle name="Гиперссылка 2" xfId="40335" hidden="1"/>
    <cellStyle name="Гиперссылка 2" xfId="37060" hidden="1"/>
    <cellStyle name="Гиперссылка 2" xfId="41668" hidden="1"/>
    <cellStyle name="Гиперссылка 2" xfId="40974" hidden="1"/>
    <cellStyle name="Гиперссылка 2" xfId="42009" hidden="1"/>
    <cellStyle name="Гиперссылка 2" xfId="41718" hidden="1"/>
    <cellStyle name="Гиперссылка 2" xfId="41424" hidden="1"/>
    <cellStyle name="Гиперссылка 2" xfId="40191" hidden="1"/>
    <cellStyle name="Гиперссылка 2" xfId="42134" hidden="1"/>
    <cellStyle name="Гиперссылка 2" xfId="40470" hidden="1"/>
    <cellStyle name="Гиперссылка 2" xfId="42135" hidden="1"/>
    <cellStyle name="Гиперссылка 2" xfId="42192" hidden="1"/>
    <cellStyle name="Гиперссылка 2" xfId="40973" hidden="1"/>
    <cellStyle name="Гиперссылка 2" xfId="41808" hidden="1"/>
    <cellStyle name="Гиперссылка 2" xfId="42063" hidden="1"/>
    <cellStyle name="Гиперссылка 2" xfId="41158" hidden="1"/>
    <cellStyle name="Гиперссылка 2" xfId="40603" hidden="1"/>
    <cellStyle name="Гиперссылка 2" xfId="40829" hidden="1"/>
    <cellStyle name="Гиперссылка 2" xfId="41055" hidden="1"/>
    <cellStyle name="Гиперссылка 2" xfId="40532" hidden="1"/>
    <cellStyle name="Гиперссылка 2" xfId="40187" hidden="1"/>
    <cellStyle name="Гиперссылка 2" xfId="41601" hidden="1"/>
    <cellStyle name="Гиперссылка 2" xfId="40258" hidden="1"/>
    <cellStyle name="Гиперссылка 2" xfId="40958" hidden="1"/>
    <cellStyle name="Гиперссылка 2" xfId="40214" hidden="1"/>
    <cellStyle name="Гиперссылка 2" xfId="41315" hidden="1"/>
    <cellStyle name="Гиперссылка 2" xfId="42086" hidden="1"/>
    <cellStyle name="Гиперссылка 2" xfId="41174" hidden="1"/>
    <cellStyle name="Гиперссылка 2" xfId="40569" hidden="1"/>
    <cellStyle name="Гиперссылка 2" xfId="41953" hidden="1"/>
    <cellStyle name="Гиперссылка 2" xfId="40121" hidden="1"/>
    <cellStyle name="Гиперссылка 2" xfId="41080" hidden="1"/>
    <cellStyle name="Гиперссылка 2" xfId="40160" hidden="1"/>
    <cellStyle name="Гиперссылка 2" xfId="40097" hidden="1"/>
    <cellStyle name="Гиперссылка 2" xfId="40908" hidden="1"/>
    <cellStyle name="Гиперссылка 2" xfId="41643" hidden="1"/>
    <cellStyle name="Гиперссылка 2" xfId="41845" hidden="1"/>
    <cellStyle name="Гиперссылка 2" xfId="41523" hidden="1"/>
    <cellStyle name="Гиперссылка 2" xfId="37058" hidden="1"/>
    <cellStyle name="Гиперссылка 2" xfId="40447" hidden="1"/>
    <cellStyle name="Гиперссылка 2" xfId="40426" hidden="1"/>
    <cellStyle name="Гиперссылка 2" xfId="41530" hidden="1"/>
    <cellStyle name="Гиперссылка 2" xfId="40307" hidden="1"/>
    <cellStyle name="Гиперссылка 2" xfId="41087" hidden="1"/>
    <cellStyle name="Гиперссылка 2" xfId="40496" hidden="1"/>
    <cellStyle name="Гиперссылка 2" xfId="40083" hidden="1"/>
    <cellStyle name="Гиперссылка 2" xfId="40271" hidden="1"/>
    <cellStyle name="Гиперссылка 2" xfId="40302" hidden="1"/>
    <cellStyle name="Гиперссылка 2" xfId="40458" hidden="1"/>
    <cellStyle name="Гиперссылка 2" xfId="41076" hidden="1"/>
    <cellStyle name="Гиперссылка 2" xfId="41235" hidden="1"/>
    <cellStyle name="Гиперссылка 2" xfId="40622" hidden="1"/>
    <cellStyle name="Гиперссылка 2" xfId="41663" hidden="1"/>
    <cellStyle name="Гиперссылка 2" xfId="41724" hidden="1"/>
    <cellStyle name="Гиперссылка 2" xfId="41679" hidden="1"/>
    <cellStyle name="Гиперссылка 2" xfId="40762" hidden="1"/>
    <cellStyle name="Гиперссылка 2" xfId="40900" hidden="1"/>
    <cellStyle name="Гиперссылка 2" xfId="40362" hidden="1"/>
    <cellStyle name="Гиперссылка 2" xfId="42066" hidden="1"/>
    <cellStyle name="Гиперссылка 2" xfId="41644" hidden="1"/>
    <cellStyle name="Гиперссылка 2" xfId="40259" hidden="1"/>
    <cellStyle name="Гиперссылка 2" xfId="41519" hidden="1"/>
    <cellStyle name="Гиперссылка 2" xfId="40584" hidden="1"/>
    <cellStyle name="Гиперссылка 2" xfId="40997" hidden="1"/>
    <cellStyle name="Гиперссылка 2" xfId="41748" hidden="1"/>
    <cellStyle name="Гиперссылка 2" xfId="41529" hidden="1"/>
    <cellStyle name="Гиперссылка 2" xfId="42183" hidden="1"/>
    <cellStyle name="Гиперссылка 2" xfId="41848" hidden="1"/>
    <cellStyle name="Гиперссылка 2" xfId="41996" hidden="1"/>
    <cellStyle name="Гиперссылка 2" xfId="42057" hidden="1"/>
    <cellStyle name="Гиперссылка 2" xfId="41715" hidden="1"/>
    <cellStyle name="Гиперссылка 2" xfId="41365" hidden="1"/>
    <cellStyle name="Гиперссылка 2" xfId="40562" hidden="1"/>
    <cellStyle name="Гиперссылка 2" xfId="40169" hidden="1"/>
    <cellStyle name="Гиперссылка 2" xfId="40338" hidden="1"/>
    <cellStyle name="Гиперссылка 2" xfId="40969" hidden="1"/>
    <cellStyle name="Гиперссылка 2" xfId="41604" hidden="1"/>
    <cellStyle name="Гиперссылка 2" xfId="37012" hidden="1"/>
    <cellStyle name="Гиперссылка 2" xfId="40907" hidden="1"/>
    <cellStyle name="Гиперссылка 2" xfId="40397" hidden="1"/>
    <cellStyle name="Гиперссылка 2" xfId="41378" hidden="1"/>
    <cellStyle name="Гиперссылка 2" xfId="40667" hidden="1"/>
    <cellStyle name="Гиперссылка 2" xfId="37055" hidden="1"/>
    <cellStyle name="Гиперссылка 2" xfId="41251" hidden="1"/>
    <cellStyle name="Гиперссылка 2" xfId="40488" hidden="1"/>
    <cellStyle name="Гиперссылка 2" xfId="40813" hidden="1"/>
    <cellStyle name="Гиперссылка 2" xfId="41849" hidden="1"/>
    <cellStyle name="Гиперссылка 2" xfId="40568" hidden="1"/>
    <cellStyle name="Гиперссылка 2" xfId="40118" hidden="1"/>
    <cellStyle name="Гиперссылка 2" xfId="40200" hidden="1"/>
    <cellStyle name="Гиперссылка 2" xfId="40415" hidden="1"/>
    <cellStyle name="Гиперссылка 2" xfId="40422" hidden="1"/>
    <cellStyle name="Гиперссылка 2" xfId="40524" hidden="1"/>
    <cellStyle name="Гиперссылка 2" xfId="41976" hidden="1"/>
    <cellStyle name="Гиперссылка 2" xfId="41726" hidden="1"/>
    <cellStyle name="Гиперссылка 2" xfId="41677" hidden="1"/>
    <cellStyle name="Гиперссылка 2" xfId="41300" hidden="1"/>
    <cellStyle name="Гиперссылка 2" xfId="41992" hidden="1"/>
    <cellStyle name="Гиперссылка 2" xfId="40201" hidden="1"/>
    <cellStyle name="Гиперссылка 2" xfId="40602" hidden="1"/>
    <cellStyle name="Гиперссылка 2" xfId="41287" hidden="1"/>
    <cellStyle name="Гиперссылка 2" xfId="41800" hidden="1"/>
    <cellStyle name="Гиперссылка 2" xfId="42124" hidden="1"/>
    <cellStyle name="Гиперссылка 2" xfId="41999" hidden="1"/>
    <cellStyle name="Гиперссылка 2" xfId="40225" hidden="1"/>
    <cellStyle name="Гиперссылка 2" xfId="41306" hidden="1"/>
    <cellStyle name="Гиперссылка 2" xfId="40222" hidden="1"/>
    <cellStyle name="Гиперссылка 2" xfId="37031" hidden="1"/>
    <cellStyle name="Гиперссылка 2" xfId="40626" hidden="1"/>
    <cellStyle name="Гиперссылка 2" xfId="40770" hidden="1"/>
    <cellStyle name="Гиперссылка 2" xfId="40223" hidden="1"/>
    <cellStyle name="Гиперссылка 2" xfId="40705" hidden="1"/>
    <cellStyle name="Гиперссылка 2" xfId="41161" hidden="1"/>
    <cellStyle name="Гиперссылка 2" xfId="41383" hidden="1"/>
    <cellStyle name="Гиперссылка 2" xfId="42240" hidden="1"/>
    <cellStyle name="Гиперссылка 2" xfId="42125" hidden="1"/>
    <cellStyle name="Гиперссылка 2" xfId="40872" hidden="1"/>
    <cellStyle name="Гиперссылка 2" xfId="40988" hidden="1"/>
    <cellStyle name="Гиперссылка 2" xfId="40579" hidden="1"/>
    <cellStyle name="Гиперссылка 2" xfId="41670" hidden="1"/>
    <cellStyle name="Гиперссылка 2" xfId="40923" hidden="1"/>
    <cellStyle name="Гиперссылка 2" xfId="40572" hidden="1"/>
    <cellStyle name="Гиперссылка 2" xfId="40674" hidden="1"/>
    <cellStyle name="Гиперссылка 2" xfId="40273" hidden="1"/>
    <cellStyle name="Гиперссылка 2" xfId="40250" hidden="1"/>
    <cellStyle name="Гиперссылка 2" xfId="41796" hidden="1"/>
    <cellStyle name="Гиперссылка 2" xfId="40400" hidden="1"/>
    <cellStyle name="Гиперссылка 2" xfId="40077" hidden="1"/>
    <cellStyle name="Гиперссылка 2" xfId="41132" hidden="1"/>
    <cellStyle name="Гиперссылка 2" xfId="40541" hidden="1"/>
    <cellStyle name="Гиперссылка 2" xfId="41363" hidden="1"/>
    <cellStyle name="Гиперссылка 2" xfId="40781" hidden="1"/>
    <cellStyle name="Гиперссылка 2" xfId="40327" hidden="1"/>
    <cellStyle name="Гиперссылка 2" xfId="40768" hidden="1"/>
    <cellStyle name="Гиперссылка 2" xfId="41039" hidden="1"/>
    <cellStyle name="Гиперссылка 2" xfId="41064" hidden="1"/>
    <cellStyle name="Гиперссылка 2" xfId="42184" hidden="1"/>
    <cellStyle name="Гиперссылка 2" xfId="40395" hidden="1"/>
    <cellStyle name="Гиперссылка 2" xfId="41070" hidden="1"/>
    <cellStyle name="Гиперссылка 2" xfId="42187" hidden="1"/>
    <cellStyle name="Гиперссылка 2" xfId="41356" hidden="1"/>
    <cellStyle name="Гиперссылка 2" xfId="41304" hidden="1"/>
    <cellStyle name="Гиперссылка 2" xfId="42208" hidden="1"/>
    <cellStyle name="Гиперссылка 2" xfId="42087" hidden="1"/>
    <cellStyle name="Гиперссылка 2" xfId="40896" hidden="1"/>
    <cellStyle name="Гиперссылка 2" xfId="37066" hidden="1"/>
    <cellStyle name="Гиперссылка 2" xfId="41516" hidden="1"/>
    <cellStyle name="Гиперссылка 2" xfId="40299" hidden="1"/>
    <cellStyle name="Гиперссылка 2" xfId="41729" hidden="1"/>
    <cellStyle name="Гиперссылка 2" xfId="41376" hidden="1"/>
    <cellStyle name="Гиперссылка 2" xfId="41069" hidden="1"/>
    <cellStyle name="Гиперссылка 2" xfId="41164" hidden="1"/>
    <cellStyle name="Гиперссылка 2" xfId="37017" hidden="1"/>
    <cellStyle name="Гиперссылка 2" xfId="41653" hidden="1"/>
    <cellStyle name="Гиперссылка 2" xfId="41072" hidden="1"/>
    <cellStyle name="Гиперссылка 2" xfId="42242" hidden="1"/>
    <cellStyle name="Гиперссылка 2" xfId="41215" hidden="1"/>
    <cellStyle name="Гиперссылка 2" xfId="41573" hidden="1"/>
    <cellStyle name="Гиперссылка 2" xfId="41364" hidden="1"/>
    <cellStyle name="Гиперссылка 2" xfId="40479" hidden="1"/>
    <cellStyle name="Гиперссылка 2" xfId="42000" hidden="1"/>
    <cellStyle name="Гиперссылка 2" xfId="42064" hidden="1"/>
    <cellStyle name="Гиперссылка 2" xfId="40662" hidden="1"/>
    <cellStyle name="Гиперссылка 2" xfId="40324" hidden="1"/>
    <cellStyle name="Гиперссылка 2" xfId="40260" hidden="1"/>
    <cellStyle name="Гиперссылка 2" xfId="41648" hidden="1"/>
    <cellStyle name="Гиперссылка 2" xfId="41583" hidden="1"/>
    <cellStyle name="Гиперссылка 2" xfId="41598" hidden="1"/>
    <cellStyle name="Гиперссылка 2" xfId="41580" hidden="1"/>
    <cellStyle name="Гиперссылка 2" xfId="40272" hidden="1"/>
    <cellStyle name="Гиперссылка 2" xfId="40715" hidden="1"/>
    <cellStyle name="Гиперссылка 2" xfId="40125" hidden="1"/>
    <cellStyle name="Гиперссылка 2" xfId="42129" hidden="1"/>
    <cellStyle name="Гиперссылка 2" xfId="42180" hidden="1"/>
    <cellStyle name="Гиперссылка 2" xfId="36999" hidden="1"/>
    <cellStyle name="Гиперссылка 2" xfId="40609" hidden="1"/>
    <cellStyle name="Гиперссылка 2" xfId="42251" hidden="1"/>
    <cellStyle name="Гиперссылка 2" xfId="41656" hidden="1"/>
    <cellStyle name="Гиперссылка 2" xfId="42133" hidden="1"/>
    <cellStyle name="Гиперссылка 2" xfId="40889" hidden="1"/>
    <cellStyle name="Гиперссылка 2" xfId="42323" hidden="1"/>
    <cellStyle name="Гиперссылка 2" xfId="42322" hidden="1"/>
    <cellStyle name="Гиперссылка 2" xfId="42336" hidden="1"/>
    <cellStyle name="Гиперссылка 2" xfId="42337" hidden="1"/>
    <cellStyle name="Гиперссылка 2" xfId="42343" hidden="1"/>
    <cellStyle name="Гиперссылка 2" xfId="42344" hidden="1"/>
    <cellStyle name="Гиперссылка 2" xfId="42340" hidden="1"/>
    <cellStyle name="Гиперссылка 2" xfId="42339" hidden="1"/>
    <cellStyle name="Гиперссылка 2" xfId="42342" hidden="1"/>
    <cellStyle name="Гиперссылка 2" xfId="42341" hidden="1"/>
    <cellStyle name="Гиперссылка 2" xfId="42346" hidden="1"/>
    <cellStyle name="Гиперссылка 2" xfId="42345" hidden="1"/>
    <cellStyle name="Гиперссылка 2" xfId="42347" hidden="1"/>
    <cellStyle name="Гиперссылка 2" xfId="42348" hidden="1"/>
    <cellStyle name="Гиперссылка 2" xfId="42353" hidden="1"/>
    <cellStyle name="Гиперссылка 2" xfId="42354" hidden="1"/>
    <cellStyle name="Гиперссылка 2" xfId="42350" hidden="1"/>
    <cellStyle name="Гиперссылка 2" xfId="42349" hidden="1"/>
    <cellStyle name="Гиперссылка 2" xfId="42352" hidden="1"/>
    <cellStyle name="Гиперссылка 2" xfId="42351" hidden="1"/>
    <cellStyle name="Гиперссылка 2" xfId="42356" hidden="1"/>
    <cellStyle name="Гиперссылка 2" xfId="42355" hidden="1"/>
    <cellStyle name="Гиперссылка 2" xfId="42357" hidden="1"/>
    <cellStyle name="Гиперссылка 2" xfId="42358" hidden="1"/>
    <cellStyle name="Гиперссылка 2" xfId="42363" hidden="1"/>
    <cellStyle name="Гиперссылка 2" xfId="42364" hidden="1"/>
    <cellStyle name="Гиперссылка 2" xfId="42360" hidden="1"/>
    <cellStyle name="Гиперссылка 2" xfId="42359" hidden="1"/>
    <cellStyle name="Гиперссылка 2" xfId="42362" hidden="1"/>
    <cellStyle name="Гиперссылка 2" xfId="42361" hidden="1"/>
    <cellStyle name="Гиперссылка 2" xfId="42366" hidden="1"/>
    <cellStyle name="Гиперссылка 2" xfId="42365" hidden="1"/>
    <cellStyle name="Гиперссылка 2" xfId="40706" hidden="1"/>
    <cellStyle name="Гиперссылка 2" xfId="40681" hidden="1"/>
    <cellStyle name="Гиперссылка 2" xfId="41843" hidden="1"/>
    <cellStyle name="Гиперссылка 2" xfId="40617" hidden="1"/>
    <cellStyle name="Гиперссылка 2" xfId="42044" hidden="1"/>
    <cellStyle name="Гиперссылка 2" xfId="42330" hidden="1"/>
    <cellStyle name="Гиперссылка 2" xfId="41082" hidden="1"/>
    <cellStyle name="Гиперссылка 2" xfId="40769" hidden="1"/>
    <cellStyle name="Гиперссылка 2" xfId="42392" hidden="1"/>
    <cellStyle name="Гиперссылка 2" xfId="42391" hidden="1"/>
    <cellStyle name="Гиперссылка 2" xfId="42400" hidden="1"/>
    <cellStyle name="Гиперссылка 2" xfId="42401" hidden="1"/>
    <cellStyle name="Гиперссылка 2" xfId="42407" hidden="1"/>
    <cellStyle name="Гиперссылка 2" xfId="42408" hidden="1"/>
    <cellStyle name="Гиперссылка 2" xfId="42404" hidden="1"/>
    <cellStyle name="Гиперссылка 2" xfId="42403" hidden="1"/>
    <cellStyle name="Гиперссылка 2" xfId="42406" hidden="1"/>
    <cellStyle name="Гиперссылка 2" xfId="42405" hidden="1"/>
    <cellStyle name="Гиперссылка 2" xfId="42410" hidden="1"/>
    <cellStyle name="Гиперссылка 2" xfId="42409" hidden="1"/>
    <cellStyle name="Гиперссылка 2" xfId="42411" hidden="1"/>
    <cellStyle name="Гиперссылка 2" xfId="42412" hidden="1"/>
    <cellStyle name="Гиперссылка 2" xfId="42417" hidden="1"/>
    <cellStyle name="Гиперссылка 2" xfId="42418" hidden="1"/>
    <cellStyle name="Гиперссылка 2" xfId="42414" hidden="1"/>
    <cellStyle name="Гиперссылка 2" xfId="42413" hidden="1"/>
    <cellStyle name="Гиперссылка 2" xfId="42416" hidden="1"/>
    <cellStyle name="Гиперссылка 2" xfId="42415" hidden="1"/>
    <cellStyle name="Гиперссылка 2" xfId="42420" hidden="1"/>
    <cellStyle name="Гиперссылка 2" xfId="42419" hidden="1"/>
    <cellStyle name="Гиперссылка 2" xfId="42421" hidden="1"/>
    <cellStyle name="Гиперссылка 2" xfId="42422" hidden="1"/>
    <cellStyle name="Гиперссылка 2" xfId="42427" hidden="1"/>
    <cellStyle name="Гиперссылка 2" xfId="42428" hidden="1"/>
    <cellStyle name="Гиперссылка 2" xfId="42424" hidden="1"/>
    <cellStyle name="Гиперссылка 2" xfId="42423" hidden="1"/>
    <cellStyle name="Гиперссылка 2" xfId="42426" hidden="1"/>
    <cellStyle name="Гиперссылка 2" xfId="42425" hidden="1"/>
    <cellStyle name="Гиперссылка 2" xfId="42430" hidden="1"/>
    <cellStyle name="Гиперссылка 2" xfId="42429" hidden="1"/>
    <cellStyle name="Гиперссылка 2" xfId="40241" hidden="1"/>
    <cellStyle name="Гиперссылка 2" xfId="41321" hidden="1"/>
    <cellStyle name="Гиперссылка 2" xfId="40712" hidden="1"/>
    <cellStyle name="Гиперссылка 2" xfId="42132" hidden="1"/>
    <cellStyle name="Гиперссылка 2" xfId="42376" hidden="1"/>
    <cellStyle name="Гиперссылка 2" xfId="42396" hidden="1"/>
    <cellStyle name="Гиперссылка 2" xfId="41216" hidden="1"/>
    <cellStyle name="Гиперссылка 2" xfId="42369" hidden="1"/>
    <cellStyle name="Гиперссылка 2" xfId="42457" hidden="1"/>
    <cellStyle name="Гиперссылка 2" xfId="42456" hidden="1"/>
    <cellStyle name="Гиперссылка 2" xfId="42464" hidden="1"/>
    <cellStyle name="Гиперссылка 2" xfId="42465" hidden="1"/>
    <cellStyle name="Гиперссылка 2" xfId="42471" hidden="1"/>
    <cellStyle name="Гиперссылка 2" xfId="42472" hidden="1"/>
    <cellStyle name="Гиперссылка 2" xfId="42468" hidden="1"/>
    <cellStyle name="Гиперссылка 2" xfId="42467" hidden="1"/>
    <cellStyle name="Гиперссылка 2" xfId="42470" hidden="1"/>
    <cellStyle name="Гиперссылка 2" xfId="42469" hidden="1"/>
    <cellStyle name="Гиперссылка 2" xfId="42474" hidden="1"/>
    <cellStyle name="Гиперссылка 2" xfId="42473" hidden="1"/>
    <cellStyle name="Гиперссылка 2" xfId="42475" hidden="1"/>
    <cellStyle name="Гиперссылка 2" xfId="42476" hidden="1"/>
    <cellStyle name="Гиперссылка 2" xfId="42481" hidden="1"/>
    <cellStyle name="Гиперссылка 2" xfId="42482" hidden="1"/>
    <cellStyle name="Гиперссылка 2" xfId="42478" hidden="1"/>
    <cellStyle name="Гиперссылка 2" xfId="42477" hidden="1"/>
    <cellStyle name="Гиперссылка 2" xfId="42480" hidden="1"/>
    <cellStyle name="Гиперссылка 2" xfId="42479" hidden="1"/>
    <cellStyle name="Гиперссылка 2" xfId="42484" hidden="1"/>
    <cellStyle name="Гиперссылка 2" xfId="42483" hidden="1"/>
    <cellStyle name="Гиперссылка 2" xfId="42485" hidden="1"/>
    <cellStyle name="Гиперссылка 2" xfId="42486" hidden="1"/>
    <cellStyle name="Гиперссылка 2" xfId="42491" hidden="1"/>
    <cellStyle name="Гиперссылка 2" xfId="42492" hidden="1"/>
    <cellStyle name="Гиперссылка 2" xfId="42488" hidden="1"/>
    <cellStyle name="Гиперссылка 2" xfId="42487" hidden="1"/>
    <cellStyle name="Гиперссылка 2" xfId="42490" hidden="1"/>
    <cellStyle name="Гиперссылка 2" xfId="42489" hidden="1"/>
    <cellStyle name="Гиперссылка 2" xfId="42494" hidden="1"/>
    <cellStyle name="Гиперссылка 2" xfId="42493" hidden="1"/>
    <cellStyle name="Гиперссылка 2" xfId="42370" hidden="1"/>
    <cellStyle name="Гиперссылка 2" xfId="41927" hidden="1"/>
    <cellStyle name="Гиперссылка 2" xfId="40090" hidden="1"/>
    <cellStyle name="Гиперссылка 2" xfId="41244" hidden="1"/>
    <cellStyle name="Гиперссылка 2" xfId="42438" hidden="1"/>
    <cellStyle name="Гиперссылка 2" xfId="42461" hidden="1"/>
    <cellStyle name="Гиперссылка 2" xfId="41994" hidden="1"/>
    <cellStyle name="Гиперссылка 2" xfId="42433" hidden="1"/>
    <cellStyle name="Гиперссылка 2" xfId="42514" hidden="1"/>
    <cellStyle name="Гиперссылка 2" xfId="42513" hidden="1"/>
    <cellStyle name="Гиперссылка 2" xfId="42522" hidden="1"/>
    <cellStyle name="Гиперссылка 2" xfId="42523" hidden="1"/>
    <cellStyle name="Гиперссылка 2" xfId="42528" hidden="1"/>
    <cellStyle name="Гиперссылка 2" xfId="42529" hidden="1"/>
    <cellStyle name="Гиперссылка 2" xfId="42525" hidden="1"/>
    <cellStyle name="Гиперссылка 2" xfId="42524" hidden="1"/>
    <cellStyle name="Гиперссылка 2" xfId="42527" hidden="1"/>
    <cellStyle name="Гиперссылка 2" xfId="42526" hidden="1"/>
    <cellStyle name="Гиперссылка 2" xfId="42531" hidden="1"/>
    <cellStyle name="Гиперссылка 2" xfId="42530" hidden="1"/>
    <cellStyle name="Гиперссылка 2" xfId="42532" hidden="1"/>
    <cellStyle name="Гиперссылка 2" xfId="42533" hidden="1"/>
    <cellStyle name="Гиперссылка 2" xfId="42538" hidden="1"/>
    <cellStyle name="Гиперссылка 2" xfId="42539" hidden="1"/>
    <cellStyle name="Гиперссылка 2" xfId="42535" hidden="1"/>
    <cellStyle name="Гиперссылка 2" xfId="42534" hidden="1"/>
    <cellStyle name="Гиперссылка 2" xfId="42537" hidden="1"/>
    <cellStyle name="Гиперссылка 2" xfId="42536" hidden="1"/>
    <cellStyle name="Гиперссылка 2" xfId="42541" hidden="1"/>
    <cellStyle name="Гиперссылка 2" xfId="42540" hidden="1"/>
    <cellStyle name="Гиперссылка 2" xfId="42542" hidden="1"/>
    <cellStyle name="Гиперссылка 2" xfId="42543" hidden="1"/>
    <cellStyle name="Гиперссылка 2" xfId="42548" hidden="1"/>
    <cellStyle name="Гиперссылка 2" xfId="42549" hidden="1"/>
    <cellStyle name="Гиперссылка 2" xfId="42545" hidden="1"/>
    <cellStyle name="Гиперссылка 2" xfId="42544" hidden="1"/>
    <cellStyle name="Гиперссылка 2" xfId="42547" hidden="1"/>
    <cellStyle name="Гиперссылка 2" xfId="42546" hidden="1"/>
    <cellStyle name="Гиперссылка 2" xfId="42551" hidden="1"/>
    <cellStyle name="Гиперссылка 2" xfId="42550" hidden="1"/>
    <cellStyle name="Гиперссылка 2" xfId="42434" hidden="1"/>
    <cellStyle name="Гиперссылка 2" xfId="40824" hidden="1"/>
    <cellStyle name="Гиперссылка 2" xfId="40433" hidden="1"/>
    <cellStyle name="Гиперссылка 2" xfId="40861" hidden="1"/>
    <cellStyle name="Гиперссылка 2" xfId="42501" hidden="1"/>
    <cellStyle name="Гиперссылка 2" xfId="42517" hidden="1"/>
    <cellStyle name="Гиперссылка 2" xfId="42072" hidden="1"/>
    <cellStyle name="Гиперссылка 2" xfId="42496" hidden="1"/>
    <cellStyle name="Гиперссылка 2" xfId="42565" hidden="1"/>
    <cellStyle name="Гиперссылка 2" xfId="42564" hidden="1"/>
    <cellStyle name="Гиперссылка 2" xfId="42571" hidden="1"/>
    <cellStyle name="Гиперссылка 2" xfId="42572" hidden="1"/>
    <cellStyle name="Гиперссылка 2" xfId="42578" hidden="1"/>
    <cellStyle name="Гиперссылка 2" xfId="42579" hidden="1"/>
    <cellStyle name="Гиперссылка 2" xfId="42575" hidden="1"/>
    <cellStyle name="Гиперссылка 2" xfId="42574" hidden="1"/>
    <cellStyle name="Гиперссылка 2" xfId="42577" hidden="1"/>
    <cellStyle name="Гиперссылка 2" xfId="42576" hidden="1"/>
    <cellStyle name="Гиперссылка 2" xfId="42581" hidden="1"/>
    <cellStyle name="Гиперссылка 2" xfId="42580" hidden="1"/>
    <cellStyle name="Гиперссылка 2" xfId="42582" hidden="1"/>
    <cellStyle name="Гиперссылка 2" xfId="42583" hidden="1"/>
    <cellStyle name="Гиперссылка 2" xfId="42588" hidden="1"/>
    <cellStyle name="Гиперссылка 2" xfId="42589" hidden="1"/>
    <cellStyle name="Гиперссылка 2" xfId="42585" hidden="1"/>
    <cellStyle name="Гиперссылка 2" xfId="42584" hidden="1"/>
    <cellStyle name="Гиперссылка 2" xfId="42587" hidden="1"/>
    <cellStyle name="Гиперссылка 2" xfId="42586" hidden="1"/>
    <cellStyle name="Гиперссылка 2" xfId="42591" hidden="1"/>
    <cellStyle name="Гиперссылка 2" xfId="42590" hidden="1"/>
    <cellStyle name="Гиперссылка 2" xfId="42592" hidden="1"/>
    <cellStyle name="Гиперссылка 2" xfId="42593" hidden="1"/>
    <cellStyle name="Гиперссылка 2" xfId="42598" hidden="1"/>
    <cellStyle name="Гиперссылка 2" xfId="42599" hidden="1"/>
    <cellStyle name="Гиперссылка 2" xfId="42595" hidden="1"/>
    <cellStyle name="Гиперссылка 2" xfId="42594" hidden="1"/>
    <cellStyle name="Гиперссылка 2" xfId="42597" hidden="1"/>
    <cellStyle name="Гиперссылка 2" xfId="42596" hidden="1"/>
    <cellStyle name="Гиперссылка 2" xfId="42601" hidden="1"/>
    <cellStyle name="Гиперссылка 2" xfId="42600" hidden="1"/>
    <cellStyle name="Гиперссылка 2" xfId="42497" hidden="1"/>
    <cellStyle name="Гиперссылка 2" xfId="41987" hidden="1"/>
    <cellStyle name="Гиперссылка 2" xfId="40359" hidden="1"/>
    <cellStyle name="Гиперссылка 2" xfId="40801" hidden="1"/>
    <cellStyle name="Гиперссылка 2" xfId="42555" hidden="1"/>
    <cellStyle name="Гиперссылка 2" xfId="42569" hidden="1"/>
    <cellStyle name="Гиперссылка 2" xfId="42316" hidden="1"/>
    <cellStyle name="Гиперссылка 2" xfId="42552" hidden="1"/>
    <cellStyle name="Гиперссылка 2" xfId="42613" hidden="1"/>
    <cellStyle name="Гиперссылка 2" xfId="42612" hidden="1"/>
    <cellStyle name="Гиперссылка 2" xfId="42619" hidden="1"/>
    <cellStyle name="Гиперссылка 2" xfId="42620" hidden="1"/>
    <cellStyle name="Гиперссылка 2" xfId="42625" hidden="1"/>
    <cellStyle name="Гиперссылка 2" xfId="42626" hidden="1"/>
    <cellStyle name="Гиперссылка 2" xfId="42622" hidden="1"/>
    <cellStyle name="Гиперссылка 2" xfId="42621" hidden="1"/>
    <cellStyle name="Гиперссылка 2" xfId="42624" hidden="1"/>
    <cellStyle name="Гиперссылка 2" xfId="42623" hidden="1"/>
    <cellStyle name="Гиперссылка 2" xfId="42628" hidden="1"/>
    <cellStyle name="Гиперссылка 2" xfId="42627" hidden="1"/>
    <cellStyle name="Гиперссылка 2" xfId="42629" hidden="1"/>
    <cellStyle name="Гиперссылка 2" xfId="42630" hidden="1"/>
    <cellStyle name="Гиперссылка 2" xfId="42635" hidden="1"/>
    <cellStyle name="Гиперссылка 2" xfId="42636" hidden="1"/>
    <cellStyle name="Гиперссылка 2" xfId="42632" hidden="1"/>
    <cellStyle name="Гиперссылка 2" xfId="42631" hidden="1"/>
    <cellStyle name="Гиперссылка 2" xfId="42634" hidden="1"/>
    <cellStyle name="Гиперссылка 2" xfId="42633" hidden="1"/>
    <cellStyle name="Гиперссылка 2" xfId="42638" hidden="1"/>
    <cellStyle name="Гиперссылка 2" xfId="42637" hidden="1"/>
    <cellStyle name="Гиперссылка 2" xfId="42639" hidden="1"/>
    <cellStyle name="Гиперссылка 2" xfId="42640" hidden="1"/>
    <cellStyle name="Гиперссылка 2" xfId="42645" hidden="1"/>
    <cellStyle name="Гиперссылка 2" xfId="42646" hidden="1"/>
    <cellStyle name="Гиперссылка 2" xfId="42642" hidden="1"/>
    <cellStyle name="Гиперссылка 2" xfId="42641" hidden="1"/>
    <cellStyle name="Гиперссылка 2" xfId="42644" hidden="1"/>
    <cellStyle name="Гиперссылка 2" xfId="42643" hidden="1"/>
    <cellStyle name="Гиперссылка 2" xfId="42648" hidden="1"/>
    <cellStyle name="Гиперссылка 2" xfId="42647" hidden="1"/>
    <cellStyle name="Гиперссылка 2" xfId="42553" hidden="1"/>
    <cellStyle name="Гиперссылка 2" xfId="41853" hidden="1"/>
    <cellStyle name="Гиперссылка 2" xfId="42375" hidden="1"/>
    <cellStyle name="Гиперссылка 2" xfId="40492" hidden="1"/>
    <cellStyle name="Гиперссылка 2" xfId="42605" hidden="1"/>
    <cellStyle name="Гиперссылка 2" xfId="42616" hidden="1"/>
    <cellStyle name="Гиперссылка 2" xfId="42384" hidden="1"/>
    <cellStyle name="Гиперссылка 2" xfId="42603" hidden="1"/>
    <cellStyle name="Гиперссылка 2" xfId="42650" hidden="1"/>
    <cellStyle name="Гиперссылка 2" xfId="42649" hidden="1"/>
    <cellStyle name="Гиперссылка 2" xfId="42651" hidden="1"/>
    <cellStyle name="Гиперссылка 2" xfId="42652" hidden="1"/>
    <cellStyle name="Гиперссылка 2" xfId="42657" hidden="1"/>
    <cellStyle name="Гиперссылка 2" xfId="42658" hidden="1"/>
    <cellStyle name="Гиперссылка 2" xfId="42654" hidden="1"/>
    <cellStyle name="Гиперссылка 2" xfId="42653" hidden="1"/>
    <cellStyle name="Гиперссылка 2" xfId="42656" hidden="1"/>
    <cellStyle name="Гиперссылка 2" xfId="42655" hidden="1"/>
    <cellStyle name="Гиперссылка 2" xfId="42660" hidden="1"/>
    <cellStyle name="Гиперссылка 2" xfId="42659" hidden="1"/>
    <cellStyle name="Гиперссылка 2" xfId="42661" hidden="1"/>
    <cellStyle name="Гиперссылка 2" xfId="42662" hidden="1"/>
    <cellStyle name="Гиперссылка 2" xfId="42667" hidden="1"/>
    <cellStyle name="Гиперссылка 2" xfId="42668" hidden="1"/>
    <cellStyle name="Гиперссылка 2" xfId="42664" hidden="1"/>
    <cellStyle name="Гиперссылка 2" xfId="42663" hidden="1"/>
    <cellStyle name="Гиперссылка 2" xfId="42666" hidden="1"/>
    <cellStyle name="Гиперссылка 2" xfId="42665" hidden="1"/>
    <cellStyle name="Гиперссылка 2" xfId="42670" hidden="1"/>
    <cellStyle name="Гиперссылка 2" xfId="42669" hidden="1"/>
    <cellStyle name="Гиперссылка 2" xfId="42671" hidden="1"/>
    <cellStyle name="Гиперссылка 2" xfId="42672" hidden="1"/>
    <cellStyle name="Гиперссылка 2" xfId="42677" hidden="1"/>
    <cellStyle name="Гиперссылка 2" xfId="42678" hidden="1"/>
    <cellStyle name="Гиперссылка 2" xfId="42674" hidden="1"/>
    <cellStyle name="Гиперссылка 2" xfId="42673" hidden="1"/>
    <cellStyle name="Гиперссылка 2" xfId="42676" hidden="1"/>
    <cellStyle name="Гиперссылка 2" xfId="42675" hidden="1"/>
    <cellStyle name="Гиперссылка 2" xfId="42680" hidden="1"/>
    <cellStyle name="Гиперссылка 2" xfId="42679" hidden="1"/>
    <cellStyle name="Гиперссылка 2" xfId="41941" hidden="1"/>
    <cellStyle name="Гиперссылка 2" xfId="40571" hidden="1"/>
    <cellStyle name="Гиперссылка 2" xfId="41170" hidden="1"/>
    <cellStyle name="Гиперссылка 2" xfId="41128" hidden="1"/>
    <cellStyle name="Гиперссылка 2" xfId="42455" hidden="1"/>
    <cellStyle name="Гиперссылка 2" xfId="41563" hidden="1"/>
    <cellStyle name="Гиперссылка 2" xfId="40144" hidden="1"/>
    <cellStyle name="Гиперссылка 2" xfId="41640" hidden="1"/>
    <cellStyle name="Гиперссылка 2" xfId="40809" hidden="1"/>
    <cellStyle name="Гиперссылка 2" xfId="41674" hidden="1"/>
    <cellStyle name="Гиперссылка 2" xfId="42373" hidden="1"/>
    <cellStyle name="Гиперссылка 2" xfId="40719" hidden="1"/>
    <cellStyle name="Гиперссылка 2" xfId="40210" hidden="1"/>
    <cellStyle name="Гиперссылка 2" xfId="41940" hidden="1"/>
    <cellStyle name="Гиперссылка 2" xfId="40163" hidden="1"/>
    <cellStyle name="Гиперссылка 2" xfId="36996" hidden="1"/>
    <cellStyle name="Гиперссылка 2" xfId="41525" hidden="1"/>
    <cellStyle name="Гиперссылка 2" xfId="40316" hidden="1"/>
    <cellStyle name="Гиперссылка 2" xfId="42008" hidden="1"/>
    <cellStyle name="Гиперссылка 2" xfId="42248" hidden="1"/>
    <cellStyle name="Гиперссылка 2" xfId="42560" hidden="1"/>
    <cellStyle name="Гиперссылка 2" xfId="42444" hidden="1"/>
    <cellStyle name="Гиперссылка 2" xfId="40564" hidden="1"/>
    <cellStyle name="Гиперссылка 2" xfId="40208" hidden="1"/>
    <cellStyle name="Гиперссылка 2" xfId="42437" hidden="1"/>
    <cellStyle name="Гиперссылка 2" xfId="42554" hidden="1"/>
    <cellStyle name="Гиперссылка 2" xfId="40895" hidden="1"/>
    <cellStyle name="Гиперссылка 2" xfId="42171" hidden="1"/>
    <cellStyle name="Гиперссылка 2" xfId="40481" hidden="1"/>
    <cellStyle name="Гиперссылка 2" xfId="37059" hidden="1"/>
    <cellStyle name="Гиперссылка 2" xfId="41678" hidden="1"/>
    <cellStyle name="Гиперссылка 2" xfId="41511" hidden="1"/>
    <cellStyle name="Гиперссылка 2" xfId="40135" hidden="1"/>
    <cellStyle name="Гиперссылка 2" xfId="37025" hidden="1"/>
    <cellStyle name="Гиперссылка 2" xfId="40661" hidden="1"/>
    <cellStyle name="Гиперссылка 2" xfId="41081" hidden="1"/>
    <cellStyle name="Гиперссылка 2" xfId="42329" hidden="1"/>
    <cellStyle name="Гиперссылка 2" xfId="40149" hidden="1"/>
    <cellStyle name="Гиперссылка 2" xfId="40822" hidden="1"/>
    <cellStyle name="Гиперссылка 2" xfId="42381" hidden="1"/>
    <cellStyle name="Гиперссылка 2" xfId="40873" hidden="1"/>
    <cellStyle name="Гиперссылка 2" xfId="42335" hidden="1"/>
    <cellStyle name="Гиперссылка 2" xfId="42441" hidden="1"/>
    <cellStyle name="Гиперссылка 2" xfId="42331" hidden="1"/>
    <cellStyle name="Гиперссылка 2" xfId="40151" hidden="1"/>
    <cellStyle name="Гиперссылка 2" xfId="42195" hidden="1"/>
    <cellStyle name="Гиперссылка 2" xfId="41985" hidden="1"/>
    <cellStyle name="Гиперссылка 2" xfId="41224" hidden="1"/>
    <cellStyle name="Гиперссылка 2" xfId="41988" hidden="1"/>
    <cellStyle name="Гиперссылка 2" xfId="37047" hidden="1"/>
    <cellStyle name="Гиперссылка 2" xfId="41296" hidden="1"/>
    <cellStyle name="Гиперссылка 2" xfId="41984" hidden="1"/>
    <cellStyle name="Гиперссылка 2" xfId="42604" hidden="1"/>
    <cellStyle name="Гиперссылка 2" xfId="42500" hidden="1"/>
    <cellStyle name="Гиперссылка 2" xfId="40315" hidden="1"/>
    <cellStyle name="Гиперссылка 2" xfId="40478" hidden="1"/>
    <cellStyle name="Гиперссылка 2" xfId="41590" hidden="1"/>
    <cellStyle name="Гиперссылка 2" xfId="40449" hidden="1"/>
    <cellStyle name="Гиперссылка 2" xfId="42452" hidden="1"/>
    <cellStyle name="Гиперссылка 2" xfId="41127" hidden="1"/>
    <cellStyle name="Гиперссылка 2" xfId="41665" hidden="1"/>
    <cellStyle name="Гиперссылка 2" xfId="42058" hidden="1"/>
    <cellStyle name="Гиперссылка 2" xfId="40625" hidden="1"/>
    <cellStyle name="Гиперссылка 2" xfId="41652" hidden="1"/>
    <cellStyle name="Гиперссылка 2" xfId="41522" hidden="1"/>
    <cellStyle name="Гиперссылка 2" xfId="37019" hidden="1"/>
    <cellStyle name="Гиперссылка 2" xfId="42112" hidden="1"/>
    <cellStyle name="Гиперссылка 2" xfId="40672" hidden="1"/>
    <cellStyle name="Гиперссылка 2" xfId="40995" hidden="1"/>
    <cellStyle name="Гиперссылка 2" xfId="41745" hidden="1"/>
    <cellStyle name="Гиперссылка 2" xfId="41787" hidden="1"/>
    <cellStyle name="Гиперссылка 2" xfId="42509" hidden="1"/>
    <cellStyle name="Гиперссылка 2" xfId="42332" hidden="1"/>
    <cellStyle name="Гиперссылка 2" xfId="41084" hidden="1"/>
    <cellStyle name="Гиперссылка 2" xfId="42617" hidden="1"/>
    <cellStyle name="Гиперссылка 2" xfId="42319" hidden="1"/>
    <cellStyle name="Гиперссылка 2" xfId="42462" hidden="1"/>
    <cellStyle name="Гиперссылка 2" xfId="42518" hidden="1"/>
    <cellStyle name="Гиперссылка 2" xfId="40295" hidden="1"/>
    <cellStyle name="Гиперссылка 2" xfId="41990" hidden="1"/>
    <cellStyle name="Гиперссылка 2" xfId="42383" hidden="1"/>
    <cellStyle name="Гиперссылка 2" xfId="40717" hidden="1"/>
    <cellStyle name="Гиперссылка 2" xfId="40093" hidden="1"/>
    <cellStyle name="Гиперссылка 2" xfId="41001" hidden="1"/>
    <cellStyle name="Гиперссылка 2" xfId="40591" hidden="1"/>
    <cellStyle name="Гиперссылка 2" xfId="37065" hidden="1"/>
    <cellStyle name="Гиперссылка 2" xfId="40091" hidden="1"/>
    <cellStyle name="Гиперссылка 2" xfId="40612" hidden="1"/>
    <cellStyle name="Гиперссылка 2" xfId="42054" hidden="1"/>
    <cellStyle name="Гиперссылка 2" xfId="40147" hidden="1"/>
    <cellStyle name="Гиперссылка 2" xfId="42436" hidden="1"/>
    <cellStyle name="Гиперссылка 2" xfId="40666" hidden="1"/>
    <cellStyle name="Гиперссылка 2" xfId="40814" hidden="1"/>
    <cellStyle name="Гиперссылка 2" xfId="41368" hidden="1"/>
    <cellStyle name="Гиперссылка 2" xfId="40911" hidden="1"/>
    <cellStyle name="Гиперссылка 2" xfId="37062" hidden="1"/>
    <cellStyle name="Гиперссылка 2" xfId="42186" hidden="1"/>
    <cellStyle name="Гиперссылка 2" xfId="41126" hidden="1"/>
    <cellStyle name="Гиперссылка 2" xfId="41975" hidden="1"/>
    <cellStyle name="Гиперссылка 2" xfId="41649" hidden="1"/>
    <cellStyle name="Гиперссылка 2" xfId="42556" hidden="1"/>
    <cellStyle name="Гиперссылка 2" xfId="42439" hidden="1"/>
    <cellStyle name="Гиперссылка 2" xfId="42244" hidden="1"/>
    <cellStyle name="Гиперссылка 2" xfId="41439" hidden="1"/>
    <cellStyle name="Гиперссылка 2" xfId="42495" hidden="1"/>
    <cellStyle name="Гиперссылка 2" xfId="42602" hidden="1"/>
    <cellStyle name="Гиперссылка 2" xfId="40330" hidden="1"/>
    <cellStyle name="Гиперссылка 2" xfId="42368" hidden="1"/>
    <cellStyle name="Гиперссылка 2" xfId="40881" hidden="1"/>
    <cellStyle name="Гиперссылка 2" xfId="41005" hidden="1"/>
    <cellStyle name="Гиперссылка 2" xfId="42056" hidden="1"/>
    <cellStyle name="Гиперссылка 2" xfId="41389" hidden="1"/>
    <cellStyle name="Гиперссылка 2" xfId="42502" hidden="1"/>
    <cellStyle name="Гиперссылка 2" xfId="42378" hidden="1"/>
    <cellStyle name="Гиперссылка 2" xfId="42235" hidden="1"/>
    <cellStyle name="Гиперссылка 2" xfId="40875" hidden="1"/>
    <cellStyle name="Гиперссылка 2" xfId="42606" hidden="1"/>
    <cellStyle name="Гиперссылка 2" xfId="37004" hidden="1"/>
    <cellStyle name="Гиперссылка 2" xfId="42504" hidden="1"/>
    <cellStyle name="Гиперссылка 2" xfId="42558" hidden="1"/>
    <cellStyle name="Гиперссылка 2" xfId="42686" hidden="1"/>
    <cellStyle name="Гиперссылка 2" xfId="42687" hidden="1"/>
    <cellStyle name="Гиперссылка 2" xfId="42692" hidden="1"/>
    <cellStyle name="Гиперссылка 2" xfId="42693" hidden="1"/>
    <cellStyle name="Гиперссылка 2" xfId="42689" hidden="1"/>
    <cellStyle name="Гиперссылка 2" xfId="42688" hidden="1"/>
    <cellStyle name="Гиперссылка 2" xfId="42691" hidden="1"/>
    <cellStyle name="Гиперссылка 2" xfId="42690" hidden="1"/>
    <cellStyle name="Гиперссылка 2" xfId="42695" hidden="1"/>
    <cellStyle name="Гиперссылка 2" xfId="42694" hidden="1"/>
    <cellStyle name="Гиперссылка 2" xfId="42696" hidden="1"/>
    <cellStyle name="Гиперссылка 2" xfId="42697" hidden="1"/>
    <cellStyle name="Гиперссылка 2" xfId="42702" hidden="1"/>
    <cellStyle name="Гиперссылка 2" xfId="42703" hidden="1"/>
    <cellStyle name="Гиперссылка 2" xfId="42699" hidden="1"/>
    <cellStyle name="Гиперссылка 2" xfId="42698" hidden="1"/>
    <cellStyle name="Гиперссылка 2" xfId="42701" hidden="1"/>
    <cellStyle name="Гиперссылка 2" xfId="42700" hidden="1"/>
    <cellStyle name="Гиперссылка 2" xfId="42705" hidden="1"/>
    <cellStyle name="Гиперссылка 2" xfId="42704" hidden="1"/>
    <cellStyle name="Гиперссылка 2" xfId="42706" hidden="1"/>
    <cellStyle name="Гиперссылка 2" xfId="42707" hidden="1"/>
    <cellStyle name="Гиперссылка 2" xfId="42712" hidden="1"/>
    <cellStyle name="Гиперссылка 2" xfId="42713" hidden="1"/>
    <cellStyle name="Гиперссылка 2" xfId="42709" hidden="1"/>
    <cellStyle name="Гиперссылка 2" xfId="42708" hidden="1"/>
    <cellStyle name="Гиперссылка 2" xfId="42711" hidden="1"/>
    <cellStyle name="Гиперссылка 2" xfId="42710" hidden="1"/>
    <cellStyle name="Гиперссылка 2" xfId="42715" hidden="1"/>
    <cellStyle name="Гиперссылка 2" xfId="42714" hidden="1"/>
    <cellStyle name="Гиперссылка 2" xfId="42716" hidden="1"/>
    <cellStyle name="Гиперссылка 2" xfId="42717" hidden="1"/>
    <cellStyle name="Гиперссылка 2" xfId="42722" hidden="1"/>
    <cellStyle name="Гиперссылка 2" xfId="42723" hidden="1"/>
    <cellStyle name="Гиперссылка 2" xfId="42719" hidden="1"/>
    <cellStyle name="Гиперссылка 2" xfId="42718" hidden="1"/>
    <cellStyle name="Гиперссылка 2" xfId="42721" hidden="1"/>
    <cellStyle name="Гиперссылка 2" xfId="42720" hidden="1"/>
    <cellStyle name="Гиперссылка 2" xfId="42725" hidden="1"/>
    <cellStyle name="Гиперссылка 2" xfId="42724" hidden="1"/>
    <cellStyle name="Гиперссылка 2" xfId="42730" hidden="1"/>
    <cellStyle name="Гиперссылка 2" xfId="42731" hidden="1"/>
    <cellStyle name="Гиперссылка 2" xfId="42748" hidden="1"/>
    <cellStyle name="Гиперссылка 2" xfId="42749" hidden="1"/>
    <cellStyle name="Гиперссылка 2" xfId="42735" hidden="1"/>
    <cellStyle name="Гиперссылка 2" xfId="42732" hidden="1"/>
    <cellStyle name="Гиперссылка 2" xfId="42745" hidden="1"/>
    <cellStyle name="Гиперссылка 2" xfId="42744" hidden="1"/>
    <cellStyle name="Гиперссылка 2" xfId="42759" hidden="1"/>
    <cellStyle name="Гиперссылка 2" xfId="42758" hidden="1"/>
    <cellStyle name="Гиперссылка 2" xfId="42761" hidden="1"/>
    <cellStyle name="Гиперссылка 2" xfId="42762" hidden="1"/>
    <cellStyle name="Гиперссылка 2" xfId="42767" hidden="1"/>
    <cellStyle name="Гиперссылка 2" xfId="42768" hidden="1"/>
    <cellStyle name="Гиперссылка 2" xfId="42764" hidden="1"/>
    <cellStyle name="Гиперссылка 2" xfId="42763" hidden="1"/>
    <cellStyle name="Гиперссылка 2" xfId="42766" hidden="1"/>
    <cellStyle name="Гиперссылка 2" xfId="42765" hidden="1"/>
    <cellStyle name="Гиперссылка 2" xfId="42770" hidden="1"/>
    <cellStyle name="Гиперссылка 2" xfId="42769" hidden="1"/>
    <cellStyle name="Гиперссылка 2" xfId="42771" hidden="1"/>
    <cellStyle name="Гиперссылка 2" xfId="42772" hidden="1"/>
    <cellStyle name="Гиперссылка 2" xfId="42777" hidden="1"/>
    <cellStyle name="Гиперссылка 2" xfId="42778" hidden="1"/>
    <cellStyle name="Гиперссылка 2" xfId="42774" hidden="1"/>
    <cellStyle name="Гиперссылка 2" xfId="42773" hidden="1"/>
    <cellStyle name="Гиперссылка 2" xfId="42776" hidden="1"/>
    <cellStyle name="Гиперссылка 2" xfId="42775" hidden="1"/>
    <cellStyle name="Гиперссылка 2" xfId="42780" hidden="1"/>
    <cellStyle name="Гиперссылка 2" xfId="42779" hidden="1"/>
    <cellStyle name="Гиперссылка 2" xfId="42781" hidden="1"/>
    <cellStyle name="Гиперссылка 2" xfId="42782" hidden="1"/>
    <cellStyle name="Гиперссылка 2" xfId="42787" hidden="1"/>
    <cellStyle name="Гиперссылка 2" xfId="42788" hidden="1"/>
    <cellStyle name="Гиперссылка 2" xfId="42784" hidden="1"/>
    <cellStyle name="Гиперссылка 2" xfId="42783" hidden="1"/>
    <cellStyle name="Гиперссылка 2" xfId="42786" hidden="1"/>
    <cellStyle name="Гиперссылка 2" xfId="42785" hidden="1"/>
    <cellStyle name="Гиперссылка 2" xfId="42790" hidden="1"/>
    <cellStyle name="Гиперссылка 2" xfId="42789" hidden="1"/>
    <cellStyle name="Гиперссылка 2" xfId="42747" hidden="1"/>
    <cellStyle name="Гиперссылка 2" xfId="42740" hidden="1"/>
    <cellStyle name="Гиперссылка 2" xfId="42750" hidden="1"/>
    <cellStyle name="Гиперссылка 2" xfId="42734" hidden="1"/>
    <cellStyle name="Гиперссылка 2" xfId="42754" hidden="1"/>
    <cellStyle name="Гиперссылка 2" xfId="42760" hidden="1"/>
    <cellStyle name="Гиперссылка 2" xfId="42742" hidden="1"/>
    <cellStyle name="Гиперссылка 2" xfId="42751" hidden="1"/>
    <cellStyle name="Гиперссылка 2" xfId="42799" hidden="1"/>
    <cellStyle name="Гиперссылка 2" xfId="42798" hidden="1"/>
    <cellStyle name="Гиперссылка 2" xfId="42801" hidden="1"/>
    <cellStyle name="Гиперссылка 2" xfId="42802" hidden="1"/>
    <cellStyle name="Гиперссылка 2" xfId="42807" hidden="1"/>
    <cellStyle name="Гиперссылка 2" xfId="42808" hidden="1"/>
    <cellStyle name="Гиперссылка 2" xfId="42804" hidden="1"/>
    <cellStyle name="Гиперссылка 2" xfId="42803" hidden="1"/>
    <cellStyle name="Гиперссылка 2" xfId="42806" hidden="1"/>
    <cellStyle name="Гиперссылка 2" xfId="42805" hidden="1"/>
    <cellStyle name="Гиперссылка 2" xfId="42810" hidden="1"/>
    <cellStyle name="Гиперссылка 2" xfId="42809" hidden="1"/>
    <cellStyle name="Гиперссылка 2" xfId="42811" hidden="1"/>
    <cellStyle name="Гиперссылка 2" xfId="42812" hidden="1"/>
    <cellStyle name="Гиперссылка 2" xfId="42817" hidden="1"/>
    <cellStyle name="Гиперссылка 2" xfId="42818" hidden="1"/>
    <cellStyle name="Гиперссылка 2" xfId="42814" hidden="1"/>
    <cellStyle name="Гиперссылка 2" xfId="42813" hidden="1"/>
    <cellStyle name="Гиперссылка 2" xfId="42816" hidden="1"/>
    <cellStyle name="Гиперссылка 2" xfId="42815" hidden="1"/>
    <cellStyle name="Гиперссылка 2" xfId="42820" hidden="1"/>
    <cellStyle name="Гиперссылка 2" xfId="42819" hidden="1"/>
    <cellStyle name="Гиперссылка 2" xfId="42821" hidden="1"/>
    <cellStyle name="Гиперссылка 2" xfId="42822" hidden="1"/>
    <cellStyle name="Гиперссылка 2" xfId="42827" hidden="1"/>
    <cellStyle name="Гиперссылка 2" xfId="42828" hidden="1"/>
    <cellStyle name="Гиперссылка 2" xfId="42824" hidden="1"/>
    <cellStyle name="Гиперссылка 2" xfId="42823" hidden="1"/>
    <cellStyle name="Гиперссылка 2" xfId="42826" hidden="1"/>
    <cellStyle name="Гиперссылка 2" xfId="42825" hidden="1"/>
    <cellStyle name="Гиперссылка 2" xfId="42830" hidden="1"/>
    <cellStyle name="Гиперссылка 2" xfId="42829" hidden="1"/>
    <cellStyle name="Гиперссылка 2" xfId="42752" hidden="1"/>
    <cellStyle name="Гиперссылка 2" xfId="42681" hidden="1"/>
    <cellStyle name="Гиперссылка 2" xfId="42682" hidden="1"/>
    <cellStyle name="Гиперссылка 2" xfId="42736" hidden="1"/>
    <cellStyle name="Гиперссылка 2" xfId="42794" hidden="1"/>
    <cellStyle name="Гиперссылка 2" xfId="42800" hidden="1"/>
    <cellStyle name="Гиперссылка 2" xfId="42746" hidden="1"/>
    <cellStyle name="Гиперссылка 2" xfId="42791" hidden="1"/>
    <cellStyle name="Гиперссылка 2" xfId="42839" hidden="1"/>
    <cellStyle name="Гиперссылка 2" xfId="42838" hidden="1"/>
    <cellStyle name="Гиперссылка 2" xfId="42841" hidden="1"/>
    <cellStyle name="Гиперссылка 2" xfId="42842" hidden="1"/>
    <cellStyle name="Гиперссылка 2" xfId="42847" hidden="1"/>
    <cellStyle name="Гиперссылка 2" xfId="42848" hidden="1"/>
    <cellStyle name="Гиперссылка 2" xfId="42844" hidden="1"/>
    <cellStyle name="Гиперссылка 2" xfId="42843" hidden="1"/>
    <cellStyle name="Гиперссылка 2" xfId="42846" hidden="1"/>
    <cellStyle name="Гиперссылка 2" xfId="42845" hidden="1"/>
    <cellStyle name="Гиперссылка 2" xfId="42850" hidden="1"/>
    <cellStyle name="Гиперссылка 2" xfId="42849" hidden="1"/>
    <cellStyle name="Гиперссылка 2" xfId="42851" hidden="1"/>
    <cellStyle name="Гиперссылка 2" xfId="42852" hidden="1"/>
    <cellStyle name="Гиперссылка 2" xfId="42857" hidden="1"/>
    <cellStyle name="Гиперссылка 2" xfId="42858" hidden="1"/>
    <cellStyle name="Гиперссылка 2" xfId="42854" hidden="1"/>
    <cellStyle name="Гиперссылка 2" xfId="42853" hidden="1"/>
    <cellStyle name="Гиперссылка 2" xfId="42856" hidden="1"/>
    <cellStyle name="Гиперссылка 2" xfId="42855" hidden="1"/>
    <cellStyle name="Гиперссылка 2" xfId="42860" hidden="1"/>
    <cellStyle name="Гиперссылка 2" xfId="42859" hidden="1"/>
    <cellStyle name="Гиперссылка 2" xfId="42861" hidden="1"/>
    <cellStyle name="Гиперссылка 2" xfId="42862" hidden="1"/>
    <cellStyle name="Гиперссылка 2" xfId="42867" hidden="1"/>
    <cellStyle name="Гиперссылка 2" xfId="42868" hidden="1"/>
    <cellStyle name="Гиперссылка 2" xfId="42864" hidden="1"/>
    <cellStyle name="Гиперссылка 2" xfId="42863" hidden="1"/>
    <cellStyle name="Гиперссылка 2" xfId="42866" hidden="1"/>
    <cellStyle name="Гиперссылка 2" xfId="42865" hidden="1"/>
    <cellStyle name="Гиперссылка 2" xfId="42870" hidden="1"/>
    <cellStyle name="Гиперссылка 2" xfId="42869" hidden="1"/>
    <cellStyle name="Гиперссылка 2" xfId="42792" hidden="1"/>
    <cellStyle name="Гиперссылка 2" xfId="42683" hidden="1"/>
    <cellStyle name="Гиперссылка 2" xfId="42738" hidden="1"/>
    <cellStyle name="Гиперссылка 2" xfId="42684" hidden="1"/>
    <cellStyle name="Гиперссылка 2" xfId="42834" hidden="1"/>
    <cellStyle name="Гиперссылка 2" xfId="42840" hidden="1"/>
    <cellStyle name="Гиперссылка 2" xfId="42741" hidden="1"/>
    <cellStyle name="Гиперссылка 2" xfId="42831" hidden="1"/>
    <cellStyle name="Гиперссылка 2" xfId="42879" hidden="1"/>
    <cellStyle name="Гиперссылка 2" xfId="42878" hidden="1"/>
    <cellStyle name="Гиперссылка 2" xfId="42881" hidden="1"/>
    <cellStyle name="Гиперссылка 2" xfId="42882" hidden="1"/>
    <cellStyle name="Гиперссылка 2" xfId="42887" hidden="1"/>
    <cellStyle name="Гиперссылка 2" xfId="42888" hidden="1"/>
    <cellStyle name="Гиперссылка 2" xfId="42884" hidden="1"/>
    <cellStyle name="Гиперссылка 2" xfId="42883" hidden="1"/>
    <cellStyle name="Гиперссылка 2" xfId="42886" hidden="1"/>
    <cellStyle name="Гиперссылка 2" xfId="42885" hidden="1"/>
    <cellStyle name="Гиперссылка 2" xfId="42890" hidden="1"/>
    <cellStyle name="Гиперссылка 2" xfId="42889" hidden="1"/>
    <cellStyle name="Гиперссылка 2" xfId="42891" hidden="1"/>
    <cellStyle name="Гиперссылка 2" xfId="42892" hidden="1"/>
    <cellStyle name="Гиперссылка 2" xfId="42897" hidden="1"/>
    <cellStyle name="Гиперссылка 2" xfId="42898" hidden="1"/>
    <cellStyle name="Гиперссылка 2" xfId="42894" hidden="1"/>
    <cellStyle name="Гиперссылка 2" xfId="42893" hidden="1"/>
    <cellStyle name="Гиперссылка 2" xfId="42896" hidden="1"/>
    <cellStyle name="Гиперссылка 2" xfId="42895" hidden="1"/>
    <cellStyle name="Гиперссылка 2" xfId="42900" hidden="1"/>
    <cellStyle name="Гиперссылка 2" xfId="42899" hidden="1"/>
    <cellStyle name="Гиперссылка 2" xfId="42901" hidden="1"/>
    <cellStyle name="Гиперссылка 2" xfId="42902" hidden="1"/>
    <cellStyle name="Гиперссылка 2" xfId="42907" hidden="1"/>
    <cellStyle name="Гиперссылка 2" xfId="42908" hidden="1"/>
    <cellStyle name="Гиперссылка 2" xfId="42904" hidden="1"/>
    <cellStyle name="Гиперссылка 2" xfId="42903" hidden="1"/>
    <cellStyle name="Гиперссылка 2" xfId="42906" hidden="1"/>
    <cellStyle name="Гиперссылка 2" xfId="42905" hidden="1"/>
    <cellStyle name="Гиперссылка 2" xfId="42910" hidden="1"/>
    <cellStyle name="Гиперссылка 2" xfId="42909" hidden="1"/>
    <cellStyle name="Гиперссылка 2" xfId="42832" hidden="1"/>
    <cellStyle name="Гиперссылка 2" xfId="42739" hidden="1"/>
    <cellStyle name="Гиперссылка 2" xfId="42728" hidden="1"/>
    <cellStyle name="Гиперссылка 2" xfId="42737" hidden="1"/>
    <cellStyle name="Гиперссылка 2" xfId="42874" hidden="1"/>
    <cellStyle name="Гиперссылка 2" xfId="42880" hidden="1"/>
    <cellStyle name="Гиперссылка 2" xfId="42727" hidden="1"/>
    <cellStyle name="Гиперссылка 2" xfId="42871" hidden="1"/>
    <cellStyle name="Гиперссылка 2" xfId="42918" hidden="1"/>
    <cellStyle name="Гиперссылка 2" xfId="42917" hidden="1"/>
    <cellStyle name="Гиперссылка 2" xfId="42920" hidden="1"/>
    <cellStyle name="Гиперссылка 2" xfId="42921" hidden="1"/>
    <cellStyle name="Гиперссылка 2" xfId="42926" hidden="1"/>
    <cellStyle name="Гиперссылка 2" xfId="42927" hidden="1"/>
    <cellStyle name="Гиперссылка 2" xfId="42923" hidden="1"/>
    <cellStyle name="Гиперссылка 2" xfId="42922" hidden="1"/>
    <cellStyle name="Гиперссылка 2" xfId="42925" hidden="1"/>
    <cellStyle name="Гиперссылка 2" xfId="42924" hidden="1"/>
    <cellStyle name="Гиперссылка 2" xfId="42929" hidden="1"/>
    <cellStyle name="Гиперссылка 2" xfId="42928" hidden="1"/>
    <cellStyle name="Гиперссылка 2" xfId="42930" hidden="1"/>
    <cellStyle name="Гиперссылка 2" xfId="42931" hidden="1"/>
    <cellStyle name="Гиперссылка 2" xfId="42936" hidden="1"/>
    <cellStyle name="Гиперссылка 2" xfId="42937" hidden="1"/>
    <cellStyle name="Гиперссылка 2" xfId="42933" hidden="1"/>
    <cellStyle name="Гиперссылка 2" xfId="42932" hidden="1"/>
    <cellStyle name="Гиперссылка 2" xfId="42935" hidden="1"/>
    <cellStyle name="Гиперссылка 2" xfId="42934" hidden="1"/>
    <cellStyle name="Гиперссылка 2" xfId="42939" hidden="1"/>
    <cellStyle name="Гиперссылка 2" xfId="42938" hidden="1"/>
    <cellStyle name="Гиперссылка 2" xfId="42940" hidden="1"/>
    <cellStyle name="Гиперссылка 2" xfId="42941" hidden="1"/>
    <cellStyle name="Гиперссылка 2" xfId="42946" hidden="1"/>
    <cellStyle name="Гиперссылка 2" xfId="42947" hidden="1"/>
    <cellStyle name="Гиперссылка 2" xfId="42943" hidden="1"/>
    <cellStyle name="Гиперссылка 2" xfId="42942" hidden="1"/>
    <cellStyle name="Гиперссылка 2" xfId="42945" hidden="1"/>
    <cellStyle name="Гиперссылка 2" xfId="42944" hidden="1"/>
    <cellStyle name="Гиперссылка 2" xfId="42949" hidden="1"/>
    <cellStyle name="Гиперссылка 2" xfId="42948" hidden="1"/>
    <cellStyle name="Гиперссылка 2" xfId="42872" hidden="1"/>
    <cellStyle name="Гиперссылка 2" xfId="42743" hidden="1"/>
    <cellStyle name="Гиперссылка 2" xfId="42753" hidden="1"/>
    <cellStyle name="Гиперссылка 2" xfId="42729" hidden="1"/>
    <cellStyle name="Гиперссылка 2" xfId="42914" hidden="1"/>
    <cellStyle name="Гиперссылка 2" xfId="42919" hidden="1"/>
    <cellStyle name="Гиперссылка 2" xfId="42756" hidden="1"/>
    <cellStyle name="Гиперссылка 2" xfId="42911" hidden="1"/>
    <cellStyle name="Гиперссылка 2" xfId="42956" hidden="1"/>
    <cellStyle name="Гиперссылка 2" xfId="42955" hidden="1"/>
    <cellStyle name="Гиперссылка 2" xfId="42958" hidden="1"/>
    <cellStyle name="Гиперссылка 2" xfId="42959" hidden="1"/>
    <cellStyle name="Гиперссылка 2" xfId="42964" hidden="1"/>
    <cellStyle name="Гиперссылка 2" xfId="42965" hidden="1"/>
    <cellStyle name="Гиперссылка 2" xfId="42961" hidden="1"/>
    <cellStyle name="Гиперссылка 2" xfId="42960" hidden="1"/>
    <cellStyle name="Гиперссылка 2" xfId="42963" hidden="1"/>
    <cellStyle name="Гиперссылка 2" xfId="42962" hidden="1"/>
    <cellStyle name="Гиперссылка 2" xfId="42967" hidden="1"/>
    <cellStyle name="Гиперссылка 2" xfId="42966" hidden="1"/>
    <cellStyle name="Гиперссылка 2" xfId="42968" hidden="1"/>
    <cellStyle name="Гиперссылка 2" xfId="42969" hidden="1"/>
    <cellStyle name="Гиперссылка 2" xfId="42974" hidden="1"/>
    <cellStyle name="Гиперссылка 2" xfId="42975" hidden="1"/>
    <cellStyle name="Гиперссылка 2" xfId="42971" hidden="1"/>
    <cellStyle name="Гиперссылка 2" xfId="42970" hidden="1"/>
    <cellStyle name="Гиперссылка 2" xfId="42973" hidden="1"/>
    <cellStyle name="Гиперссылка 2" xfId="42972" hidden="1"/>
    <cellStyle name="Гиперссылка 2" xfId="42977" hidden="1"/>
    <cellStyle name="Гиперссылка 2" xfId="42976" hidden="1"/>
    <cellStyle name="Гиперссылка 2" xfId="42978" hidden="1"/>
    <cellStyle name="Гиперссылка 2" xfId="42979" hidden="1"/>
    <cellStyle name="Гиперссылка 2" xfId="42984" hidden="1"/>
    <cellStyle name="Гиперссылка 2" xfId="42985" hidden="1"/>
    <cellStyle name="Гиперссылка 2" xfId="42981" hidden="1"/>
    <cellStyle name="Гиперссылка 2" xfId="42980" hidden="1"/>
    <cellStyle name="Гиперссылка 2" xfId="42983" hidden="1"/>
    <cellStyle name="Гиперссылка 2" xfId="42982" hidden="1"/>
    <cellStyle name="Гиперссылка 2" xfId="42987" hidden="1"/>
    <cellStyle name="Гиперссылка 2" xfId="42986" hidden="1"/>
    <cellStyle name="Гиперссылка 2" xfId="42912" hidden="1"/>
    <cellStyle name="Гиперссылка 2" xfId="42685" hidden="1"/>
    <cellStyle name="Гиперссылка 2" xfId="42793" hidden="1"/>
    <cellStyle name="Гиперссылка 2" xfId="42733" hidden="1"/>
    <cellStyle name="Гиперссылка 2" xfId="42953" hidden="1"/>
    <cellStyle name="Гиперссылка 2" xfId="42957" hidden="1"/>
    <cellStyle name="Гиперссылка 2" xfId="42796" hidden="1"/>
    <cellStyle name="Гиперссылка 2" xfId="42950" hidden="1"/>
    <cellStyle name="Гиперссылка 2" xfId="42994" hidden="1"/>
    <cellStyle name="Гиперссылка 2" xfId="42993" hidden="1"/>
    <cellStyle name="Гиперссылка 2" xfId="42996" hidden="1"/>
    <cellStyle name="Гиперссылка 2" xfId="42997" hidden="1"/>
    <cellStyle name="Гиперссылка 2" xfId="43002" hidden="1"/>
    <cellStyle name="Гиперссылка 2" xfId="43003" hidden="1"/>
    <cellStyle name="Гиперссылка 2" xfId="42999" hidden="1"/>
    <cellStyle name="Гиперссылка 2" xfId="42998" hidden="1"/>
    <cellStyle name="Гиперссылка 2" xfId="43001" hidden="1"/>
    <cellStyle name="Гиперссылка 2" xfId="43000" hidden="1"/>
    <cellStyle name="Гиперссылка 2" xfId="43005" hidden="1"/>
    <cellStyle name="Гиперссылка 2" xfId="43004" hidden="1"/>
    <cellStyle name="Гиперссылка 2" xfId="43006" hidden="1"/>
    <cellStyle name="Гиперссылка 2" xfId="43007" hidden="1"/>
    <cellStyle name="Гиперссылка 2" xfId="43012" hidden="1"/>
    <cellStyle name="Гиперссылка 2" xfId="43013" hidden="1"/>
    <cellStyle name="Гиперссылка 2" xfId="43009" hidden="1"/>
    <cellStyle name="Гиперссылка 2" xfId="43008" hidden="1"/>
    <cellStyle name="Гиперссылка 2" xfId="43011" hidden="1"/>
    <cellStyle name="Гиперссылка 2" xfId="43010" hidden="1"/>
    <cellStyle name="Гиперссылка 2" xfId="43015" hidden="1"/>
    <cellStyle name="Гиперссылка 2" xfId="43014" hidden="1"/>
    <cellStyle name="Гиперссылка 2" xfId="43016" hidden="1"/>
    <cellStyle name="Гиперссылка 2" xfId="43017" hidden="1"/>
    <cellStyle name="Гиперссылка 2" xfId="43022" hidden="1"/>
    <cellStyle name="Гиперссылка 2" xfId="43023" hidden="1"/>
    <cellStyle name="Гиперссылка 2" xfId="43019" hidden="1"/>
    <cellStyle name="Гиперссылка 2" xfId="43018" hidden="1"/>
    <cellStyle name="Гиперссылка 2" xfId="43021" hidden="1"/>
    <cellStyle name="Гиперссылка 2" xfId="43020" hidden="1"/>
    <cellStyle name="Гиперссылка 2" xfId="43025" hidden="1"/>
    <cellStyle name="Гиперссылка 2" xfId="43024" hidden="1"/>
    <cellStyle name="Гиперссылка 2" xfId="42951" hidden="1"/>
    <cellStyle name="Гиперссылка 2" xfId="42726" hidden="1"/>
    <cellStyle name="Гиперссылка 2" xfId="42833" hidden="1"/>
    <cellStyle name="Гиперссылка 2" xfId="42757" hidden="1"/>
    <cellStyle name="Гиперссылка 2" xfId="42991" hidden="1"/>
    <cellStyle name="Гиперссылка 2" xfId="42995" hidden="1"/>
    <cellStyle name="Гиперссылка 2" xfId="42836" hidden="1"/>
    <cellStyle name="Гиперссылка 2" xfId="42988" hidden="1"/>
    <cellStyle name="Гиперссылка 2" xfId="43030" hidden="1"/>
    <cellStyle name="Гиперссылка 2" xfId="43029" hidden="1"/>
    <cellStyle name="Гиперссылка 2" xfId="43032" hidden="1"/>
    <cellStyle name="Гиперссылка 2" xfId="43033" hidden="1"/>
    <cellStyle name="Гиперссылка 2" xfId="43038" hidden="1"/>
    <cellStyle name="Гиперссылка 2" xfId="43039" hidden="1"/>
    <cellStyle name="Гиперссылка 2" xfId="43035" hidden="1"/>
    <cellStyle name="Гиперссылка 2" xfId="43034" hidden="1"/>
    <cellStyle name="Гиперссылка 2" xfId="43037" hidden="1"/>
    <cellStyle name="Гиперссылка 2" xfId="43036" hidden="1"/>
    <cellStyle name="Гиперссылка 2" xfId="43041" hidden="1"/>
    <cellStyle name="Гиперссылка 2" xfId="43040" hidden="1"/>
    <cellStyle name="Гиперссылка 2" xfId="43042" hidden="1"/>
    <cellStyle name="Гиперссылка 2" xfId="43043" hidden="1"/>
    <cellStyle name="Гиперссылка 2" xfId="43048" hidden="1"/>
    <cellStyle name="Гиперссылка 2" xfId="43049" hidden="1"/>
    <cellStyle name="Гиперссылка 2" xfId="43045" hidden="1"/>
    <cellStyle name="Гиперссылка 2" xfId="43044" hidden="1"/>
    <cellStyle name="Гиперссылка 2" xfId="43047" hidden="1"/>
    <cellStyle name="Гиперссылка 2" xfId="43046" hidden="1"/>
    <cellStyle name="Гиперссылка 2" xfId="43051" hidden="1"/>
    <cellStyle name="Гиперссылка 2" xfId="43050" hidden="1"/>
    <cellStyle name="Гиперссылка 2" xfId="43052" hidden="1"/>
    <cellStyle name="Гиперссылка 2" xfId="43053" hidden="1"/>
    <cellStyle name="Гиперссылка 2" xfId="43058" hidden="1"/>
    <cellStyle name="Гиперссылка 2" xfId="43059" hidden="1"/>
    <cellStyle name="Гиперссылка 2" xfId="43055" hidden="1"/>
    <cellStyle name="Гиперссылка 2" xfId="43054" hidden="1"/>
    <cellStyle name="Гиперссылка 2" xfId="43057" hidden="1"/>
    <cellStyle name="Гиперссылка 2" xfId="43056" hidden="1"/>
    <cellStyle name="Гиперссылка 2" xfId="43061" hidden="1"/>
    <cellStyle name="Гиперссылка 2" xfId="43060" hidden="1"/>
    <cellStyle name="Гиперссылка 2" xfId="42989" hidden="1"/>
    <cellStyle name="Гиперссылка 2" xfId="42755" hidden="1"/>
    <cellStyle name="Гиперссылка 2" xfId="42873" hidden="1"/>
    <cellStyle name="Гиперссылка 2" xfId="42797" hidden="1"/>
    <cellStyle name="Гиперссылка 2" xfId="43028" hidden="1"/>
    <cellStyle name="Гиперссылка 2" xfId="43031" hidden="1"/>
    <cellStyle name="Гиперссылка 2" xfId="42876" hidden="1"/>
    <cellStyle name="Гиперссылка 2" xfId="43026" hidden="1"/>
    <cellStyle name="Гиперссылка 2" xfId="43066" hidden="1"/>
    <cellStyle name="Гиперссылка 2" xfId="43065" hidden="1"/>
    <cellStyle name="Гиперссылка 2" xfId="43068" hidden="1"/>
    <cellStyle name="Гиперссылка 2" xfId="43069" hidden="1"/>
    <cellStyle name="Гиперссылка 2" xfId="43074" hidden="1"/>
    <cellStyle name="Гиперссылка 2" xfId="43075" hidden="1"/>
    <cellStyle name="Гиперссылка 2" xfId="43071" hidden="1"/>
    <cellStyle name="Гиперссылка 2" xfId="43070" hidden="1"/>
    <cellStyle name="Гиперссылка 2" xfId="43073" hidden="1"/>
    <cellStyle name="Гиперссылка 2" xfId="43072" hidden="1"/>
    <cellStyle name="Гиперссылка 2" xfId="43077" hidden="1"/>
    <cellStyle name="Гиперссылка 2" xfId="43076" hidden="1"/>
    <cellStyle name="Гиперссылка 2" xfId="43078" hidden="1"/>
    <cellStyle name="Гиперссылка 2" xfId="43079" hidden="1"/>
    <cellStyle name="Гиперссылка 2" xfId="43084" hidden="1"/>
    <cellStyle name="Гиперссылка 2" xfId="43085" hidden="1"/>
    <cellStyle name="Гиперссылка 2" xfId="43081" hidden="1"/>
    <cellStyle name="Гиперссылка 2" xfId="43080" hidden="1"/>
    <cellStyle name="Гиперссылка 2" xfId="43083" hidden="1"/>
    <cellStyle name="Гиперссылка 2" xfId="43082" hidden="1"/>
    <cellStyle name="Гиперссылка 2" xfId="43087" hidden="1"/>
    <cellStyle name="Гиперссылка 2" xfId="43086" hidden="1"/>
    <cellStyle name="Гиперссылка 2" xfId="43088" hidden="1"/>
    <cellStyle name="Гиперссылка 2" xfId="43089" hidden="1"/>
    <cellStyle name="Гиперссылка 2" xfId="43094" hidden="1"/>
    <cellStyle name="Гиперссылка 2" xfId="43095" hidden="1"/>
    <cellStyle name="Гиперссылка 2" xfId="43091" hidden="1"/>
    <cellStyle name="Гиперссылка 2" xfId="43090" hidden="1"/>
    <cellStyle name="Гиперссылка 2" xfId="43093" hidden="1"/>
    <cellStyle name="Гиперссылка 2" xfId="43092" hidden="1"/>
    <cellStyle name="Гиперссылка 2" xfId="43097" hidden="1"/>
    <cellStyle name="Гиперссылка 2" xfId="43096" hidden="1"/>
    <cellStyle name="Гиперссылка 2" xfId="43027" hidden="1"/>
    <cellStyle name="Гиперссылка 2" xfId="42795" hidden="1"/>
    <cellStyle name="Гиперссылка 2" xfId="42913" hidden="1"/>
    <cellStyle name="Гиперссылка 2" xfId="42837" hidden="1"/>
    <cellStyle name="Гиперссылка 2" xfId="43064" hidden="1"/>
    <cellStyle name="Гиперссылка 2" xfId="43067" hidden="1"/>
    <cellStyle name="Гиперссылка 2" xfId="42915" hidden="1"/>
    <cellStyle name="Гиперссылка 2" xfId="43062" hidden="1"/>
    <cellStyle name="Гиперссылка 2" xfId="43102" hidden="1"/>
    <cellStyle name="Гиперссылка 2" xfId="43101" hidden="1"/>
    <cellStyle name="Гиперссылка 2" xfId="43104" hidden="1"/>
    <cellStyle name="Гиперссылка 2" xfId="43105" hidden="1"/>
    <cellStyle name="Гиперссылка 2" xfId="43110" hidden="1"/>
    <cellStyle name="Гиперссылка 2" xfId="43111" hidden="1"/>
    <cellStyle name="Гиперссылка 2" xfId="43107" hidden="1"/>
    <cellStyle name="Гиперссылка 2" xfId="43106" hidden="1"/>
    <cellStyle name="Гиперссылка 2" xfId="43109" hidden="1"/>
    <cellStyle name="Гиперссылка 2" xfId="43108" hidden="1"/>
    <cellStyle name="Гиперссылка 2" xfId="43113" hidden="1"/>
    <cellStyle name="Гиперссылка 2" xfId="43112" hidden="1"/>
    <cellStyle name="Гиперссылка 2" xfId="43114" hidden="1"/>
    <cellStyle name="Гиперссылка 2" xfId="43115" hidden="1"/>
    <cellStyle name="Гиперссылка 2" xfId="43120" hidden="1"/>
    <cellStyle name="Гиперссылка 2" xfId="43121" hidden="1"/>
    <cellStyle name="Гиперссылка 2" xfId="43117" hidden="1"/>
    <cellStyle name="Гиперссылка 2" xfId="43116" hidden="1"/>
    <cellStyle name="Гиперссылка 2" xfId="43119" hidden="1"/>
    <cellStyle name="Гиперссылка 2" xfId="43118" hidden="1"/>
    <cellStyle name="Гиперссылка 2" xfId="43123" hidden="1"/>
    <cellStyle name="Гиперссылка 2" xfId="43122" hidden="1"/>
    <cellStyle name="Гиперссылка 2" xfId="43124" hidden="1"/>
    <cellStyle name="Гиперссылка 2" xfId="43125" hidden="1"/>
    <cellStyle name="Гиперссылка 2" xfId="43130" hidden="1"/>
    <cellStyle name="Гиперссылка 2" xfId="43131" hidden="1"/>
    <cellStyle name="Гиперссылка 2" xfId="43127" hidden="1"/>
    <cellStyle name="Гиперссылка 2" xfId="43126" hidden="1"/>
    <cellStyle name="Гиперссылка 2" xfId="43129" hidden="1"/>
    <cellStyle name="Гиперссылка 2" xfId="43128" hidden="1"/>
    <cellStyle name="Гиперссылка 2" xfId="43133" hidden="1"/>
    <cellStyle name="Гиперссылка 2" xfId="43132" hidden="1"/>
    <cellStyle name="Гиперссылка 2" xfId="43063" hidden="1"/>
    <cellStyle name="Гиперссылка 2" xfId="42835" hidden="1"/>
    <cellStyle name="Гиперссылка 2" xfId="42952" hidden="1"/>
    <cellStyle name="Гиперссылка 2" xfId="42877" hidden="1"/>
    <cellStyle name="Гиперссылка 2" xfId="43100" hidden="1"/>
    <cellStyle name="Гиперссылка 2" xfId="43103" hidden="1"/>
    <cellStyle name="Гиперссылка 2" xfId="42954" hidden="1"/>
    <cellStyle name="Гиперссылка 2" xfId="43098" hidden="1"/>
    <cellStyle name="Гиперссылка 2" xfId="43137" hidden="1"/>
    <cellStyle name="Гиперссылка 2" xfId="43136" hidden="1"/>
    <cellStyle name="Гиперссылка 2" xfId="43139" hidden="1"/>
    <cellStyle name="Гиперссылка 2" xfId="43140" hidden="1"/>
    <cellStyle name="Гиперссылка 2" xfId="43145" hidden="1"/>
    <cellStyle name="Гиперссылка 2" xfId="43146" hidden="1"/>
    <cellStyle name="Гиперссылка 2" xfId="43142" hidden="1"/>
    <cellStyle name="Гиперссылка 2" xfId="43141" hidden="1"/>
    <cellStyle name="Гиперссылка 2" xfId="43144" hidden="1"/>
    <cellStyle name="Гиперссылка 2" xfId="43143" hidden="1"/>
    <cellStyle name="Гиперссылка 2" xfId="43148" hidden="1"/>
    <cellStyle name="Гиперссылка 2" xfId="43147" hidden="1"/>
    <cellStyle name="Гиперссылка 2" xfId="43149" hidden="1"/>
    <cellStyle name="Гиперссылка 2" xfId="43150" hidden="1"/>
    <cellStyle name="Гиперссылка 2" xfId="43155" hidden="1"/>
    <cellStyle name="Гиперссылка 2" xfId="43156" hidden="1"/>
    <cellStyle name="Гиперссылка 2" xfId="43152" hidden="1"/>
    <cellStyle name="Гиперссылка 2" xfId="43151" hidden="1"/>
    <cellStyle name="Гиперссылка 2" xfId="43154" hidden="1"/>
    <cellStyle name="Гиперссылка 2" xfId="43153" hidden="1"/>
    <cellStyle name="Гиперссылка 2" xfId="43158" hidden="1"/>
    <cellStyle name="Гиперссылка 2" xfId="43157" hidden="1"/>
    <cellStyle name="Гиперссылка 2" xfId="43159" hidden="1"/>
    <cellStyle name="Гиперссылка 2" xfId="43160" hidden="1"/>
    <cellStyle name="Гиперссылка 2" xfId="43165" hidden="1"/>
    <cellStyle name="Гиперссылка 2" xfId="43166" hidden="1"/>
    <cellStyle name="Гиперссылка 2" xfId="43162" hidden="1"/>
    <cellStyle name="Гиперссылка 2" xfId="43161" hidden="1"/>
    <cellStyle name="Гиперссылка 2" xfId="43164" hidden="1"/>
    <cellStyle name="Гиперссылка 2" xfId="43163" hidden="1"/>
    <cellStyle name="Гиперссылка 2" xfId="43168" hidden="1"/>
    <cellStyle name="Гиперссылка 2" xfId="43167" hidden="1"/>
    <cellStyle name="Гиперссылка 2" xfId="43099" hidden="1"/>
    <cellStyle name="Гиперссылка 2" xfId="42875" hidden="1"/>
    <cellStyle name="Гиперссылка 2" xfId="42990" hidden="1"/>
    <cellStyle name="Гиперссылка 2" xfId="42916" hidden="1"/>
    <cellStyle name="Гиперссылка 2" xfId="43135" hidden="1"/>
    <cellStyle name="Гиперссылка 2" xfId="43138" hidden="1"/>
    <cellStyle name="Гиперссылка 2" xfId="42992" hidden="1"/>
    <cellStyle name="Гиперссылка 2" xfId="43134" hidden="1"/>
    <cellStyle name="Гиперссылка 2" xfId="43170" hidden="1"/>
    <cellStyle name="Гиперссылка 2" xfId="43169" hidden="1"/>
    <cellStyle name="Гиперссылка 2" xfId="43171" hidden="1"/>
    <cellStyle name="Гиперссылка 2" xfId="43172" hidden="1"/>
    <cellStyle name="Гиперссылка 2" xfId="43177" hidden="1"/>
    <cellStyle name="Гиперссылка 2" xfId="43178" hidden="1"/>
    <cellStyle name="Гиперссылка 2" xfId="43174" hidden="1"/>
    <cellStyle name="Гиперссылка 2" xfId="43173" hidden="1"/>
    <cellStyle name="Гиперссылка 2" xfId="43176" hidden="1"/>
    <cellStyle name="Гиперссылка 2" xfId="43175" hidden="1"/>
    <cellStyle name="Гиперссылка 2" xfId="43180" hidden="1"/>
    <cellStyle name="Гиперссылка 2" xfId="43179" hidden="1"/>
    <cellStyle name="Гиперссылка 2" xfId="43181" hidden="1"/>
    <cellStyle name="Гиперссылка 2" xfId="43182" hidden="1"/>
    <cellStyle name="Гиперссылка 2" xfId="43187" hidden="1"/>
    <cellStyle name="Гиперссылка 2" xfId="43188" hidden="1"/>
    <cellStyle name="Гиперссылка 2" xfId="43184" hidden="1"/>
    <cellStyle name="Гиперссылка 2" xfId="43183" hidden="1"/>
    <cellStyle name="Гиперссылка 2" xfId="43186" hidden="1"/>
    <cellStyle name="Гиперссылка 2" xfId="43185" hidden="1"/>
    <cellStyle name="Гиперссылка 2" xfId="43190" hidden="1"/>
    <cellStyle name="Гиперссылка 2" xfId="43189" hidden="1"/>
    <cellStyle name="Гиперссылка 2" xfId="43191" hidden="1"/>
    <cellStyle name="Гиперссылка 2" xfId="43192" hidden="1"/>
    <cellStyle name="Гиперссылка 2" xfId="43197" hidden="1"/>
    <cellStyle name="Гиперссылка 2" xfId="43198" hidden="1"/>
    <cellStyle name="Гиперссылка 2" xfId="43194" hidden="1"/>
    <cellStyle name="Гиперссылка 2" xfId="43193" hidden="1"/>
    <cellStyle name="Гиперссылка 2" xfId="43196" hidden="1"/>
    <cellStyle name="Гиперссылка 2" xfId="43195" hidden="1"/>
    <cellStyle name="Гиперссылка 2" xfId="43200" hidden="1"/>
    <cellStyle name="Гиперссылка 2" xfId="43199" hidden="1"/>
    <cellStyle name="Гиперссылка 2" xfId="43258" hidden="1"/>
    <cellStyle name="Гиперссылка 2" xfId="43259" hidden="1"/>
    <cellStyle name="Гиперссылка 2" xfId="43363" hidden="1"/>
    <cellStyle name="Гиперссылка 2" xfId="43364" hidden="1"/>
    <cellStyle name="Гиперссылка 2" xfId="43302" hidden="1"/>
    <cellStyle name="Гиперссылка 2" xfId="43262" hidden="1"/>
    <cellStyle name="Гиперссылка 2" xfId="43348" hidden="1"/>
    <cellStyle name="Гиперссылка 2" xfId="43347" hidden="1"/>
    <cellStyle name="Гиперссылка 2" xfId="43409" hidden="1"/>
    <cellStyle name="Гиперссылка 2" xfId="43408" hidden="1"/>
    <cellStyle name="Гиперссылка 2" xfId="43422" hidden="1"/>
    <cellStyle name="Гиперссылка 2" xfId="43423" hidden="1"/>
    <cellStyle name="Гиперссылка 2" xfId="43429" hidden="1"/>
    <cellStyle name="Гиперссылка 2" xfId="43430" hidden="1"/>
    <cellStyle name="Гиперссылка 2" xfId="43426" hidden="1"/>
    <cellStyle name="Гиперссылка 2" xfId="43425" hidden="1"/>
    <cellStyle name="Гиперссылка 2" xfId="43428" hidden="1"/>
    <cellStyle name="Гиперссылка 2" xfId="43427" hidden="1"/>
    <cellStyle name="Гиперссылка 2" xfId="43432" hidden="1"/>
    <cellStyle name="Гиперссылка 2" xfId="43431" hidden="1"/>
    <cellStyle name="Гиперссылка 2" xfId="43433" hidden="1"/>
    <cellStyle name="Гиперссылка 2" xfId="43434" hidden="1"/>
    <cellStyle name="Гиперссылка 2" xfId="43439" hidden="1"/>
    <cellStyle name="Гиперссылка 2" xfId="43440" hidden="1"/>
    <cellStyle name="Гиперссылка 2" xfId="43436" hidden="1"/>
    <cellStyle name="Гиперссылка 2" xfId="43435" hidden="1"/>
    <cellStyle name="Гиперссылка 2" xfId="43438" hidden="1"/>
    <cellStyle name="Гиперссылка 2" xfId="43437" hidden="1"/>
    <cellStyle name="Гиперссылка 2" xfId="43442" hidden="1"/>
    <cellStyle name="Гиперссылка 2" xfId="43441" hidden="1"/>
    <cellStyle name="Гиперссылка 2" xfId="43443" hidden="1"/>
    <cellStyle name="Гиперссылка 2" xfId="43444" hidden="1"/>
    <cellStyle name="Гиперссылка 2" xfId="43449" hidden="1"/>
    <cellStyle name="Гиперссылка 2" xfId="43450" hidden="1"/>
    <cellStyle name="Гиперссылка 2" xfId="43446" hidden="1"/>
    <cellStyle name="Гиперссылка 2" xfId="43445" hidden="1"/>
    <cellStyle name="Гиперссылка 2" xfId="43448" hidden="1"/>
    <cellStyle name="Гиперссылка 2" xfId="43447" hidden="1"/>
    <cellStyle name="Гиперссылка 2" xfId="43452" hidden="1"/>
    <cellStyle name="Гиперссылка 2" xfId="43451" hidden="1"/>
    <cellStyle name="Гиперссылка 2" xfId="43487" hidden="1"/>
    <cellStyle name="Гиперссылка 2" xfId="43488" hidden="1"/>
    <cellStyle name="Гиперссылка 2" xfId="43576" hidden="1"/>
    <cellStyle name="Гиперссылка 2" xfId="43577" hidden="1"/>
    <cellStyle name="Гиперссылка 2" xfId="43533" hidden="1"/>
    <cellStyle name="Гиперссылка 2" xfId="43490" hidden="1"/>
    <cellStyle name="Гиперссылка 2" xfId="43565" hidden="1"/>
    <cellStyle name="Гиперссылка 2" xfId="43564" hidden="1"/>
    <cellStyle name="Гиперссылка 2" xfId="43630" hidden="1"/>
    <cellStyle name="Гиперссылка 2" xfId="43629" hidden="1"/>
    <cellStyle name="Гиперссылка 2" xfId="43643" hidden="1"/>
    <cellStyle name="Гиперссылка 2" xfId="43644" hidden="1"/>
    <cellStyle name="Гиперссылка 2" xfId="43649" hidden="1"/>
    <cellStyle name="Гиперссылка 2" xfId="43650" hidden="1"/>
    <cellStyle name="Гиперссылка 2" xfId="43646" hidden="1"/>
    <cellStyle name="Гиперссылка 2" xfId="43645" hidden="1"/>
    <cellStyle name="Гиперссылка 2" xfId="43648" hidden="1"/>
    <cellStyle name="Гиперссылка 2" xfId="43647" hidden="1"/>
    <cellStyle name="Гиперссылка 2" xfId="43652" hidden="1"/>
    <cellStyle name="Гиперссылка 2" xfId="43651" hidden="1"/>
    <cellStyle name="Гиперссылка 2" xfId="43654" hidden="1"/>
    <cellStyle name="Гиперссылка 2" xfId="43655" hidden="1"/>
    <cellStyle name="Гиперссылка 2" xfId="43660" hidden="1"/>
    <cellStyle name="Гиперссылка 2" xfId="43661" hidden="1"/>
    <cellStyle name="Гиперссылка 2" xfId="43657" hidden="1"/>
    <cellStyle name="Гиперссылка 2" xfId="43656" hidden="1"/>
    <cellStyle name="Гиперссылка 2" xfId="43659" hidden="1"/>
    <cellStyle name="Гиперссылка 2" xfId="43658" hidden="1"/>
    <cellStyle name="Гиперссылка 2" xfId="43663" hidden="1"/>
    <cellStyle name="Гиперссылка 2" xfId="43662" hidden="1"/>
    <cellStyle name="Гиперссылка 2" xfId="43664" hidden="1"/>
    <cellStyle name="Гиперссылка 2" xfId="43665" hidden="1"/>
    <cellStyle name="Гиперссылка 2" xfId="43670" hidden="1"/>
    <cellStyle name="Гиперссылка 2" xfId="43671" hidden="1"/>
    <cellStyle name="Гиперссылка 2" xfId="43667" hidden="1"/>
    <cellStyle name="Гиперссылка 2" xfId="43666" hidden="1"/>
    <cellStyle name="Гиперссылка 2" xfId="43669" hidden="1"/>
    <cellStyle name="Гиперссылка 2" xfId="43668" hidden="1"/>
    <cellStyle name="Гиперссылка 2" xfId="43673" hidden="1"/>
    <cellStyle name="Гиперссылка 2" xfId="43672" hidden="1"/>
    <cellStyle name="Гиперссылка 2" xfId="43574" hidden="1"/>
    <cellStyle name="Гиперссылка 2" xfId="43547" hidden="1"/>
    <cellStyle name="Гиперссылка 2" xfId="43584" hidden="1"/>
    <cellStyle name="Гиперссылка 2" xfId="43492" hidden="1"/>
    <cellStyle name="Гиперссылка 2" xfId="43602" hidden="1"/>
    <cellStyle name="Гиперссылка 2" xfId="43637" hidden="1"/>
    <cellStyle name="Гиперссылка 2" xfId="43558" hidden="1"/>
    <cellStyle name="Гиперссылка 2" xfId="43591" hidden="1"/>
    <cellStyle name="Гиперссылка 2" xfId="43711" hidden="1"/>
    <cellStyle name="Гиперссылка 2" xfId="43710" hidden="1"/>
    <cellStyle name="Гиперссылка 2" xfId="43721" hidden="1"/>
    <cellStyle name="Гиперссылка 2" xfId="43722" hidden="1"/>
    <cellStyle name="Гиперссылка 2" xfId="43727" hidden="1"/>
    <cellStyle name="Гиперссылка 2" xfId="43728" hidden="1"/>
    <cellStyle name="Гиперссылка 2" xfId="43724" hidden="1"/>
    <cellStyle name="Гиперссылка 2" xfId="43723" hidden="1"/>
    <cellStyle name="Гиперссылка 2" xfId="43726" hidden="1"/>
    <cellStyle name="Гиперссылка 2" xfId="43725" hidden="1"/>
    <cellStyle name="Гиперссылка 2" xfId="43730" hidden="1"/>
    <cellStyle name="Гиперссылка 2" xfId="43729" hidden="1"/>
    <cellStyle name="Гиперссылка 2" xfId="43732" hidden="1"/>
    <cellStyle name="Гиперссылка 2" xfId="43733" hidden="1"/>
    <cellStyle name="Гиперссылка 2" xfId="43738" hidden="1"/>
    <cellStyle name="Гиперссылка 2" xfId="43739" hidden="1"/>
    <cellStyle name="Гиперссылка 2" xfId="43735" hidden="1"/>
    <cellStyle name="Гиперссылка 2" xfId="43734" hidden="1"/>
    <cellStyle name="Гиперссылка 2" xfId="43737" hidden="1"/>
    <cellStyle name="Гиперссылка 2" xfId="43736" hidden="1"/>
    <cellStyle name="Гиперссылка 2" xfId="43741" hidden="1"/>
    <cellStyle name="Гиперссылка 2" xfId="43740" hidden="1"/>
    <cellStyle name="Гиперссылка 2" xfId="43742" hidden="1"/>
    <cellStyle name="Гиперссылка 2" xfId="43743" hidden="1"/>
    <cellStyle name="Гиперссылка 2" xfId="43748" hidden="1"/>
    <cellStyle name="Гиперссылка 2" xfId="43749" hidden="1"/>
    <cellStyle name="Гиперссылка 2" xfId="43745" hidden="1"/>
    <cellStyle name="Гиперссылка 2" xfId="43744" hidden="1"/>
    <cellStyle name="Гиперссылка 2" xfId="43747" hidden="1"/>
    <cellStyle name="Гиперссылка 2" xfId="43746" hidden="1"/>
    <cellStyle name="Гиперссылка 2" xfId="43751" hidden="1"/>
    <cellStyle name="Гиперссылка 2" xfId="43750" hidden="1"/>
    <cellStyle name="Гиперссылка 2" xfId="43592" hidden="1"/>
    <cellStyle name="Гиперссылка 2" xfId="43222" hidden="1"/>
    <cellStyle name="Гиперссылка 2" xfId="43229" hidden="1"/>
    <cellStyle name="Гиперссылка 2" xfId="43534" hidden="1"/>
    <cellStyle name="Гиперссылка 2" xfId="43687" hidden="1"/>
    <cellStyle name="Гиперссылка 2" xfId="43719" hidden="1"/>
    <cellStyle name="Гиперссылка 2" xfId="43571" hidden="1"/>
    <cellStyle name="Гиперссылка 2" xfId="43679" hidden="1"/>
    <cellStyle name="Гиперссылка 2" xfId="43790" hidden="1"/>
    <cellStyle name="Гиперссылка 2" xfId="43789" hidden="1"/>
    <cellStyle name="Гиперссылка 2" xfId="43803" hidden="1"/>
    <cellStyle name="Гиперссылка 2" xfId="43804" hidden="1"/>
    <cellStyle name="Гиперссылка 2" xfId="43810" hidden="1"/>
    <cellStyle name="Гиперссылка 2" xfId="43811" hidden="1"/>
    <cellStyle name="Гиперссылка 2" xfId="43807" hidden="1"/>
    <cellStyle name="Гиперссылка 2" xfId="43806" hidden="1"/>
    <cellStyle name="Гиперссылка 2" xfId="43809" hidden="1"/>
    <cellStyle name="Гиперссылка 2" xfId="43808" hidden="1"/>
    <cellStyle name="Гиперссылка 2" xfId="43813" hidden="1"/>
    <cellStyle name="Гиперссылка 2" xfId="43812" hidden="1"/>
    <cellStyle name="Гиперссылка 2" xfId="43815" hidden="1"/>
    <cellStyle name="Гиперссылка 2" xfId="43816" hidden="1"/>
    <cellStyle name="Гиперссылка 2" xfId="43821" hidden="1"/>
    <cellStyle name="Гиперссылка 2" xfId="43822" hidden="1"/>
    <cellStyle name="Гиперссылка 2" xfId="43818" hidden="1"/>
    <cellStyle name="Гиперссылка 2" xfId="43817" hidden="1"/>
    <cellStyle name="Гиперссылка 2" xfId="43820" hidden="1"/>
    <cellStyle name="Гиперссылка 2" xfId="43819" hidden="1"/>
    <cellStyle name="Гиперссылка 2" xfId="43824" hidden="1"/>
    <cellStyle name="Гиперссылка 2" xfId="43823" hidden="1"/>
    <cellStyle name="Гиперссылка 2" xfId="43825" hidden="1"/>
    <cellStyle name="Гиперссылка 2" xfId="43826" hidden="1"/>
    <cellStyle name="Гиперссылка 2" xfId="43831" hidden="1"/>
    <cellStyle name="Гиперссылка 2" xfId="43832" hidden="1"/>
    <cellStyle name="Гиперссылка 2" xfId="43828" hidden="1"/>
    <cellStyle name="Гиперссылка 2" xfId="43827" hidden="1"/>
    <cellStyle name="Гиперссылка 2" xfId="43830" hidden="1"/>
    <cellStyle name="Гиперссылка 2" xfId="43829" hidden="1"/>
    <cellStyle name="Гиперссылка 2" xfId="43834" hidden="1"/>
    <cellStyle name="Гиперссылка 2" xfId="43833" hidden="1"/>
    <cellStyle name="Гиперссылка 2" xfId="43680" hidden="1"/>
    <cellStyle name="Гиперссылка 2" xfId="43233" hidden="1"/>
    <cellStyle name="Гиперссылка 2" xfId="43540" hidden="1"/>
    <cellStyle name="Гиперссылка 2" xfId="43237" hidden="1"/>
    <cellStyle name="Гиперссылка 2" xfId="43765" hidden="1"/>
    <cellStyle name="Гиперссылка 2" xfId="43797" hidden="1"/>
    <cellStyle name="Гиперссылка 2" xfId="43554" hidden="1"/>
    <cellStyle name="Гиперссылка 2" xfId="43755" hidden="1"/>
    <cellStyle name="Гиперссылка 2" xfId="43871" hidden="1"/>
    <cellStyle name="Гиперссылка 2" xfId="43870" hidden="1"/>
    <cellStyle name="Гиперссылка 2" xfId="43886" hidden="1"/>
    <cellStyle name="Гиперссылка 2" xfId="43887" hidden="1"/>
    <cellStyle name="Гиперссылка 2" xfId="43892" hidden="1"/>
    <cellStyle name="Гиперссылка 2" xfId="43893" hidden="1"/>
    <cellStyle name="Гиперссылка 2" xfId="43889" hidden="1"/>
    <cellStyle name="Гиперссылка 2" xfId="43888" hidden="1"/>
    <cellStyle name="Гиперссылка 2" xfId="43891" hidden="1"/>
    <cellStyle name="Гиперссылка 2" xfId="43890" hidden="1"/>
    <cellStyle name="Гиперссылка 2" xfId="43895" hidden="1"/>
    <cellStyle name="Гиперссылка 2" xfId="43894" hidden="1"/>
    <cellStyle name="Гиперссылка 2" xfId="43897" hidden="1"/>
    <cellStyle name="Гиперссылка 2" xfId="43898" hidden="1"/>
    <cellStyle name="Гиперссылка 2" xfId="43903" hidden="1"/>
    <cellStyle name="Гиперссылка 2" xfId="43904" hidden="1"/>
    <cellStyle name="Гиперссылка 2" xfId="43900" hidden="1"/>
    <cellStyle name="Гиперссылка 2" xfId="43899" hidden="1"/>
    <cellStyle name="Гиперссылка 2" xfId="43902" hidden="1"/>
    <cellStyle name="Гиперссылка 2" xfId="43901" hidden="1"/>
    <cellStyle name="Гиперссылка 2" xfId="43906" hidden="1"/>
    <cellStyle name="Гиперссылка 2" xfId="43905" hidden="1"/>
    <cellStyle name="Гиперссылка 2" xfId="43907" hidden="1"/>
    <cellStyle name="Гиперссылка 2" xfId="43908" hidden="1"/>
    <cellStyle name="Гиперссылка 2" xfId="43913" hidden="1"/>
    <cellStyle name="Гиперссылка 2" xfId="43914" hidden="1"/>
    <cellStyle name="Гиперссылка 2" xfId="43910" hidden="1"/>
    <cellStyle name="Гиперссылка 2" xfId="43909" hidden="1"/>
    <cellStyle name="Гиперссылка 2" xfId="43912" hidden="1"/>
    <cellStyle name="Гиперссылка 2" xfId="43911" hidden="1"/>
    <cellStyle name="Гиперссылка 2" xfId="43916" hidden="1"/>
    <cellStyle name="Гиперссылка 2" xfId="43915" hidden="1"/>
    <cellStyle name="Гиперссылка 2" xfId="43756" hidden="1"/>
    <cellStyle name="Гиперссылка 2" xfId="43545" hidden="1"/>
    <cellStyle name="Гиперссылка 2" xfId="43477" hidden="1"/>
    <cellStyle name="Гиперссылка 2" xfId="43539" hidden="1"/>
    <cellStyle name="Гиперссылка 2" xfId="43844" hidden="1"/>
    <cellStyle name="Гиперссылка 2" xfId="43879" hidden="1"/>
    <cellStyle name="Гиперссылка 2" xfId="43475" hidden="1"/>
    <cellStyle name="Гиперссылка 2" xfId="43837" hidden="1"/>
    <cellStyle name="Гиперссылка 2" xfId="43944" hidden="1"/>
    <cellStyle name="Гиперссылка 2" xfId="43943" hidden="1"/>
    <cellStyle name="Гиперссылка 2" xfId="43956" hidden="1"/>
    <cellStyle name="Гиперссылка 2" xfId="43957" hidden="1"/>
    <cellStyle name="Гиперссылка 2" xfId="43962" hidden="1"/>
    <cellStyle name="Гиперссылка 2" xfId="43963" hidden="1"/>
    <cellStyle name="Гиперссылка 2" xfId="43959" hidden="1"/>
    <cellStyle name="Гиперссылка 2" xfId="43958" hidden="1"/>
    <cellStyle name="Гиперссылка 2" xfId="43961" hidden="1"/>
    <cellStyle name="Гиперссылка 2" xfId="43960" hidden="1"/>
    <cellStyle name="Гиперссылка 2" xfId="43965" hidden="1"/>
    <cellStyle name="Гиперссылка 2" xfId="43964" hidden="1"/>
    <cellStyle name="Гиперссылка 2" xfId="43967" hidden="1"/>
    <cellStyle name="Гиперссылка 2" xfId="43968" hidden="1"/>
    <cellStyle name="Гиперссылка 2" xfId="43973" hidden="1"/>
    <cellStyle name="Гиперссылка 2" xfId="43974" hidden="1"/>
    <cellStyle name="Гиперссылка 2" xfId="43970" hidden="1"/>
    <cellStyle name="Гиперссылка 2" xfId="43969" hidden="1"/>
    <cellStyle name="Гиперссылка 2" xfId="43972" hidden="1"/>
    <cellStyle name="Гиперссылка 2" xfId="43971" hidden="1"/>
    <cellStyle name="Гиперссылка 2" xfId="43976" hidden="1"/>
    <cellStyle name="Гиперссылка 2" xfId="43975" hidden="1"/>
    <cellStyle name="Гиперссылка 2" xfId="43977" hidden="1"/>
    <cellStyle name="Гиперссылка 2" xfId="43978" hidden="1"/>
    <cellStyle name="Гиперссылка 2" xfId="43983" hidden="1"/>
    <cellStyle name="Гиперссылка 2" xfId="43984" hidden="1"/>
    <cellStyle name="Гиперссылка 2" xfId="43980" hidden="1"/>
    <cellStyle name="Гиперссылка 2" xfId="43979" hidden="1"/>
    <cellStyle name="Гиперссылка 2" xfId="43982" hidden="1"/>
    <cellStyle name="Гиперссылка 2" xfId="43981" hidden="1"/>
    <cellStyle name="Гиперссылка 2" xfId="43986" hidden="1"/>
    <cellStyle name="Гиперссылка 2" xfId="43985" hidden="1"/>
    <cellStyle name="Гиперссылка 2" xfId="43838" hidden="1"/>
    <cellStyle name="Гиперссылка 2" xfId="43559" hidden="1"/>
    <cellStyle name="Гиперссылка 2" xfId="43600" hidden="1"/>
    <cellStyle name="Гиперссылка 2" xfId="43481" hidden="1"/>
    <cellStyle name="Гиперссылка 2" xfId="43924" hidden="1"/>
    <cellStyle name="Гиперссылка 2" xfId="43950" hidden="1"/>
    <cellStyle name="Гиперссылка 2" xfId="43613" hidden="1"/>
    <cellStyle name="Гиперссылка 2" xfId="43919" hidden="1"/>
    <cellStyle name="Гиперссылка 2" xfId="44022" hidden="1"/>
    <cellStyle name="Гиперссылка 2" xfId="44021" hidden="1"/>
    <cellStyle name="Гиперссылка 2" xfId="44033" hidden="1"/>
    <cellStyle name="Гиперссылка 2" xfId="44034" hidden="1"/>
    <cellStyle name="Гиперссылка 2" xfId="44039" hidden="1"/>
    <cellStyle name="Гиперссылка 2" xfId="44040" hidden="1"/>
    <cellStyle name="Гиперссылка 2" xfId="44036" hidden="1"/>
    <cellStyle name="Гиперссылка 2" xfId="44035" hidden="1"/>
    <cellStyle name="Гиперссылка 2" xfId="44038" hidden="1"/>
    <cellStyle name="Гиперссылка 2" xfId="44037" hidden="1"/>
    <cellStyle name="Гиперссылка 2" xfId="44042" hidden="1"/>
    <cellStyle name="Гиперссылка 2" xfId="44041" hidden="1"/>
    <cellStyle name="Гиперссылка 2" xfId="44044" hidden="1"/>
    <cellStyle name="Гиперссылка 2" xfId="44045" hidden="1"/>
    <cellStyle name="Гиперссылка 2" xfId="44050" hidden="1"/>
    <cellStyle name="Гиперссылка 2" xfId="44051" hidden="1"/>
    <cellStyle name="Гиперссылка 2" xfId="44047" hidden="1"/>
    <cellStyle name="Гиперссылка 2" xfId="44046" hidden="1"/>
    <cellStyle name="Гиперссылка 2" xfId="44049" hidden="1"/>
    <cellStyle name="Гиперссылка 2" xfId="44048" hidden="1"/>
    <cellStyle name="Гиперссылка 2" xfId="44053" hidden="1"/>
    <cellStyle name="Гиперссылка 2" xfId="44052" hidden="1"/>
    <cellStyle name="Гиперссылка 2" xfId="44054" hidden="1"/>
    <cellStyle name="Гиперссылка 2" xfId="44055" hidden="1"/>
    <cellStyle name="Гиперссылка 2" xfId="44060" hidden="1"/>
    <cellStyle name="Гиперссылка 2" xfId="44061" hidden="1"/>
    <cellStyle name="Гиперссылка 2" xfId="44057" hidden="1"/>
    <cellStyle name="Гиперссылка 2" xfId="44056" hidden="1"/>
    <cellStyle name="Гиперссылка 2" xfId="44059" hidden="1"/>
    <cellStyle name="Гиперссылка 2" xfId="44058" hidden="1"/>
    <cellStyle name="Гиперссылка 2" xfId="44063" hidden="1"/>
    <cellStyle name="Гиперссылка 2" xfId="44062" hidden="1"/>
    <cellStyle name="Гиперссылка 2" xfId="43920" hidden="1"/>
    <cellStyle name="Гиперссылка 2" xfId="43241" hidden="1"/>
    <cellStyle name="Гиперссылка 2" xfId="43684" hidden="1"/>
    <cellStyle name="Гиперссылка 2" xfId="43491" hidden="1"/>
    <cellStyle name="Гиперссылка 2" xfId="44000" hidden="1"/>
    <cellStyle name="Гиперссылка 2" xfId="44030" hidden="1"/>
    <cellStyle name="Гиперссылка 2" xfId="43700" hidden="1"/>
    <cellStyle name="Гиперссылка 2" xfId="43989" hidden="1"/>
    <cellStyle name="Гиперссылка 2" xfId="44093" hidden="1"/>
    <cellStyle name="Гиперссылка 2" xfId="44092" hidden="1"/>
    <cellStyle name="Гиперссылка 2" xfId="44103" hidden="1"/>
    <cellStyle name="Гиперссылка 2" xfId="44104" hidden="1"/>
    <cellStyle name="Гиперссылка 2" xfId="44109" hidden="1"/>
    <cellStyle name="Гиперссылка 2" xfId="44110" hidden="1"/>
    <cellStyle name="Гиперссылка 2" xfId="44106" hidden="1"/>
    <cellStyle name="Гиперссылка 2" xfId="44105" hidden="1"/>
    <cellStyle name="Гиперссылка 2" xfId="44108" hidden="1"/>
    <cellStyle name="Гиперссылка 2" xfId="44107" hidden="1"/>
    <cellStyle name="Гиперссылка 2" xfId="44112" hidden="1"/>
    <cellStyle name="Гиперссылка 2" xfId="44111" hidden="1"/>
    <cellStyle name="Гиперссылка 2" xfId="44113" hidden="1"/>
    <cellStyle name="Гиперссылка 2" xfId="44114" hidden="1"/>
    <cellStyle name="Гиперссылка 2" xfId="44119" hidden="1"/>
    <cellStyle name="Гиперссылка 2" xfId="44120" hidden="1"/>
    <cellStyle name="Гиперссылка 2" xfId="44116" hidden="1"/>
    <cellStyle name="Гиперссылка 2" xfId="44115" hidden="1"/>
    <cellStyle name="Гиперссылка 2" xfId="44118" hidden="1"/>
    <cellStyle name="Гиперссылка 2" xfId="44117" hidden="1"/>
    <cellStyle name="Гиперссылка 2" xfId="44122" hidden="1"/>
    <cellStyle name="Гиперссылка 2" xfId="44121" hidden="1"/>
    <cellStyle name="Гиперссылка 2" xfId="44123" hidden="1"/>
    <cellStyle name="Гиперссылка 2" xfId="44124" hidden="1"/>
    <cellStyle name="Гиперссылка 2" xfId="44129" hidden="1"/>
    <cellStyle name="Гиперссылка 2" xfId="44130" hidden="1"/>
    <cellStyle name="Гиперссылка 2" xfId="44126" hidden="1"/>
    <cellStyle name="Гиперссылка 2" xfId="44125" hidden="1"/>
    <cellStyle name="Гиперссылка 2" xfId="44128" hidden="1"/>
    <cellStyle name="Гиперссылка 2" xfId="44127" hidden="1"/>
    <cellStyle name="Гиперссылка 2" xfId="44132" hidden="1"/>
    <cellStyle name="Гиперссылка 2" xfId="44131" hidden="1"/>
    <cellStyle name="Гиперссылка 2" xfId="43990" hidden="1"/>
    <cellStyle name="Гиперссылка 2" xfId="43469" hidden="1"/>
    <cellStyle name="Гиперссылка 2" xfId="43762" hidden="1"/>
    <cellStyle name="Гиперссылка 2" xfId="43620" hidden="1"/>
    <cellStyle name="Гиперссылка 2" xfId="44075" hidden="1"/>
    <cellStyle name="Гиперссылка 2" xfId="44099" hidden="1"/>
    <cellStyle name="Гиперссылка 2" xfId="43773" hidden="1"/>
    <cellStyle name="Гиперссылка 2" xfId="44068" hidden="1"/>
    <cellStyle name="Гиперссылка 2" xfId="44156" hidden="1"/>
    <cellStyle name="Гиперссылка 2" xfId="44155" hidden="1"/>
    <cellStyle name="Гиперссылка 2" xfId="44167" hidden="1"/>
    <cellStyle name="Гиперссылка 2" xfId="44168" hidden="1"/>
    <cellStyle name="Гиперссылка 2" xfId="44173" hidden="1"/>
    <cellStyle name="Гиперссылка 2" xfId="44174" hidden="1"/>
    <cellStyle name="Гиперссылка 2" xfId="44170" hidden="1"/>
    <cellStyle name="Гиперссылка 2" xfId="44169" hidden="1"/>
    <cellStyle name="Гиперссылка 2" xfId="44172" hidden="1"/>
    <cellStyle name="Гиперссылка 2" xfId="44171" hidden="1"/>
    <cellStyle name="Гиперссылка 2" xfId="44176" hidden="1"/>
    <cellStyle name="Гиперссылка 2" xfId="44175" hidden="1"/>
    <cellStyle name="Гиперссылка 2" xfId="44179" hidden="1"/>
    <cellStyle name="Гиперссылка 2" xfId="44180" hidden="1"/>
    <cellStyle name="Гиперссылка 2" xfId="44185" hidden="1"/>
    <cellStyle name="Гиперссылка 2" xfId="44186" hidden="1"/>
    <cellStyle name="Гиперссылка 2" xfId="44182" hidden="1"/>
    <cellStyle name="Гиперссылка 2" xfId="44181" hidden="1"/>
    <cellStyle name="Гиперссылка 2" xfId="44184" hidden="1"/>
    <cellStyle name="Гиперссылка 2" xfId="44183" hidden="1"/>
    <cellStyle name="Гиперссылка 2" xfId="44188" hidden="1"/>
    <cellStyle name="Гиперссылка 2" xfId="44187" hidden="1"/>
    <cellStyle name="Гиперссылка 2" xfId="44189" hidden="1"/>
    <cellStyle name="Гиперссылка 2" xfId="44190" hidden="1"/>
    <cellStyle name="Гиперссылка 2" xfId="44195" hidden="1"/>
    <cellStyle name="Гиперссылка 2" xfId="44196" hidden="1"/>
    <cellStyle name="Гиперссылка 2" xfId="44192" hidden="1"/>
    <cellStyle name="Гиперссылка 2" xfId="44191" hidden="1"/>
    <cellStyle name="Гиперссылка 2" xfId="44194" hidden="1"/>
    <cellStyle name="Гиперссылка 2" xfId="44193" hidden="1"/>
    <cellStyle name="Гиперссылка 2" xfId="44198" hidden="1"/>
    <cellStyle name="Гиперссылка 2" xfId="44197" hidden="1"/>
    <cellStyle name="Гиперссылка 2" xfId="44069" hidden="1"/>
    <cellStyle name="Гиперссылка 2" xfId="43608" hidden="1"/>
    <cellStyle name="Гиперссылка 2" xfId="43842" hidden="1"/>
    <cellStyle name="Гиперссылка 2" xfId="43702" hidden="1"/>
    <cellStyle name="Гиперссылка 2" xfId="44138" hidden="1"/>
    <cellStyle name="Гиперссылка 2" xfId="44162" hidden="1"/>
    <cellStyle name="Гиперссылка 2" xfId="43856" hidden="1"/>
    <cellStyle name="Гиперссылка 2" xfId="44134" hidden="1"/>
    <cellStyle name="Гиперссылка 2" xfId="44221" hidden="1"/>
    <cellStyle name="Гиперссылка 2" xfId="44220" hidden="1"/>
    <cellStyle name="Гиперссылка 2" xfId="44232" hidden="1"/>
    <cellStyle name="Гиперссылка 2" xfId="44233" hidden="1"/>
    <cellStyle name="Гиперссылка 2" xfId="44238" hidden="1"/>
    <cellStyle name="Гиперссылка 2" xfId="44239" hidden="1"/>
    <cellStyle name="Гиперссылка 2" xfId="44235" hidden="1"/>
    <cellStyle name="Гиперссылка 2" xfId="44234" hidden="1"/>
    <cellStyle name="Гиперссылка 2" xfId="44237" hidden="1"/>
    <cellStyle name="Гиперссылка 2" xfId="44236" hidden="1"/>
    <cellStyle name="Гиперссылка 2" xfId="44241" hidden="1"/>
    <cellStyle name="Гиперссылка 2" xfId="44240" hidden="1"/>
    <cellStyle name="Гиперссылка 2" xfId="44242" hidden="1"/>
    <cellStyle name="Гиперссылка 2" xfId="44243" hidden="1"/>
    <cellStyle name="Гиперссылка 2" xfId="44248" hidden="1"/>
    <cellStyle name="Гиперссылка 2" xfId="44249" hidden="1"/>
    <cellStyle name="Гиперссылка 2" xfId="44245" hidden="1"/>
    <cellStyle name="Гиперссылка 2" xfId="44244" hidden="1"/>
    <cellStyle name="Гиперссылка 2" xfId="44247" hidden="1"/>
    <cellStyle name="Гиперссылка 2" xfId="44246" hidden="1"/>
    <cellStyle name="Гиперссылка 2" xfId="44251" hidden="1"/>
    <cellStyle name="Гиперссылка 2" xfId="44250" hidden="1"/>
    <cellStyle name="Гиперссылка 2" xfId="44252" hidden="1"/>
    <cellStyle name="Гиперссылка 2" xfId="44253" hidden="1"/>
    <cellStyle name="Гиперссылка 2" xfId="44258" hidden="1"/>
    <cellStyle name="Гиперссылка 2" xfId="44259" hidden="1"/>
    <cellStyle name="Гиперссылка 2" xfId="44255" hidden="1"/>
    <cellStyle name="Гиперссылка 2" xfId="44254" hidden="1"/>
    <cellStyle name="Гиперссылка 2" xfId="44257" hidden="1"/>
    <cellStyle name="Гиперссылка 2" xfId="44256" hidden="1"/>
    <cellStyle name="Гиперссылка 2" xfId="44261" hidden="1"/>
    <cellStyle name="Гиперссылка 2" xfId="44260" hidden="1"/>
    <cellStyle name="Гиперссылка 2" xfId="44135" hidden="1"/>
    <cellStyle name="Гиперссылка 2" xfId="43692" hidden="1"/>
    <cellStyle name="Гиперссылка 2" xfId="43922" hidden="1"/>
    <cellStyle name="Гиперссылка 2" xfId="43779" hidden="1"/>
    <cellStyle name="Гиперссылка 2" xfId="44206" hidden="1"/>
    <cellStyle name="Гиперссылка 2" xfId="44228" hidden="1"/>
    <cellStyle name="Гиперссылка 2" xfId="43931" hidden="1"/>
    <cellStyle name="Гиперссылка 2" xfId="44202" hidden="1"/>
    <cellStyle name="Гиперссылка 2" xfId="44282" hidden="1"/>
    <cellStyle name="Гиперссылка 2" xfId="44281" hidden="1"/>
    <cellStyle name="Гиперссылка 2" xfId="44289" hidden="1"/>
    <cellStyle name="Гиперссылка 2" xfId="44290" hidden="1"/>
    <cellStyle name="Гиперссылка 2" xfId="44295" hidden="1"/>
    <cellStyle name="Гиперссылка 2" xfId="44296" hidden="1"/>
    <cellStyle name="Гиперссылка 2" xfId="44292" hidden="1"/>
    <cellStyle name="Гиперссылка 2" xfId="44291" hidden="1"/>
    <cellStyle name="Гиперссылка 2" xfId="44294" hidden="1"/>
    <cellStyle name="Гиперссылка 2" xfId="44293" hidden="1"/>
    <cellStyle name="Гиперссылка 2" xfId="44298" hidden="1"/>
    <cellStyle name="Гиперссылка 2" xfId="44297" hidden="1"/>
    <cellStyle name="Гиперссылка 2" xfId="44300" hidden="1"/>
    <cellStyle name="Гиперссылка 2" xfId="44301" hidden="1"/>
    <cellStyle name="Гиперссылка 2" xfId="44306" hidden="1"/>
    <cellStyle name="Гиперссылка 2" xfId="44307" hidden="1"/>
    <cellStyle name="Гиперссылка 2" xfId="44303" hidden="1"/>
    <cellStyle name="Гиперссылка 2" xfId="44302" hidden="1"/>
    <cellStyle name="Гиперссылка 2" xfId="44305" hidden="1"/>
    <cellStyle name="Гиперссылка 2" xfId="44304" hidden="1"/>
    <cellStyle name="Гиперссылка 2" xfId="44309" hidden="1"/>
    <cellStyle name="Гиперссылка 2" xfId="44308" hidden="1"/>
    <cellStyle name="Гиперссылка 2" xfId="44310" hidden="1"/>
    <cellStyle name="Гиперссылка 2" xfId="44311" hidden="1"/>
    <cellStyle name="Гиперссылка 2" xfId="44316" hidden="1"/>
    <cellStyle name="Гиперссылка 2" xfId="44317" hidden="1"/>
    <cellStyle name="Гиперссылка 2" xfId="44313" hidden="1"/>
    <cellStyle name="Гиперссылка 2" xfId="44312" hidden="1"/>
    <cellStyle name="Гиперссылка 2" xfId="44315" hidden="1"/>
    <cellStyle name="Гиперссылка 2" xfId="44314" hidden="1"/>
    <cellStyle name="Гиперссылка 2" xfId="44319" hidden="1"/>
    <cellStyle name="Гиперссылка 2" xfId="44318" hidden="1"/>
    <cellStyle name="Гиперссылка 2" xfId="44203" hidden="1"/>
    <cellStyle name="Гиперссылка 2" xfId="43768" hidden="1"/>
    <cellStyle name="Гиперссылка 2" xfId="43997" hidden="1"/>
    <cellStyle name="Гиперссылка 2" xfId="43862" hidden="1"/>
    <cellStyle name="Гиперссылка 2" xfId="44265" hidden="1"/>
    <cellStyle name="Гиперссылка 2" xfId="44287" hidden="1"/>
    <cellStyle name="Гиперссылка 2" xfId="44009" hidden="1"/>
    <cellStyle name="Гиперссылка 2" xfId="44263" hidden="1"/>
    <cellStyle name="Гиперссылка 2" xfId="44332" hidden="1"/>
    <cellStyle name="Гиперссылка 2" xfId="44331" hidden="1"/>
    <cellStyle name="Гиперссылка 2" xfId="44336" hidden="1"/>
    <cellStyle name="Гиперссылка 2" xfId="44337" hidden="1"/>
    <cellStyle name="Гиперссылка 2" xfId="44342" hidden="1"/>
    <cellStyle name="Гиперссылка 2" xfId="44343" hidden="1"/>
    <cellStyle name="Гиперссылка 2" xfId="44339" hidden="1"/>
    <cellStyle name="Гиперссылка 2" xfId="44338" hidden="1"/>
    <cellStyle name="Гиперссылка 2" xfId="44341" hidden="1"/>
    <cellStyle name="Гиперссылка 2" xfId="44340" hidden="1"/>
    <cellStyle name="Гиперссылка 2" xfId="44345" hidden="1"/>
    <cellStyle name="Гиперссылка 2" xfId="44344" hidden="1"/>
    <cellStyle name="Гиперссылка 2" xfId="44346" hidden="1"/>
    <cellStyle name="Гиперссылка 2" xfId="44347" hidden="1"/>
    <cellStyle name="Гиперссылка 2" xfId="44352" hidden="1"/>
    <cellStyle name="Гиперссылка 2" xfId="44353" hidden="1"/>
    <cellStyle name="Гиперссылка 2" xfId="44349" hidden="1"/>
    <cellStyle name="Гиперссылка 2" xfId="44348" hidden="1"/>
    <cellStyle name="Гиперссылка 2" xfId="44351" hidden="1"/>
    <cellStyle name="Гиперссылка 2" xfId="44350" hidden="1"/>
    <cellStyle name="Гиперссылка 2" xfId="44355" hidden="1"/>
    <cellStyle name="Гиперссылка 2" xfId="44354" hidden="1"/>
    <cellStyle name="Гиперссылка 2" xfId="44356" hidden="1"/>
    <cellStyle name="Гиперссылка 2" xfId="44357" hidden="1"/>
    <cellStyle name="Гиперссылка 2" xfId="44362" hidden="1"/>
    <cellStyle name="Гиперссылка 2" xfId="44363" hidden="1"/>
    <cellStyle name="Гиперссылка 2" xfId="44359" hidden="1"/>
    <cellStyle name="Гиперссылка 2" xfId="44358" hidden="1"/>
    <cellStyle name="Гиперссылка 2" xfId="44361" hidden="1"/>
    <cellStyle name="Гиперссылка 2" xfId="44360" hidden="1"/>
    <cellStyle name="Гиперссылка 2" xfId="44365" hidden="1"/>
    <cellStyle name="Гиперссылка 2" xfId="44364" hidden="1"/>
    <cellStyle name="Гиперссылка 2" xfId="44264" hidden="1"/>
    <cellStyle name="Гиперссылка 2" xfId="43850" hidden="1"/>
    <cellStyle name="Гиперссылка 2" xfId="44074" hidden="1"/>
    <cellStyle name="Гиперссылка 2" xfId="43937" hidden="1"/>
    <cellStyle name="Гиперссылка 2" xfId="44324" hidden="1"/>
    <cellStyle name="Гиперссылка 2" xfId="44335" hidden="1"/>
    <cellStyle name="Гиперссылка 2" xfId="44082" hidden="1"/>
    <cellStyle name="Гиперссылка 2" xfId="44321" hidden="1"/>
    <cellStyle name="Гиперссылка 2" xfId="44367" hidden="1"/>
    <cellStyle name="Гиперссылка 2" xfId="44366" hidden="1"/>
    <cellStyle name="Гиперссылка 2" xfId="44368" hidden="1"/>
    <cellStyle name="Гиперссылка 2" xfId="44369" hidden="1"/>
    <cellStyle name="Гиперссылка 2" xfId="44374" hidden="1"/>
    <cellStyle name="Гиперссылка 2" xfId="44375" hidden="1"/>
    <cellStyle name="Гиперссылка 2" xfId="44371" hidden="1"/>
    <cellStyle name="Гиперссылка 2" xfId="44370" hidden="1"/>
    <cellStyle name="Гиперссылка 2" xfId="44373" hidden="1"/>
    <cellStyle name="Гиперссылка 2" xfId="44372" hidden="1"/>
    <cellStyle name="Гиперссылка 2" xfId="44377" hidden="1"/>
    <cellStyle name="Гиперссылка 2" xfId="44376" hidden="1"/>
    <cellStyle name="Гиперссылка 2" xfId="44378" hidden="1"/>
    <cellStyle name="Гиперссылка 2" xfId="44379" hidden="1"/>
    <cellStyle name="Гиперссылка 2" xfId="44384" hidden="1"/>
    <cellStyle name="Гиперссылка 2" xfId="44385" hidden="1"/>
    <cellStyle name="Гиперссылка 2" xfId="44381" hidden="1"/>
    <cellStyle name="Гиперссылка 2" xfId="44380" hidden="1"/>
    <cellStyle name="Гиперссылка 2" xfId="44383" hidden="1"/>
    <cellStyle name="Гиперссылка 2" xfId="44382" hidden="1"/>
    <cellStyle name="Гиперссылка 2" xfId="44387" hidden="1"/>
    <cellStyle name="Гиперссылка 2" xfId="44386" hidden="1"/>
    <cellStyle name="Гиперссылка 2" xfId="44388" hidden="1"/>
    <cellStyle name="Гиперссылка 2" xfId="44389" hidden="1"/>
    <cellStyle name="Гиперссылка 2" xfId="44394" hidden="1"/>
    <cellStyle name="Гиперссылка 2" xfId="44395" hidden="1"/>
    <cellStyle name="Гиперссылка 2" xfId="44391" hidden="1"/>
    <cellStyle name="Гиперссылка 2" xfId="44390" hidden="1"/>
    <cellStyle name="Гиперссылка 2" xfId="44393" hidden="1"/>
    <cellStyle name="Гиперссылка 2" xfId="44392" hidden="1"/>
    <cellStyle name="Гиперссылка 2" xfId="44397" hidden="1"/>
    <cellStyle name="Гиперссылка 2" xfId="44396" hidden="1"/>
    <cellStyle name="Гиперссылка 2" xfId="43802" hidden="1"/>
    <cellStyle name="Гиперссылка 2" xfId="37378" hidden="1"/>
    <cellStyle name="Гиперссылка 2" xfId="44158" hidden="1"/>
    <cellStyle name="Гиперссылка 2" xfId="43228" hidden="1"/>
    <cellStyle name="Гиперссылка 2" xfId="44005" hidden="1"/>
    <cellStyle name="Гиперссылка 2" xfId="43474" hidden="1"/>
    <cellStyle name="Гиперссылка 2" xfId="43386" hidden="1"/>
    <cellStyle name="Гиперссылка 2" xfId="43377" hidden="1"/>
    <cellStyle name="Гиперссылка 2" xfId="43396" hidden="1"/>
    <cellStyle name="Гиперссылка 2" xfId="43220" hidden="1"/>
    <cellStyle name="Гиперссылка 2" xfId="44276" hidden="1"/>
    <cellStyle name="Гиперссылка 2" xfId="44148" hidden="1"/>
    <cellStyle name="Гиперссылка 2" xfId="43705" hidden="1"/>
    <cellStyle name="Гиперссылка 2" xfId="36879" hidden="1"/>
    <cellStyle name="Гиперссылка 2" xfId="44088" hidden="1"/>
    <cellStyle name="Гиперссылка 2" xfId="44217" hidden="1"/>
    <cellStyle name="Гиперссылка 2" xfId="43866" hidden="1"/>
    <cellStyle name="Гиперссылка 2" xfId="43941" hidden="1"/>
    <cellStyle name="Гиперссылка 2" xfId="43930" hidden="1"/>
    <cellStyle name="Гиперссылка 2" xfId="36954" hidden="1"/>
    <cellStyle name="Гиперссылка 2" xfId="37295" hidden="1"/>
    <cellStyle name="Гиперссылка 2" xfId="43463" hidden="1"/>
    <cellStyle name="Гиперссылка 2" xfId="43263" hidden="1"/>
    <cellStyle name="Гиперссылка 2" xfId="43260" hidden="1"/>
    <cellStyle name="Гиперссылка 2" xfId="43552" hidden="1"/>
    <cellStyle name="Гиперссылка 2" xfId="43567" hidden="1"/>
    <cellStyle name="Гиперссылка 2" xfId="43365" hidden="1"/>
    <cellStyle name="Гиперссылка 2" xfId="43368" hidden="1"/>
    <cellStyle name="Гиперссылка 2" xfId="43420" hidden="1"/>
    <cellStyle name="Гиперссылка 2" xfId="43249" hidden="1"/>
    <cellStyle name="Гиперссылка 2" xfId="43362" hidden="1"/>
    <cellStyle name="Гиперссылка 2" xfId="43312" hidden="1"/>
    <cellStyle name="Гиперссылка 2" xfId="43353" hidden="1"/>
    <cellStyle name="Гиперссылка 2" xfId="43322" hidden="1"/>
    <cellStyle name="Гиперссылка 2" xfId="43342" hidden="1"/>
    <cellStyle name="Гиперссылка 2" xfId="43404" hidden="1"/>
    <cellStyle name="Гиперссылка 2" xfId="43414" hidden="1"/>
    <cellStyle name="Гиперссылка 2" xfId="43203" hidden="1"/>
    <cellStyle name="Гиперссылка 2" xfId="43357" hidden="1"/>
    <cellStyle name="Гиперссылка 2" xfId="43398" hidden="1"/>
    <cellStyle name="Гиперссылка 2" xfId="36907" hidden="1"/>
    <cellStyle name="Гиперссылка 2" xfId="43485" hidden="1"/>
    <cellStyle name="Гиперссылка 2" xfId="43392" hidden="1"/>
    <cellStyle name="Гиперссылка 2" xfId="43331" hidden="1"/>
    <cellStyle name="Гиперссылка 2" xfId="43413" hidden="1"/>
    <cellStyle name="Гиперссылка 2" xfId="43683" hidden="1"/>
    <cellStyle name="Гиперссылка 2" xfId="44210" hidden="1"/>
    <cellStyle name="Гиперссылка 2" xfId="44270" hidden="1"/>
    <cellStyle name="Гиперссылка 2" xfId="43296" hidden="1"/>
    <cellStyle name="Гиперссылка 2" xfId="43524" hidden="1"/>
    <cellStyle name="Гиперссылка 2" xfId="43992" hidden="1"/>
    <cellStyle name="Гиперссылка 2" xfId="43841" hidden="1"/>
    <cellStyle name="Гиперссылка 2" xfId="43327" hidden="1"/>
    <cellStyle name="Гиперссылка 2" xfId="43881" hidden="1"/>
    <cellStyle name="Гиперссылка 2" xfId="43616" hidden="1"/>
    <cellStyle name="Гиперссылка 2" xfId="36942" hidden="1"/>
    <cellStyle name="Гиперссылка 2" xfId="43389" hidden="1"/>
    <cellStyle name="Гиперссылка 2" xfId="43373" hidden="1"/>
    <cellStyle name="Гиперссылка 2" xfId="43556" hidden="1"/>
    <cellStyle name="Гиперссылка 2" xfId="43639" hidden="1"/>
    <cellStyle name="Гиперссылка 2" xfId="44229" hidden="1"/>
    <cellStyle name="Гиперссылка 2" xfId="44100" hidden="1"/>
    <cellStyle name="Гиперссылка 2" xfId="43859" hidden="1"/>
    <cellStyle name="Гиперссылка 2" xfId="36939" hidden="1"/>
    <cellStyle name="Гиперссылка 2" xfId="44214" hidden="1"/>
    <cellStyle name="Гиперссылка 2" xfId="44327" hidden="1"/>
    <cellStyle name="Гиперссылка 2" xfId="44012" hidden="1"/>
    <cellStyle name="Гиперссылка 2" xfId="44084" hidden="1"/>
    <cellStyle name="Гиперссылка 2" xfId="43375" hidden="1"/>
    <cellStyle name="Гиперссылка 2" xfId="43455" hidden="1"/>
    <cellStyle name="Гиперссылка 2" xfId="43293" hidden="1"/>
    <cellStyle name="Гиперссылка 2" xfId="43876" hidden="1"/>
    <cellStyle name="Гиперссылка 2" xfId="44096" hidden="1"/>
    <cellStyle name="Гиперссылка 2" xfId="43947" hidden="1"/>
    <cellStyle name="Гиперссылка 2" xfId="43575" hidden="1"/>
    <cellStyle name="Гиперссылка 2" xfId="43634" hidden="1"/>
    <cellStyle name="Гиперссылка 2" xfId="44225" hidden="1"/>
    <cellStyle name="Гиперссылка 2" xfId="43291" hidden="1"/>
    <cellStyle name="Гиперссылка 2" xfId="44226" hidden="1"/>
    <cellStyle name="Гиперссылка 2" xfId="44285" hidden="1"/>
    <cellStyle name="Гиперссылка 2" xfId="43708" hidden="1"/>
    <cellStyle name="Гиперссылка 2" xfId="43695" hidden="1"/>
    <cellStyle name="Гиперссылка 2" xfId="44149" hidden="1"/>
    <cellStyle name="Гиперссылка 2" xfId="43271" hidden="1"/>
    <cellStyle name="Гиперссылка 2" xfId="43588" hidden="1"/>
    <cellStyle name="Гиперссылка 2" xfId="43459" hidden="1"/>
    <cellStyle name="Гиперссылка 2" xfId="43926" hidden="1"/>
    <cellStyle name="Гиперссылка 2" xfId="43921" hidden="1"/>
    <cellStyle name="Гиперссылка 2" xfId="43382" hidden="1"/>
    <cellStyle name="Гиперссылка 2" xfId="43387" hidden="1"/>
    <cellStyle name="Гиперссылка 2" xfId="43515" hidden="1"/>
    <cellStyle name="Гиперссылка 2" xfId="43456" hidden="1"/>
    <cellStyle name="Гиперссылка 2" xfId="43814" hidden="1"/>
    <cellStyle name="Гиперссылка 2" xfId="43653" hidden="1"/>
    <cellStyle name="Гиперссылка 2" xfId="44177" hidden="1"/>
    <cellStyle name="Гиперссылка 2" xfId="43482" hidden="1"/>
    <cellStyle name="Гиперссылка 2" xfId="43966" hidden="1"/>
    <cellStyle name="Гиперссылка 2" xfId="44043" hidden="1"/>
    <cellStyle name="Гиперссылка 2" xfId="36916" hidden="1"/>
    <cellStyle name="Гиперссылка 2" xfId="36931" hidden="1"/>
    <cellStyle name="Гиперссылка 2" xfId="43932" hidden="1"/>
    <cellStyle name="Гиперссылка 2" xfId="43857" hidden="1"/>
    <cellStyle name="Гиперссылка 2" xfId="37297" hidden="1"/>
    <cellStyle name="Гиперссылка 2" xfId="43340" hidden="1"/>
    <cellStyle name="Гиперссылка 2" xfId="43550" hidden="1"/>
    <cellStyle name="Гиперссылка 2" xfId="43614" hidden="1"/>
    <cellStyle name="Гиперссылка 2" xfId="43209" hidden="1"/>
    <cellStyle name="Гиперссылка 2" xfId="43236" hidden="1"/>
    <cellStyle name="Гиперссылка 2" xfId="43252" hidden="1"/>
    <cellStyle name="Гиперссылка 2" xfId="43255" hidden="1"/>
    <cellStyle name="Гиперссылка 2" xfId="43419" hidden="1"/>
    <cellStyle name="Гиперссылка 2" xfId="43361" hidden="1"/>
    <cellStyle name="Гиперссылка 2" xfId="43415" hidden="1"/>
    <cellStyle name="Гиперссылка 2" xfId="43355" hidden="1"/>
    <cellStyle name="Гиперссылка 2" xfId="43406" hidden="1"/>
    <cellStyle name="Гиперссылка 2" xfId="43245" hidden="1"/>
    <cellStyle name="Гиперссылка 2" xfId="43313" hidden="1"/>
    <cellStyle name="Гиперссылка 2" xfId="43345" hidden="1"/>
    <cellStyle name="Гиперссылка 2" xfId="43417" hidden="1"/>
    <cellStyle name="Гиперссылка 2" xfId="43317" hidden="1"/>
    <cellStyle name="Гиперссылка 2" xfId="43839" hidden="1"/>
    <cellStyle name="Гиперссылка 2" xfId="43503" hidden="1"/>
    <cellStyle name="Гиперссылка 2" xfId="43412" hidden="1"/>
    <cellStyle name="Гиперссылка 2" xfId="43334" hidden="1"/>
    <cellStyle name="Гиперссылка 2" xfId="43204" hidden="1"/>
    <cellStyle name="Гиперссылка 2" xfId="36933" hidden="1"/>
    <cellStyle name="Гиперссылка 2" xfId="44154" hidden="1"/>
    <cellStyle name="Гиперссылка 2" xfId="43551" hidden="1"/>
    <cellStyle name="Гиперссылка 2" xfId="36877" hidden="1"/>
    <cellStyle name="Гиперссылка 2" xfId="43244" hidden="1"/>
    <cellStyle name="Гиперссылка 2" xfId="43933" hidden="1"/>
    <cellStyle name="Гиперссылка 2" xfId="43774" hidden="1"/>
    <cellStyle name="Гиперссылка 2" xfId="43471" hidden="1"/>
    <cellStyle name="Гиперссылка 2" xfId="43538" hidden="1"/>
    <cellStyle name="Гиперссылка 2" xfId="44272" hidden="1"/>
    <cellStyle name="Гиперссылка 2" xfId="43283" hidden="1"/>
    <cellStyle name="Гиперссылка 2" xfId="44083" hidden="1"/>
    <cellStyle name="Гиперссылка 2" xfId="44146" hidden="1"/>
    <cellStyle name="Гиперссылка 2" xfId="43232" hidden="1"/>
    <cellStyle name="Гиперссылка 2" xfId="43582" hidden="1"/>
    <cellStyle name="Гиперссылка 2" xfId="43494" hidden="1"/>
    <cellStyle name="Гиперссылка 2" xfId="43227" hidden="1"/>
    <cellStyle name="Гиперссылка 2" xfId="43549" hidden="1"/>
    <cellStyle name="Гиперссылка 2" xfId="43281" hidden="1"/>
    <cellStyle name="Гиперссылка 2" xfId="43674" hidden="1"/>
    <cellStyle name="Гиперссылка 2" xfId="43343" hidden="1"/>
    <cellStyle name="Гиперссылка 2" xfId="43566" hidden="1"/>
    <cellStyle name="Гиперссылка 2" xfId="43501" hidden="1"/>
    <cellStyle name="Гиперссылка 2" xfId="43835" hidden="1"/>
    <cellStyle name="Гиперссылка 2" xfId="43917" hidden="1"/>
    <cellStyle name="Гиперссылка 2" xfId="43223" hidden="1"/>
    <cellStyle name="Гиперссылка 2" xfId="43758" hidden="1"/>
    <cellStyle name="Гиперссылка 2" xfId="43626" hidden="1"/>
    <cellStyle name="Гиперссылка 2" xfId="43381" hidden="1"/>
    <cellStyle name="Гиперссылка 2" xfId="43548" hidden="1"/>
    <cellStyle name="Гиперссылка 2" xfId="43527" hidden="1"/>
    <cellStyle name="Гиперссылка 2" xfId="37314" hidden="1"/>
    <cellStyle name="Гиперссылка 2" xfId="43466" hidden="1"/>
    <cellStyle name="Гиперссылка 2" xfId="43794" hidden="1"/>
    <cellStyle name="Гиперссылка 2" xfId="43287" hidden="1"/>
    <cellStyle name="Гиперссылка 2" xfId="43586" hidden="1"/>
    <cellStyle name="Гиперссылка 2" xfId="44067" hidden="1"/>
    <cellStyle name="Гиперссылка 2" xfId="43883" hidden="1"/>
    <cellStyle name="Гиперссылка 2" xfId="43472" hidden="1"/>
    <cellStyle name="Гиперссылка 2" xfId="43250" hidden="1"/>
    <cellStyle name="Гиперссылка 2" xfId="44078" hidden="1"/>
    <cellStyle name="Гиперссылка 2" xfId="43333" hidden="1"/>
    <cellStyle name="Гиперссылка 2" xfId="37731" hidden="1"/>
    <cellStyle name="Гиперссылка 2" xfId="43278" hidden="1"/>
    <cellStyle name="Гиперссылка 2" xfId="43507" hidden="1"/>
    <cellStyle name="Гиперссылка 2" xfId="44215" hidden="1"/>
    <cellStyle name="Гиперссылка 2" xfId="44085" hidden="1"/>
    <cellStyle name="Гиперссылка 2" xfId="36915" hidden="1"/>
    <cellStyle name="Гиперссылка 2" xfId="36951" hidden="1"/>
    <cellStyle name="Гиперссылка 2" xfId="36906" hidden="1"/>
    <cellStyle name="Гиперссылка 2" xfId="43777" hidden="1"/>
    <cellStyle name="Гиперссылка 2" xfId="36925" hidden="1"/>
    <cellStyle name="Гиперссылка 2" xfId="36885" hidden="1"/>
    <cellStyle name="Гиперссылка 2" xfId="36966" hidden="1"/>
    <cellStyle name="Гиперссылка 2" xfId="36905" hidden="1"/>
    <cellStyle name="Гиперссылка 2" xfId="43407" hidden="1"/>
    <cellStyle name="Гиперссылка 2" xfId="43346" hidden="1"/>
    <cellStyle name="Гиперссылка 2" xfId="44329" hidden="1"/>
    <cellStyle name="Гиперссылка 2" xfId="44216" hidden="1"/>
    <cellStyle name="Гиперссылка 2" xfId="43780" hidden="1"/>
    <cellStyle name="Гиперссылка 2" xfId="43938" hidden="1"/>
    <cellStyle name="Гиперссылка 2" xfId="43511" hidden="1"/>
    <cellStyle name="Гиперссылка 2" xfId="43621" hidden="1"/>
    <cellStyle name="Гиперссылка 2" xfId="44008" hidden="1"/>
    <cellStyle name="Гиперссылка 2" xfId="43224" hidden="1"/>
    <cellStyle name="Гиперссылка 2" xfId="43853" hidden="1"/>
    <cellStyle name="Гиперссылка 2" xfId="43699" hidden="1"/>
    <cellStyle name="Гиперссылка 2" xfId="43376" hidden="1"/>
    <cellStyle name="Гиперссылка 2" xfId="43314" hidden="1"/>
    <cellStyle name="Гиперссылка 2" xfId="37275" hidden="1"/>
    <cellStyle name="Гиперссылка 2" xfId="43562" hidden="1"/>
    <cellStyle name="Гиперссылка 2" xfId="43230" hidden="1"/>
    <cellStyle name="Гиперссылка 2" xfId="43563" hidden="1"/>
    <cellStyle name="Гиперссылка 2" xfId="43495" hidden="1"/>
    <cellStyle name="Гиперссылка 2" xfId="43454" hidden="1"/>
    <cellStyle name="Гиперссылка 2" xfId="37728" hidden="1"/>
    <cellStyle name="Гиперссылка 2" xfId="43468" hidden="1"/>
    <cellStyle name="Гиперссылка 2" xfId="43366" hidden="1"/>
    <cellStyle name="Гиперссылка 2" xfId="43954" hidden="1"/>
    <cellStyle name="Гиперссылка 2" xfId="44275" hidden="1"/>
    <cellStyle name="Гиперссылка 2" xfId="43851" hidden="1"/>
    <cellStyle name="Гиперссылка 2" xfId="43799" hidden="1"/>
    <cellStyle name="Гиперссылка 2" xfId="44280" hidden="1"/>
    <cellStyle name="Гиперссылка 2" xfId="43489" hidden="1"/>
    <cellStyle name="Гиперссылка 2" xfId="43636" hidden="1"/>
    <cellStyle name="Гиперссылка 2" xfId="44299" hidden="1"/>
    <cellStyle name="Гиперссылка 2" xfId="44178" hidden="1"/>
    <cellStyle name="Гиперссылка 2" xfId="43512" hidden="1"/>
    <cellStyle name="Гиперссылка 2" xfId="37279" hidden="1"/>
    <cellStyle name="Гиперссылка 2" xfId="43849" hidden="1"/>
    <cellStyle name="Гиперссылка 2" xfId="44002" hidden="1"/>
    <cellStyle name="Гиперссылка 2" xfId="43607" hidden="1"/>
    <cellStyle name="Гиперссылка 2" xfId="43691" hidden="1"/>
    <cellStyle name="Гиперссылка 2" xfId="43405" hidden="1"/>
    <cellStyle name="Гиперссылка 2" xfId="43207" hidden="1"/>
    <cellStyle name="Гиперссылка 2" xfId="43685" hidden="1"/>
    <cellStyle name="Гиперссылка 2" xfId="43570" hidden="1"/>
    <cellStyle name="Гиперссылка 2" xfId="43763" hidden="1"/>
    <cellStyle name="Гиперссылка 2" xfId="44330" hidden="1"/>
    <cellStyle name="Гиперссылка 2" xfId="43275" hidden="1"/>
    <cellStyle name="Гиперссылка 2" xfId="43493" hidden="1"/>
    <cellStyle name="Гиперссылка 2" xfId="43923" hidden="1"/>
    <cellStyle name="Гиперссылка 2" xfId="43998" hidden="1"/>
    <cellStyle name="Гиперссылка 2" xfId="44087" hidden="1"/>
    <cellStyle name="Гиперссылка 2" xfId="44150" hidden="1"/>
    <cellStyle name="Гиперссылка 2" xfId="43939" hidden="1"/>
    <cellStyle name="Гиперссылка 2" xfId="43782" hidden="1"/>
    <cellStyle name="Гиперссылка 2" xfId="43713" hidden="1"/>
    <cellStyle name="Гиперссылка 2" xfId="43530" hidden="1"/>
    <cellStyle name="Гиперссылка 2" xfId="43378" hidden="1"/>
    <cellStyle name="Гиперссылка 2" xfId="43572" hidden="1"/>
    <cellStyle name="Гиперссылка 2" xfId="43290" hidden="1"/>
    <cellStyle name="Гиперссылка 2" xfId="43280" hidden="1"/>
    <cellStyle name="Гиперссылка 2" xfId="43273" hidden="1"/>
    <cellStyle name="Гиперссылка 2" xfId="43500" hidden="1"/>
    <cellStyle name="Гиперссылка 2" xfId="44219" hidden="1"/>
    <cellStyle name="Гиперссылка 2" xfId="44269" hidden="1"/>
    <cellStyle name="Гиперссылка 2" xfId="43329" hidden="1"/>
    <cellStyle name="Гиперссылка 2" xfId="43697" hidden="1"/>
    <cellStyle name="Гиперссылка 2" xfId="44334" hidden="1"/>
    <cellStyle name="Гиперссылка 2" xfId="43226" hidden="1"/>
    <cellStyle name="Гиперссылка 2" xfId="44224" hidden="1"/>
    <cellStyle name="Гиперссылка 2" xfId="43868" hidden="1"/>
    <cellStyle name="Гиперссылка 2" xfId="44405" hidden="1"/>
    <cellStyle name="Гиперссылка 2" xfId="44404" hidden="1"/>
    <cellStyle name="Гиперссылка 2" xfId="44412" hidden="1"/>
    <cellStyle name="Гиперссылка 2" xfId="44413" hidden="1"/>
    <cellStyle name="Гиперссылка 2" xfId="44418" hidden="1"/>
    <cellStyle name="Гиперссылка 2" xfId="44419" hidden="1"/>
    <cellStyle name="Гиперссылка 2" xfId="44415" hidden="1"/>
    <cellStyle name="Гиперссылка 2" xfId="44414" hidden="1"/>
    <cellStyle name="Гиперссылка 2" xfId="44417" hidden="1"/>
    <cellStyle name="Гиперссылка 2" xfId="44416" hidden="1"/>
    <cellStyle name="Гиперссылка 2" xfId="44421" hidden="1"/>
    <cellStyle name="Гиперссылка 2" xfId="44420" hidden="1"/>
    <cellStyle name="Гиперссылка 2" xfId="44423" hidden="1"/>
    <cellStyle name="Гиперссылка 2" xfId="44424" hidden="1"/>
    <cellStyle name="Гиперссылка 2" xfId="44429" hidden="1"/>
    <cellStyle name="Гиперссылка 2" xfId="44430" hidden="1"/>
    <cellStyle name="Гиперссылка 2" xfId="44426" hidden="1"/>
    <cellStyle name="Гиперссылка 2" xfId="44425" hidden="1"/>
    <cellStyle name="Гиперссылка 2" xfId="44428" hidden="1"/>
    <cellStyle name="Гиперссылка 2" xfId="44427" hidden="1"/>
    <cellStyle name="Гиперссылка 2" xfId="44432" hidden="1"/>
    <cellStyle name="Гиперссылка 2" xfId="44431" hidden="1"/>
    <cellStyle name="Гиперссылка 2" xfId="44433" hidden="1"/>
    <cellStyle name="Гиперссылка 2" xfId="44434" hidden="1"/>
    <cellStyle name="Гиперссылка 2" xfId="44439" hidden="1"/>
    <cellStyle name="Гиперссылка 2" xfId="44440" hidden="1"/>
    <cellStyle name="Гиперссылка 2" xfId="44436" hidden="1"/>
    <cellStyle name="Гиперссылка 2" xfId="44435" hidden="1"/>
    <cellStyle name="Гиперссылка 2" xfId="44438" hidden="1"/>
    <cellStyle name="Гиперссылка 2" xfId="44437" hidden="1"/>
    <cellStyle name="Гиперссылка 2" xfId="44442" hidden="1"/>
    <cellStyle name="Гиперссылка 2" xfId="44441" hidden="1"/>
    <cellStyle name="Гиперссылка 2" xfId="43786" hidden="1"/>
    <cellStyle name="Гиперссылка 2" xfId="43467" hidden="1"/>
    <cellStyle name="Гиперссылка 2" xfId="43603" hidden="1"/>
    <cellStyle name="Гиперссылка 2" xfId="43599" hidden="1"/>
    <cellStyle name="Гиперссылка 2" xfId="44133" hidden="1"/>
    <cellStyle name="Гиперссылка 2" xfId="44409" hidden="1"/>
    <cellStyle name="Гиперссылка 2" xfId="43517" hidden="1"/>
    <cellStyle name="Гиперссылка 2" xfId="43696" hidden="1"/>
    <cellStyle name="Гиперссылка 2" xfId="44468" hidden="1"/>
    <cellStyle name="Гиперссылка 2" xfId="44467" hidden="1"/>
    <cellStyle name="Гиперссылка 2" xfId="44475" hidden="1"/>
    <cellStyle name="Гиперссылка 2" xfId="44476" hidden="1"/>
    <cellStyle name="Гиперссылка 2" xfId="44481" hidden="1"/>
    <cellStyle name="Гиперссылка 2" xfId="44482" hidden="1"/>
    <cellStyle name="Гиперссылка 2" xfId="44478" hidden="1"/>
    <cellStyle name="Гиперссылка 2" xfId="44477" hidden="1"/>
    <cellStyle name="Гиперссылка 2" xfId="44480" hidden="1"/>
    <cellStyle name="Гиперссылка 2" xfId="44479" hidden="1"/>
    <cellStyle name="Гиперссылка 2" xfId="44484" hidden="1"/>
    <cellStyle name="Гиперссылка 2" xfId="44483" hidden="1"/>
    <cellStyle name="Гиперссылка 2" xfId="44485" hidden="1"/>
    <cellStyle name="Гиперссылка 2" xfId="44486" hidden="1"/>
    <cellStyle name="Гиперссылка 2" xfId="44491" hidden="1"/>
    <cellStyle name="Гиперссылка 2" xfId="44492" hidden="1"/>
    <cellStyle name="Гиперссылка 2" xfId="44488" hidden="1"/>
    <cellStyle name="Гиперссылка 2" xfId="44487" hidden="1"/>
    <cellStyle name="Гиперссылка 2" xfId="44490" hidden="1"/>
    <cellStyle name="Гиперссылка 2" xfId="44489" hidden="1"/>
    <cellStyle name="Гиперссылка 2" xfId="44494" hidden="1"/>
    <cellStyle name="Гиперссылка 2" xfId="44493" hidden="1"/>
    <cellStyle name="Гиперссылка 2" xfId="44495" hidden="1"/>
    <cellStyle name="Гиперссылка 2" xfId="44496" hidden="1"/>
    <cellStyle name="Гиперссылка 2" xfId="44501" hidden="1"/>
    <cellStyle name="Гиперссылка 2" xfId="44502" hidden="1"/>
    <cellStyle name="Гиперссылка 2" xfId="44498" hidden="1"/>
    <cellStyle name="Гиперссылка 2" xfId="44497" hidden="1"/>
    <cellStyle name="Гиперссылка 2" xfId="44500" hidden="1"/>
    <cellStyle name="Гиперссылка 2" xfId="44499" hidden="1"/>
    <cellStyle name="Гиперссылка 2" xfId="44504" hidden="1"/>
    <cellStyle name="Гиперссылка 2" xfId="44503" hidden="1"/>
    <cellStyle name="Гиперссылка 2" xfId="36927" hidden="1"/>
    <cellStyle name="Гиперссылка 2" xfId="43617" hidden="1"/>
    <cellStyle name="Гиперссылка 2" xfId="43247" hidden="1"/>
    <cellStyle name="Гиперссылка 2" xfId="44223" hidden="1"/>
    <cellStyle name="Гиперссылка 2" xfId="44451" hidden="1"/>
    <cellStyle name="Гиперссылка 2" xfId="44472" hidden="1"/>
    <cellStyle name="Гиперссылка 2" xfId="43537" hidden="1"/>
    <cellStyle name="Гиперссылка 2" xfId="44445" hidden="1"/>
    <cellStyle name="Гиперссылка 2" xfId="44526" hidden="1"/>
    <cellStyle name="Гиперссылка 2" xfId="44525" hidden="1"/>
    <cellStyle name="Гиперссылка 2" xfId="44537" hidden="1"/>
    <cellStyle name="Гиперссылка 2" xfId="44538" hidden="1"/>
    <cellStyle name="Гиперссылка 2" xfId="44543" hidden="1"/>
    <cellStyle name="Гиперссылка 2" xfId="44544" hidden="1"/>
    <cellStyle name="Гиперссылка 2" xfId="44540" hidden="1"/>
    <cellStyle name="Гиперссылка 2" xfId="44539" hidden="1"/>
    <cellStyle name="Гиперссылка 2" xfId="44542" hidden="1"/>
    <cellStyle name="Гиперссылка 2" xfId="44541" hidden="1"/>
    <cellStyle name="Гиперссылка 2" xfId="44546" hidden="1"/>
    <cellStyle name="Гиперссылка 2" xfId="44545" hidden="1"/>
    <cellStyle name="Гиперссылка 2" xfId="44549" hidden="1"/>
    <cellStyle name="Гиперссылка 2" xfId="44550" hidden="1"/>
    <cellStyle name="Гиперссылка 2" xfId="44555" hidden="1"/>
    <cellStyle name="Гиперссылка 2" xfId="44556" hidden="1"/>
    <cellStyle name="Гиперссылка 2" xfId="44552" hidden="1"/>
    <cellStyle name="Гиперссылка 2" xfId="44551" hidden="1"/>
    <cellStyle name="Гиперссылка 2" xfId="44554" hidden="1"/>
    <cellStyle name="Гиперссылка 2" xfId="44553" hidden="1"/>
    <cellStyle name="Гиперссылка 2" xfId="44558" hidden="1"/>
    <cellStyle name="Гиперссылка 2" xfId="44557" hidden="1"/>
    <cellStyle name="Гиперссылка 2" xfId="44559" hidden="1"/>
    <cellStyle name="Гиперссылка 2" xfId="44560" hidden="1"/>
    <cellStyle name="Гиперссылка 2" xfId="44565" hidden="1"/>
    <cellStyle name="Гиперссылка 2" xfId="44566" hidden="1"/>
    <cellStyle name="Гиперссылка 2" xfId="44562" hidden="1"/>
    <cellStyle name="Гиперссылка 2" xfId="44561" hidden="1"/>
    <cellStyle name="Гиперссылка 2" xfId="44564" hidden="1"/>
    <cellStyle name="Гиперссылка 2" xfId="44563" hidden="1"/>
    <cellStyle name="Гиперссылка 2" xfId="44568" hidden="1"/>
    <cellStyle name="Гиперссылка 2" xfId="44567" hidden="1"/>
    <cellStyle name="Гиперссылка 2" xfId="44446" hidden="1"/>
    <cellStyle name="Гиперссылка 2" xfId="44010" hidden="1"/>
    <cellStyle name="Гиперссылка 2" xfId="43776" hidden="1"/>
    <cellStyle name="Гиперссылка 2" xfId="43268" hidden="1"/>
    <cellStyle name="Гиперссылка 2" xfId="44511" hidden="1"/>
    <cellStyle name="Гиперссылка 2" xfId="44532" hidden="1"/>
    <cellStyle name="Гиперссылка 2" xfId="44081" hidden="1"/>
    <cellStyle name="Гиперссылка 2" xfId="44507" hidden="1"/>
    <cellStyle name="Гиперссылка 2" xfId="44585" hidden="1"/>
    <cellStyle name="Гиперссылка 2" xfId="44584" hidden="1"/>
    <cellStyle name="Гиперссылка 2" xfId="44595" hidden="1"/>
    <cellStyle name="Гиперссылка 2" xfId="44596" hidden="1"/>
    <cellStyle name="Гиперссылка 2" xfId="44601" hidden="1"/>
    <cellStyle name="Гиперссылка 2" xfId="44602" hidden="1"/>
    <cellStyle name="Гиперссылка 2" xfId="44598" hidden="1"/>
    <cellStyle name="Гиперссылка 2" xfId="44597" hidden="1"/>
    <cellStyle name="Гиперссылка 2" xfId="44600" hidden="1"/>
    <cellStyle name="Гиперссылка 2" xfId="44599" hidden="1"/>
    <cellStyle name="Гиперссылка 2" xfId="44604" hidden="1"/>
    <cellStyle name="Гиперссылка 2" xfId="44603" hidden="1"/>
    <cellStyle name="Гиперссылка 2" xfId="44605" hidden="1"/>
    <cellStyle name="Гиперссылка 2" xfId="44606" hidden="1"/>
    <cellStyle name="Гиперссылка 2" xfId="44611" hidden="1"/>
    <cellStyle name="Гиперссылка 2" xfId="44612" hidden="1"/>
    <cellStyle name="Гиперссылка 2" xfId="44608" hidden="1"/>
    <cellStyle name="Гиперссылка 2" xfId="44607" hidden="1"/>
    <cellStyle name="Гиперссылка 2" xfId="44610" hidden="1"/>
    <cellStyle name="Гиперссылка 2" xfId="44609" hidden="1"/>
    <cellStyle name="Гиперссылка 2" xfId="44614" hidden="1"/>
    <cellStyle name="Гиперссылка 2" xfId="44613" hidden="1"/>
    <cellStyle name="Гиперссылка 2" xfId="44615" hidden="1"/>
    <cellStyle name="Гиперссылка 2" xfId="44616" hidden="1"/>
    <cellStyle name="Гиперссылка 2" xfId="44621" hidden="1"/>
    <cellStyle name="Гиперссылка 2" xfId="44622" hidden="1"/>
    <cellStyle name="Гиперссылка 2" xfId="44618" hidden="1"/>
    <cellStyle name="Гиперссылка 2" xfId="44617" hidden="1"/>
    <cellStyle name="Гиперссылка 2" xfId="44620" hidden="1"/>
    <cellStyle name="Гиперссылка 2" xfId="44619" hidden="1"/>
    <cellStyle name="Гиперссылка 2" xfId="44624" hidden="1"/>
    <cellStyle name="Гиперссылка 2" xfId="44623" hidden="1"/>
    <cellStyle name="Гиперссылка 2" xfId="44508" hidden="1"/>
    <cellStyle name="Гиперссылка 2" xfId="43991" hidden="1"/>
    <cellStyle name="Гиперссылка 2" xfId="43877" hidden="1"/>
    <cellStyle name="Гиперссылка 2" xfId="43585" hidden="1"/>
    <cellStyle name="Гиперссылка 2" xfId="44574" hidden="1"/>
    <cellStyle name="Гиперссылка 2" xfId="44591" hidden="1"/>
    <cellStyle name="Гиперссылка 2" xfId="44163" hidden="1"/>
    <cellStyle name="Гиперссылка 2" xfId="44571" hidden="1"/>
    <cellStyle name="Гиперссылка 2" xfId="44639" hidden="1"/>
    <cellStyle name="Гиперссылка 2" xfId="44638" hidden="1"/>
    <cellStyle name="Гиперссылка 2" xfId="44644" hidden="1"/>
    <cellStyle name="Гиперссылка 2" xfId="44645" hidden="1"/>
    <cellStyle name="Гиперссылка 2" xfId="44650" hidden="1"/>
    <cellStyle name="Гиперссылка 2" xfId="44651" hidden="1"/>
    <cellStyle name="Гиперссылка 2" xfId="44647" hidden="1"/>
    <cellStyle name="Гиперссылка 2" xfId="44646" hidden="1"/>
    <cellStyle name="Гиперссылка 2" xfId="44649" hidden="1"/>
    <cellStyle name="Гиперссылка 2" xfId="44648" hidden="1"/>
    <cellStyle name="Гиперссылка 2" xfId="44653" hidden="1"/>
    <cellStyle name="Гиперссылка 2" xfId="44652" hidden="1"/>
    <cellStyle name="Гиперссылка 2" xfId="44655" hidden="1"/>
    <cellStyle name="Гиперссылка 2" xfId="44656" hidden="1"/>
    <cellStyle name="Гиперссылка 2" xfId="44661" hidden="1"/>
    <cellStyle name="Гиперссылка 2" xfId="44662" hidden="1"/>
    <cellStyle name="Гиперссылка 2" xfId="44658" hidden="1"/>
    <cellStyle name="Гиперссылка 2" xfId="44657" hidden="1"/>
    <cellStyle name="Гиперссылка 2" xfId="44660" hidden="1"/>
    <cellStyle name="Гиперссылка 2" xfId="44659" hidden="1"/>
    <cellStyle name="Гиперссылка 2" xfId="44664" hidden="1"/>
    <cellStyle name="Гиперссылка 2" xfId="44663" hidden="1"/>
    <cellStyle name="Гиперссылка 2" xfId="44665" hidden="1"/>
    <cellStyle name="Гиперссылка 2" xfId="44666" hidden="1"/>
    <cellStyle name="Гиперссылка 2" xfId="44671" hidden="1"/>
    <cellStyle name="Гиперссылка 2" xfId="44672" hidden="1"/>
    <cellStyle name="Гиперссылка 2" xfId="44668" hidden="1"/>
    <cellStyle name="Гиперссылка 2" xfId="44667" hidden="1"/>
    <cellStyle name="Гиперссылка 2" xfId="44670" hidden="1"/>
    <cellStyle name="Гиперссылка 2" xfId="44669" hidden="1"/>
    <cellStyle name="Гиперссылка 2" xfId="44674" hidden="1"/>
    <cellStyle name="Гиперссылка 2" xfId="44673" hidden="1"/>
    <cellStyle name="Гиперссылка 2" xfId="44572" hidden="1"/>
    <cellStyle name="Гиперссылка 2" xfId="44076" hidden="1"/>
    <cellStyle name="Гиперссылка 2" xfId="43499" hidden="1"/>
    <cellStyle name="Гиперссылка 2" xfId="43869" hidden="1"/>
    <cellStyle name="Гиперссылка 2" xfId="44627" hidden="1"/>
    <cellStyle name="Гиперссылка 2" xfId="44643" hidden="1"/>
    <cellStyle name="Гиперссылка 2" xfId="44398" hidden="1"/>
    <cellStyle name="Гиперссылка 2" xfId="44625" hidden="1"/>
    <cellStyle name="Гиперссылка 2" xfId="44686" hidden="1"/>
    <cellStyle name="Гиперссылка 2" xfId="44685" hidden="1"/>
    <cellStyle name="Гиперссылка 2" xfId="44689" hidden="1"/>
    <cellStyle name="Гиперссылка 2" xfId="44690" hidden="1"/>
    <cellStyle name="Гиперссылка 2" xfId="44695" hidden="1"/>
    <cellStyle name="Гиперссылка 2" xfId="44696" hidden="1"/>
    <cellStyle name="Гиперссылка 2" xfId="44692" hidden="1"/>
    <cellStyle name="Гиперссылка 2" xfId="44691" hidden="1"/>
    <cellStyle name="Гиперссылка 2" xfId="44694" hidden="1"/>
    <cellStyle name="Гиперссылка 2" xfId="44693" hidden="1"/>
    <cellStyle name="Гиперссылка 2" xfId="44698" hidden="1"/>
    <cellStyle name="Гиперссылка 2" xfId="44697" hidden="1"/>
    <cellStyle name="Гиперссылка 2" xfId="44699" hidden="1"/>
    <cellStyle name="Гиперссылка 2" xfId="44700" hidden="1"/>
    <cellStyle name="Гиперссылка 2" xfId="44705" hidden="1"/>
    <cellStyle name="Гиперссылка 2" xfId="44706" hidden="1"/>
    <cellStyle name="Гиперссылка 2" xfId="44702" hidden="1"/>
    <cellStyle name="Гиперссылка 2" xfId="44701" hidden="1"/>
    <cellStyle name="Гиперссылка 2" xfId="44704" hidden="1"/>
    <cellStyle name="Гиперссылка 2" xfId="44703" hidden="1"/>
    <cellStyle name="Гиперссылка 2" xfId="44708" hidden="1"/>
    <cellStyle name="Гиперссылка 2" xfId="44707" hidden="1"/>
    <cellStyle name="Гиперссылка 2" xfId="44709" hidden="1"/>
    <cellStyle name="Гиперссылка 2" xfId="44710" hidden="1"/>
    <cellStyle name="Гиперссылка 2" xfId="44715" hidden="1"/>
    <cellStyle name="Гиперссылка 2" xfId="44716" hidden="1"/>
    <cellStyle name="Гиперссылка 2" xfId="44712" hidden="1"/>
    <cellStyle name="Гиперссылка 2" xfId="44711" hidden="1"/>
    <cellStyle name="Гиперссылка 2" xfId="44714" hidden="1"/>
    <cellStyle name="Гиперссылка 2" xfId="44713" hidden="1"/>
    <cellStyle name="Гиперссылка 2" xfId="44718" hidden="1"/>
    <cellStyle name="Гиперссылка 2" xfId="44717" hidden="1"/>
    <cellStyle name="Гиперссылка 2" xfId="44626" hidden="1"/>
    <cellStyle name="Гиперссылка 2" xfId="43785" hidden="1"/>
    <cellStyle name="Гиперссылка 2" xfId="44450" hidden="1"/>
    <cellStyle name="Гиперссылка 2" xfId="43581" hidden="1"/>
    <cellStyle name="Гиперссылка 2" xfId="44678" hidden="1"/>
    <cellStyle name="Гиперссылка 2" xfId="44688" hidden="1"/>
    <cellStyle name="Гиперссылка 2" xfId="44458" hidden="1"/>
    <cellStyle name="Гиперссылка 2" xfId="44676" hidden="1"/>
    <cellStyle name="Гиперссылка 2" xfId="44720" hidden="1"/>
    <cellStyle name="Гиперссылка 2" xfId="44719" hidden="1"/>
    <cellStyle name="Гиперссылка 2" xfId="44721" hidden="1"/>
    <cellStyle name="Гиперссылка 2" xfId="44722" hidden="1"/>
    <cellStyle name="Гиперссылка 2" xfId="44727" hidden="1"/>
    <cellStyle name="Гиперссылка 2" xfId="44728" hidden="1"/>
    <cellStyle name="Гиперссылка 2" xfId="44724" hidden="1"/>
    <cellStyle name="Гиперссылка 2" xfId="44723" hidden="1"/>
    <cellStyle name="Гиперссылка 2" xfId="44726" hidden="1"/>
    <cellStyle name="Гиперссылка 2" xfId="44725" hidden="1"/>
    <cellStyle name="Гиперссылка 2" xfId="44730" hidden="1"/>
    <cellStyle name="Гиперссылка 2" xfId="44729" hidden="1"/>
    <cellStyle name="Гиперссылка 2" xfId="44731" hidden="1"/>
    <cellStyle name="Гиперссылка 2" xfId="44732" hidden="1"/>
    <cellStyle name="Гиперссылка 2" xfId="44737" hidden="1"/>
    <cellStyle name="Гиперссылка 2" xfId="44738" hidden="1"/>
    <cellStyle name="Гиперссылка 2" xfId="44734" hidden="1"/>
    <cellStyle name="Гиперссылка 2" xfId="44733" hidden="1"/>
    <cellStyle name="Гиперссылка 2" xfId="44736" hidden="1"/>
    <cellStyle name="Гиперссылка 2" xfId="44735" hidden="1"/>
    <cellStyle name="Гиперссылка 2" xfId="44740" hidden="1"/>
    <cellStyle name="Гиперссылка 2" xfId="44739" hidden="1"/>
    <cellStyle name="Гиперссылка 2" xfId="44741" hidden="1"/>
    <cellStyle name="Гиперссылка 2" xfId="44742" hidden="1"/>
    <cellStyle name="Гиперссылка 2" xfId="44747" hidden="1"/>
    <cellStyle name="Гиперссылка 2" xfId="44748" hidden="1"/>
    <cellStyle name="Гиперссылка 2" xfId="44744" hidden="1"/>
    <cellStyle name="Гиперссылка 2" xfId="44743" hidden="1"/>
    <cellStyle name="Гиперссылка 2" xfId="44746" hidden="1"/>
    <cellStyle name="Гиперссылка 2" xfId="44745" hidden="1"/>
    <cellStyle name="Гиперссылка 2" xfId="44750" hidden="1"/>
    <cellStyle name="Гиперссылка 2" xfId="44749" hidden="1"/>
    <cellStyle name="Гиперссылка 2" xfId="43282" hidden="1"/>
    <cellStyle name="Гиперссылка 2" xfId="43221" hidden="1"/>
    <cellStyle name="Гиперссылка 2" xfId="44528" hidden="1"/>
    <cellStyle name="Гиперссылка 2" xfId="43513" hidden="1"/>
    <cellStyle name="Гиперссылка 2" xfId="36963" hidden="1"/>
    <cellStyle name="Гиперссылка 2" xfId="43882" hidden="1"/>
    <cellStyle name="Гиперссылка 2" xfId="44284" hidden="1"/>
    <cellStyle name="Гиперссылка 2" xfId="43717" hidden="1"/>
    <cellStyle name="Гиперссылка 2" xfId="44086" hidden="1"/>
    <cellStyle name="Гиперссылка 2" xfId="43352" hidden="1"/>
    <cellStyle name="Гиперссылка 2" xfId="44635" hidden="1"/>
    <cellStyle name="Гиперссылка 2" xfId="44518" hidden="1"/>
    <cellStyle name="Гиперссылка 2" xfId="44273" hidden="1"/>
    <cellStyle name="Гиперссылка 2" xfId="43536" hidden="1"/>
    <cellStyle name="Гиперссылка 2" xfId="44465" hidden="1"/>
    <cellStyle name="Гиперссылка 2" xfId="44582" hidden="1"/>
    <cellStyle name="Гиперссылка 2" xfId="43627" hidden="1"/>
    <cellStyle name="Гиперссылка 2" xfId="44006" hidden="1"/>
    <cellStyle name="Гиперссылка 2" xfId="43480" hidden="1"/>
    <cellStyle name="Гиперссылка 2" xfId="43418" hidden="1"/>
    <cellStyle name="Гиперссылка 2" xfId="43307" hidden="1"/>
    <cellStyle name="Гиперссылка 2" xfId="44151" hidden="1"/>
    <cellStyle name="Гиперссылка 2" xfId="43509" hidden="1"/>
    <cellStyle name="Гиперссылка 2" xfId="43394" hidden="1"/>
    <cellStyle name="Гиперссылка 2" xfId="44072" hidden="1"/>
    <cellStyle name="Гиперссылка 2" xfId="43772" hidden="1"/>
    <cellStyle name="Гиперссылка 2" xfId="44071" hidden="1"/>
    <cellStyle name="Гиперссылка 2" xfId="43601" hidden="1"/>
    <cellStyle name="Гиперссылка 2" xfId="43622" hidden="1"/>
    <cellStyle name="Гиперссылка 2" xfId="36923" hidden="1"/>
    <cellStyle name="Гиперссылка 2" xfId="43633" hidden="1"/>
    <cellStyle name="Гиперссылка 2" xfId="43855" hidden="1"/>
    <cellStyle name="Гиперссылка 2" xfId="43936" hidden="1"/>
    <cellStyle name="Гиперссылка 2" xfId="43289" hidden="1"/>
    <cellStyle name="Гиперссылка 2" xfId="43840" hidden="1"/>
    <cellStyle name="Гиперссылка 2" xfId="44077" hidden="1"/>
    <cellStyle name="Гиперссылка 2" xfId="43884" hidden="1"/>
    <cellStyle name="Гиперссылка 2" xfId="43516" hidden="1"/>
    <cellStyle name="Гиперссылка 2" xfId="43569" hidden="1"/>
    <cellStyle name="Гиперссылка 2" xfId="43380" hidden="1"/>
    <cellStyle name="Гиперссылка 2" xfId="43359" hidden="1"/>
    <cellStyle name="Гиперссылка 2" xfId="43788" hidden="1"/>
    <cellStyle name="Гиперссылка 2" xfId="43523" hidden="1"/>
    <cellStyle name="Гиперссылка 2" xfId="43612" hidden="1"/>
    <cellStyle name="Гиперссылка 2" xfId="44102" hidden="1"/>
    <cellStyle name="Гиперссылка 2" xfId="43688" hidden="1"/>
    <cellStyle name="Гиперссылка 2" xfId="44577" hidden="1"/>
    <cellStyle name="Гиперссылка 2" xfId="44630" hidden="1"/>
    <cellStyle name="Гиперссылка 2" xfId="36995" hidden="1"/>
    <cellStyle name="Гиперссылка 2" xfId="43686" hidden="1"/>
    <cellStyle name="Гиперссылка 2" xfId="43383" hidden="1"/>
    <cellStyle name="Гиперссылка 2" xfId="43867" hidden="1"/>
    <cellStyle name="Гиперссылка 2" xfId="44161" hidden="1"/>
    <cellStyle name="Гиперссылка 2" xfId="43505" hidden="1"/>
    <cellStyle name="Гиперссылка 2" xfId="43370" hidden="1"/>
    <cellStyle name="Гиперссылка 2" xfId="44231" hidden="1"/>
    <cellStyle name="Гиперссылка 2" xfId="44199" hidden="1"/>
    <cellStyle name="Гиперссылка 2" xfId="43843" hidden="1"/>
    <cellStyle name="Гиперссылка 2" xfId="37281" hidden="1"/>
    <cellStyle name="Гиперссылка 2" xfId="43521" hidden="1"/>
    <cellStyle name="Гиперссылка 2" xfId="44592" hidden="1"/>
    <cellStyle name="Гиперссылка 2" xfId="44473" hidden="1"/>
    <cellStyle name="Гиперссылка 2" xfId="43332" hidden="1"/>
    <cellStyle name="Гиперссылка 2" xfId="43953" hidden="1"/>
    <cellStyle name="Гиперссылка 2" xfId="44579" hidden="1"/>
    <cellStyle name="Гиперссылка 2" xfId="44681" hidden="1"/>
    <cellStyle name="Гиперссылка 2" xfId="44401" hidden="1"/>
    <cellStyle name="Гиперссылка 2" xfId="44460" hidden="1"/>
    <cellStyle name="Гиперссылка 2" xfId="43205" hidden="1"/>
    <cellStyle name="Гиперссылка 2" xfId="37285" hidden="1"/>
    <cellStyle name="Гиперссылка 2" xfId="44157" hidden="1"/>
    <cellStyle name="Гиперссылка 2" xfId="43878" hidden="1"/>
    <cellStyle name="Гиперссылка 2" xfId="44470" hidden="1"/>
    <cellStyle name="Гиперссылка 2" xfId="44204" hidden="1"/>
    <cellStyle name="Гиперссылка 2" xfId="43462" hidden="1"/>
    <cellStyle name="Гиперссылка 2" xfId="43784" hidden="1"/>
    <cellStyle name="Гиперссылка 2" xfId="44588" hidden="1"/>
    <cellStyle name="Гиперссылка 2" xfId="43239" hidden="1"/>
    <cellStyle name="Гиперссылка 2" xfId="44589" hidden="1"/>
    <cellStyle name="Гиперссылка 2" xfId="44641" hidden="1"/>
    <cellStyle name="Гиперссылка 2" xfId="43546" hidden="1"/>
    <cellStyle name="Гиперссылка 2" xfId="44286" hidden="1"/>
    <cellStyle name="Гиперссылка 2" xfId="44519" hidden="1"/>
    <cellStyle name="Гиперссылка 2" xfId="43464" hidden="1"/>
    <cellStyle name="Гиперссылка 2" xfId="43465" hidden="1"/>
    <cellStyle name="Гиперссылка 2" xfId="36921" hidden="1"/>
    <cellStyle name="Гиперссылка 2" xfId="43716" hidden="1"/>
    <cellStyle name="Гиперссылка 2" xfId="43707" hidden="1"/>
    <cellStyle name="Гиперссылка 2" xfId="43213" hidden="1"/>
    <cellStyle name="Гиперссылка 2" xfId="44095" hidden="1"/>
    <cellStyle name="Гиперссылка 2" xfId="43752" hidden="1"/>
    <cellStyle name="Гиперссылка 2" xfId="37462" hidden="1"/>
    <cellStyle name="Гиперссылка 2" xfId="43453" hidden="1"/>
    <cellStyle name="Гиперссылка 2" xfId="43292" hidden="1"/>
    <cellStyle name="Гиперссылка 2" xfId="44547" hidden="1"/>
    <cellStyle name="Гиперссылка 2" xfId="43473" hidden="1"/>
    <cellStyle name="Гиперссылка 2" xfId="43344" hidden="1"/>
    <cellStyle name="Гиперссылка 2" xfId="44422" hidden="1"/>
    <cellStyle name="Гиперссылка 2" xfId="43400" hidden="1"/>
    <cellStyle name="Гиперссылка 2" xfId="43306" hidden="1"/>
    <cellStyle name="Гиперссылка 2" xfId="43952" hidden="1"/>
    <cellStyle name="Гиперссылка 2" xfId="43854" hidden="1"/>
    <cellStyle name="Гиперссылка 2" xfId="43360" hidden="1"/>
    <cellStyle name="Гиперссылка 2" xfId="44136" hidden="1"/>
    <cellStyle name="Гиперссылка 2" xfId="44322" hidden="1"/>
    <cellStyle name="Гиперссылка 2" xfId="44028" hidden="1"/>
    <cellStyle name="Гиперссылка 2" xfId="43460" hidden="1"/>
    <cellStyle name="Гиперссылка 2" xfId="43502" hidden="1"/>
    <cellStyle name="Гиперссылка 2" xfId="43300" hidden="1"/>
    <cellStyle name="Гиперссылка 2" xfId="44032" hidden="1"/>
    <cellStyle name="Гиперссылка 2" xfId="43781" hidden="1"/>
    <cellStyle name="Гиперссылка 2" xfId="43795" hidden="1"/>
    <cellStyle name="Гиперссылка 2" xfId="43720" hidden="1"/>
    <cellStyle name="Гиперссылка 2" xfId="43778" hidden="1"/>
    <cellStyle name="Гиперссылка 2" xfId="43766" hidden="1"/>
    <cellStyle name="Гиперссылка 2" xfId="43942" hidden="1"/>
    <cellStyle name="Гиперссылка 2" xfId="43235" hidden="1"/>
    <cellStyle name="Гиперссылка 2" xfId="43573" hidden="1"/>
    <cellStyle name="Гиперссылка 2" xfId="43225" hidden="1"/>
    <cellStyle name="Гиперссылка 2" xfId="43934" hidden="1"/>
    <cellStyle name="Гиперссылка 2" xfId="44152" hidden="1"/>
    <cellStyle name="Гиперссылка 2" xfId="44207" hidden="1"/>
    <cellStyle name="Гиперссылка 2" xfId="44166" hidden="1"/>
    <cellStyle name="Гиперссылка 2" xfId="43595" hidden="1"/>
    <cellStyle name="Гиперссылка 2" xfId="43542" hidden="1"/>
    <cellStyle name="Гиперссылка 2" xfId="36919" hidden="1"/>
    <cellStyle name="Гиперссылка 2" xfId="44523" hidden="1"/>
    <cellStyle name="Гиперссылка 2" xfId="44137" hidden="1"/>
    <cellStyle name="Гиперссылка 2" xfId="43206" hidden="1"/>
    <cellStyle name="Гиперссылка 2" xfId="44020" hidden="1"/>
    <cellStyle name="Гиперссылка 2" xfId="43880" hidden="1"/>
    <cellStyle name="Гиперссылка 2" xfId="43401" hidden="1"/>
    <cellStyle name="Гиперссылка 2" xfId="44230" hidden="1"/>
    <cellStyle name="Гиперссылка 2" xfId="44031" hidden="1"/>
    <cellStyle name="Гиперссылка 2" xfId="44631" hidden="1"/>
    <cellStyle name="Гиперссылка 2" xfId="44325" hidden="1"/>
    <cellStyle name="Гиперссылка 2" xfId="44459" hidden="1"/>
    <cellStyle name="Гиперссылка 2" xfId="44516" hidden="1"/>
    <cellStyle name="Гиперссылка 2" xfId="44201" hidden="1"/>
    <cellStyle name="Гиперссылка 2" xfId="43297" hidden="1"/>
    <cellStyle name="Гиперссылка 2" xfId="43996" hidden="1"/>
    <cellStyle name="Гиперссылка 2" xfId="43793" hidden="1"/>
    <cellStyle name="Гиперссылка 2" xfId="43240" hidden="1"/>
    <cellStyle name="Гиперссылка 2" xfId="43769" hidden="1"/>
    <cellStyle name="Гиперссылка 2" xfId="44097" hidden="1"/>
    <cellStyle name="Гиперссылка 2" xfId="43757" hidden="1"/>
    <cellStyle name="Гиперссылка 2" xfId="43578" hidden="1"/>
    <cellStyle name="Гиперссылка 2" xfId="43320" hidden="1"/>
    <cellStyle name="Гиперссылка 2" xfId="43632" hidden="1"/>
    <cellStyle name="Гиперссылка 2" xfId="43553" hidden="1"/>
    <cellStyle name="Гиперссылка 2" xfId="43416" hidden="1"/>
    <cellStyle name="Гиперссылка 2" xfId="37604" hidden="1"/>
    <cellStyle name="Гиперссылка 2" xfId="43625" hidden="1"/>
    <cellStyle name="Гиперссылка 2" xfId="43579" hidden="1"/>
    <cellStyle name="Гиперссылка 2" xfId="44326" hidden="1"/>
    <cellStyle name="Гиперссылка 2" xfId="43690" hidden="1"/>
    <cellStyle name="Гиперссылка 2" xfId="43339" hidden="1"/>
    <cellStyle name="Гиперссылка 2" xfId="43640" hidden="1"/>
    <cellStyle name="Гиперссылка 2" xfId="43279" hidden="1"/>
    <cellStyle name="Гиперссылка 2" xfId="43411" hidden="1"/>
    <cellStyle name="Гиперссылка 2" xfId="43410" hidden="1"/>
    <cellStyle name="Гиперссылка 2" xfId="44444" hidden="1"/>
    <cellStyle name="Гиперссылка 2" xfId="44208" hidden="1"/>
    <cellStyle name="Гиперссылка 2" xfId="44164" hidden="1"/>
    <cellStyle name="Гиперссылка 2" xfId="43560" hidden="1"/>
    <cellStyle name="Гиперссылка 2" xfId="44454" hidden="1"/>
    <cellStyle name="Гиперссылка 2" xfId="43993" hidden="1"/>
    <cellStyle name="Гиперссылка 2" xfId="43497" hidden="1"/>
    <cellStyle name="Гиперссылка 2" xfId="43605" hidden="1"/>
    <cellStyle name="Гиперссылка 2" xfId="44278" hidden="1"/>
    <cellStyle name="Гиперссылка 2" xfId="44580" hidden="1"/>
    <cellStyle name="Гиперссылка 2" xfId="44462" hidden="1"/>
    <cellStyle name="Гиперссылка 2" xfId="36912" hidden="1"/>
    <cellStyle name="Гиперссылка 2" xfId="43315" hidden="1"/>
    <cellStyle name="Гиперссылка 2" xfId="36910" hidden="1"/>
    <cellStyle name="Гиперссылка 2" xfId="36935" hidden="1"/>
    <cellStyle name="Гиперссылка 2" xfId="36892" hidden="1"/>
    <cellStyle name="Гиперссылка 2" xfId="43367" hidden="1"/>
    <cellStyle name="Гиперссылка 2" xfId="36881" hidden="1"/>
    <cellStyle name="Гиперссылка 2" xfId="43248" hidden="1"/>
    <cellStyle name="Гиперссылка 2" xfId="43484" hidden="1"/>
    <cellStyle name="Гиперссылка 2" xfId="43619" hidden="1"/>
    <cellStyle name="Гиперссылка 2" xfId="44683" hidden="1"/>
    <cellStyle name="Гиперссылка 2" xfId="44581" hidden="1"/>
    <cellStyle name="Гиперссылка 2" xfId="43217" hidden="1"/>
    <cellStyle name="Гиперссылка 2" xfId="43508" hidden="1"/>
    <cellStyle name="Гиперссылка 2" xfId="43397" hidden="1"/>
    <cellStyle name="Гиперссылка 2" xfId="44159" hidden="1"/>
    <cellStyle name="Гиперссылка 2" xfId="43257" hidden="1"/>
    <cellStyle name="Гиперссылка 2" xfId="43356" hidden="1"/>
    <cellStyle name="Гиперссылка 2" xfId="43544" hidden="1"/>
    <cellStyle name="Гиперссылка 2" xfId="43261" hidden="1"/>
    <cellStyle name="Гиперссылка 2" xfId="43288" hidden="1"/>
    <cellStyle name="Гиперссылка 2" xfId="44274" hidden="1"/>
    <cellStyle name="Гиперссылка 2" xfId="43618" hidden="1"/>
    <cellStyle name="Гиперссылка 2" xfId="43610" hidden="1"/>
    <cellStyle name="Гиперссылка 2" xfId="43590" hidden="1"/>
    <cellStyle name="Гиперссылка 2" xfId="43927" hidden="1"/>
    <cellStyle name="Гиперссылка 2" xfId="43403" hidden="1"/>
    <cellStyle name="Гиперссылка 2" xfId="43303" hidden="1"/>
    <cellStyle name="Гиперссылка 2" xfId="43526" hidden="1"/>
    <cellStyle name="Гиперссылка 2" xfId="43265" hidden="1"/>
    <cellStyle name="Гиперссылка 2" xfId="43994" hidden="1"/>
    <cellStyle name="Гиперссылка 2" xfId="43731" hidden="1"/>
    <cellStyle name="Гиперссылка 2" xfId="44634" hidden="1"/>
    <cellStyle name="Гиперссылка 2" xfId="43328" hidden="1"/>
    <cellStyle name="Гиперссылка 2" xfId="36903" hidden="1"/>
    <cellStyle name="Гиперссылка 2" xfId="44637" hidden="1"/>
    <cellStyle name="Гиперссылка 2" xfId="43388" hidden="1"/>
    <cellStyle name="Гиперссылка 2" xfId="43285" hidden="1"/>
    <cellStyle name="Гиперссылка 2" xfId="44654" hidden="1"/>
    <cellStyle name="Гиперссылка 2" xfId="44548" hidden="1"/>
    <cellStyle name="Гиперссылка 2" xfId="43354" hidden="1"/>
    <cellStyle name="Гиперссылка 2" xfId="43335" hidden="1"/>
    <cellStyle name="Гиперссылка 2" xfId="44017" hidden="1"/>
    <cellStyle name="Гиперссылка 2" xfId="43801" hidden="1"/>
    <cellStyle name="Гиперссылка 2" xfId="44212" hidden="1"/>
    <cellStyle name="Гиперссылка 2" xfId="43518" hidden="1"/>
    <cellStyle name="Гиперссылка 2" xfId="43847" hidden="1"/>
    <cellStyle name="Гиперссылка 2" xfId="43583" hidden="1"/>
    <cellStyle name="Гиперссылка 2" xfId="43532" hidden="1"/>
    <cellStyle name="Гиперссылка 2" xfId="44143" hidden="1"/>
    <cellStyle name="Гиперссылка 2" xfId="43246" hidden="1"/>
    <cellStyle name="Гиперссылка 2" xfId="44684" hidden="1"/>
    <cellStyle name="Гиперссылка 2" xfId="43529" hidden="1"/>
    <cellStyle name="Гиперссылка 2" xfId="44073" hidden="1"/>
    <cellStyle name="Гиперссылка 2" xfId="43796" hidden="1"/>
    <cellStyle name="Гиперссылка 2" xfId="43272" hidden="1"/>
    <cellStyle name="Гиперссылка 2" xfId="44464" hidden="1"/>
    <cellStyle name="Гиперссылка 2" xfId="44520" hidden="1"/>
    <cellStyle name="Гиперссылка 2" xfId="43995" hidden="1"/>
    <cellStyle name="Гиперссылка 2" xfId="43935" hidden="1"/>
    <cellStyle name="Гиперссылка 2" xfId="43775" hidden="1"/>
    <cellStyle name="Гиперссылка 2" xfId="44141" hidden="1"/>
    <cellStyle name="Гиперссылка 2" xfId="44080" hidden="1"/>
    <cellStyle name="Гиперссылка 2" xfId="44090" hidden="1"/>
    <cellStyle name="Гиперссылка 2" xfId="44079" hidden="1"/>
    <cellStyle name="Гиперссылка 2" xfId="43698" hidden="1"/>
    <cellStyle name="Гиперссылка 2" xfId="43580" hidden="1"/>
    <cellStyle name="Гиперссылка 2" xfId="43606" hidden="1"/>
    <cellStyle name="Гиперссылка 2" xfId="44583" hidden="1"/>
    <cellStyle name="Гиперссылка 2" xfId="44629" hidden="1"/>
    <cellStyle name="Гиперссылка 2" xfId="44007" hidden="1"/>
    <cellStyle name="Гиперссылка 2" xfId="43486" hidden="1"/>
    <cellStyle name="Гиперссылка 2" xfId="44687" hidden="1"/>
    <cellStyle name="Гиперссылка 2" xfId="44147" hidden="1"/>
    <cellStyle name="Гиперссылка 2" xfId="44587" hidden="1"/>
    <cellStyle name="Гиперссылка 2" xfId="43267" hidden="1"/>
    <cellStyle name="Гиперссылка 2" xfId="44755" hidden="1"/>
    <cellStyle name="Гиперссылка 2" xfId="44754" hidden="1"/>
    <cellStyle name="Гиперссылка 2" xfId="44759" hidden="1"/>
    <cellStyle name="Гиперссылка 2" xfId="44760" hidden="1"/>
    <cellStyle name="Гиперссылка 2" xfId="44765" hidden="1"/>
    <cellStyle name="Гиперссылка 2" xfId="44766" hidden="1"/>
    <cellStyle name="Гиперссылка 2" xfId="44762" hidden="1"/>
    <cellStyle name="Гиперссылка 2" xfId="44761" hidden="1"/>
    <cellStyle name="Гиперссылка 2" xfId="44764" hidden="1"/>
    <cellStyle name="Гиперссылка 2" xfId="44763" hidden="1"/>
    <cellStyle name="Гиперссылка 2" xfId="44768" hidden="1"/>
    <cellStyle name="Гиперссылка 2" xfId="44767" hidden="1"/>
    <cellStyle name="Гиперссылка 2" xfId="44770" hidden="1"/>
    <cellStyle name="Гиперссылка 2" xfId="44771" hidden="1"/>
    <cellStyle name="Гиперссылка 2" xfId="44776" hidden="1"/>
    <cellStyle name="Гиперссылка 2" xfId="44777" hidden="1"/>
    <cellStyle name="Гиперссылка 2" xfId="44773" hidden="1"/>
    <cellStyle name="Гиперссылка 2" xfId="44772" hidden="1"/>
    <cellStyle name="Гиперссылка 2" xfId="44775" hidden="1"/>
    <cellStyle name="Гиперссылка 2" xfId="44774" hidden="1"/>
    <cellStyle name="Гиперссылка 2" xfId="44779" hidden="1"/>
    <cellStyle name="Гиперссылка 2" xfId="44778" hidden="1"/>
    <cellStyle name="Гиперссылка 2" xfId="44780" hidden="1"/>
    <cellStyle name="Гиперссылка 2" xfId="44781" hidden="1"/>
    <cellStyle name="Гиперссылка 2" xfId="44786" hidden="1"/>
    <cellStyle name="Гиперссылка 2" xfId="44787" hidden="1"/>
    <cellStyle name="Гиперссылка 2" xfId="44783" hidden="1"/>
    <cellStyle name="Гиперссылка 2" xfId="44782" hidden="1"/>
    <cellStyle name="Гиперссылка 2" xfId="44785" hidden="1"/>
    <cellStyle name="Гиперссылка 2" xfId="44784" hidden="1"/>
    <cellStyle name="Гиперссылка 2" xfId="44789" hidden="1"/>
    <cellStyle name="Гиперссылка 2" xfId="44788" hidden="1"/>
    <cellStyle name="Гиперссылка 2" xfId="43543" hidden="1"/>
    <cellStyle name="Гиперссылка 2" xfId="43277" hidden="1"/>
    <cellStyle name="Гиперссылка 2" xfId="44320" hidden="1"/>
    <cellStyle name="Гиперссылка 2" xfId="43319" hidden="1"/>
    <cellStyle name="Гиперссылка 2" xfId="44505" hidden="1"/>
    <cellStyle name="Гиперссылка 2" xfId="44756" hidden="1"/>
    <cellStyle name="Гиперссылка 2" xfId="43987" hidden="1"/>
    <cellStyle name="Гиперссылка 2" xfId="43949" hidden="1"/>
    <cellStyle name="Гиперссылка 2" xfId="44810" hidden="1"/>
    <cellStyle name="Гиперссылка 2" xfId="44809" hidden="1"/>
    <cellStyle name="Гиперссылка 2" xfId="44815" hidden="1"/>
    <cellStyle name="Гиперссылка 2" xfId="44816" hidden="1"/>
    <cellStyle name="Гиперссылка 2" xfId="44821" hidden="1"/>
    <cellStyle name="Гиперссылка 2" xfId="44822" hidden="1"/>
    <cellStyle name="Гиперссылка 2" xfId="44818" hidden="1"/>
    <cellStyle name="Гиперссылка 2" xfId="44817" hidden="1"/>
    <cellStyle name="Гиперссылка 2" xfId="44820" hidden="1"/>
    <cellStyle name="Гиперссылка 2" xfId="44819" hidden="1"/>
    <cellStyle name="Гиперссылка 2" xfId="44824" hidden="1"/>
    <cellStyle name="Гиперссылка 2" xfId="44823" hidden="1"/>
    <cellStyle name="Гиперссылка 2" xfId="44825" hidden="1"/>
    <cellStyle name="Гиперссылка 2" xfId="44826" hidden="1"/>
    <cellStyle name="Гиперссылка 2" xfId="44831" hidden="1"/>
    <cellStyle name="Гиперссылка 2" xfId="44832" hidden="1"/>
    <cellStyle name="Гиперссылка 2" xfId="44828" hidden="1"/>
    <cellStyle name="Гиперссылка 2" xfId="44827" hidden="1"/>
    <cellStyle name="Гиперссылка 2" xfId="44830" hidden="1"/>
    <cellStyle name="Гиперссылка 2" xfId="44829" hidden="1"/>
    <cellStyle name="Гиперссылка 2" xfId="44834" hidden="1"/>
    <cellStyle name="Гиперссылка 2" xfId="44833" hidden="1"/>
    <cellStyle name="Гиперссылка 2" xfId="44835" hidden="1"/>
    <cellStyle name="Гиперссылка 2" xfId="44836" hidden="1"/>
    <cellStyle name="Гиперссылка 2" xfId="44841" hidden="1"/>
    <cellStyle name="Гиперссылка 2" xfId="44842" hidden="1"/>
    <cellStyle name="Гиперссылка 2" xfId="44838" hidden="1"/>
    <cellStyle name="Гиперссылка 2" xfId="44837" hidden="1"/>
    <cellStyle name="Гиперссылка 2" xfId="44840" hidden="1"/>
    <cellStyle name="Гиперссылка 2" xfId="44839" hidden="1"/>
    <cellStyle name="Гиперссылка 2" xfId="44844" hidden="1"/>
    <cellStyle name="Гиперссылка 2" xfId="44843" hidden="1"/>
    <cellStyle name="Гиперссылка 2" xfId="43358" hidden="1"/>
    <cellStyle name="Гиперссылка 2" xfId="43874" hidden="1"/>
    <cellStyle name="Гиперссылка 2" xfId="43863" hidden="1"/>
    <cellStyle name="Гиперссылка 2" xfId="44586" hidden="1"/>
    <cellStyle name="Гиперссылка 2" xfId="44797" hidden="1"/>
    <cellStyle name="Гиперссылка 2" xfId="44813" hidden="1"/>
    <cellStyle name="Гиперссылка 2" xfId="43504" hidden="1"/>
    <cellStyle name="Гиперссылка 2" xfId="44792" hidden="1"/>
    <cellStyle name="Гиперссылка 2" xfId="44858" hidden="1"/>
    <cellStyle name="Гиперссылка 2" xfId="44857" hidden="1"/>
    <cellStyle name="Гиперссылка 2" xfId="44862" hidden="1"/>
    <cellStyle name="Гиперссылка 2" xfId="44863" hidden="1"/>
    <cellStyle name="Гиперссылка 2" xfId="44868" hidden="1"/>
    <cellStyle name="Гиперссылка 2" xfId="44869" hidden="1"/>
    <cellStyle name="Гиперссылка 2" xfId="44865" hidden="1"/>
    <cellStyle name="Гиперссылка 2" xfId="44864" hidden="1"/>
    <cellStyle name="Гиперссылка 2" xfId="44867" hidden="1"/>
    <cellStyle name="Гиперссылка 2" xfId="44866" hidden="1"/>
    <cellStyle name="Гиперссылка 2" xfId="44871" hidden="1"/>
    <cellStyle name="Гиперссылка 2" xfId="44870" hidden="1"/>
    <cellStyle name="Гиперссылка 2" xfId="44874" hidden="1"/>
    <cellStyle name="Гиперссылка 2" xfId="44875" hidden="1"/>
    <cellStyle name="Гиперссылка 2" xfId="44880" hidden="1"/>
    <cellStyle name="Гиперссылка 2" xfId="44881" hidden="1"/>
    <cellStyle name="Гиперссылка 2" xfId="44877" hidden="1"/>
    <cellStyle name="Гиперссылка 2" xfId="44876" hidden="1"/>
    <cellStyle name="Гиперссылка 2" xfId="44879" hidden="1"/>
    <cellStyle name="Гиперссылка 2" xfId="44878" hidden="1"/>
    <cellStyle name="Гиперссылка 2" xfId="44883" hidden="1"/>
    <cellStyle name="Гиперссылка 2" xfId="44882" hidden="1"/>
    <cellStyle name="Гиперссылка 2" xfId="44884" hidden="1"/>
    <cellStyle name="Гиперссылка 2" xfId="44885" hidden="1"/>
    <cellStyle name="Гиперссылка 2" xfId="44890" hidden="1"/>
    <cellStyle name="Гиперссылка 2" xfId="44891" hidden="1"/>
    <cellStyle name="Гиперссылка 2" xfId="44887" hidden="1"/>
    <cellStyle name="Гиперссылка 2" xfId="44886" hidden="1"/>
    <cellStyle name="Гиперссылка 2" xfId="44889" hidden="1"/>
    <cellStyle name="Гиперссылка 2" xfId="44888" hidden="1"/>
    <cellStyle name="Гиперссылка 2" xfId="44893" hidden="1"/>
    <cellStyle name="Гиперссылка 2" xfId="44892" hidden="1"/>
    <cellStyle name="Гиперссылка 2" xfId="44793" hidden="1"/>
    <cellStyle name="Гиперссылка 2" xfId="44399" hidden="1"/>
    <cellStyle name="Гиперссылка 2" xfId="36948" hidden="1"/>
    <cellStyle name="Гиперссылка 2" xfId="43701" hidden="1"/>
    <cellStyle name="Гиперссылка 2" xfId="44848" hidden="1"/>
    <cellStyle name="Гиперссылка 2" xfId="44860" hidden="1"/>
    <cellStyle name="Гиперссылка 2" xfId="44457" hidden="1"/>
    <cellStyle name="Гиперссылка 2" xfId="44846" hidden="1"/>
    <cellStyle name="Гиперссылка 2" xfId="44905" hidden="1"/>
    <cellStyle name="Гиперссылка 2" xfId="44904" hidden="1"/>
    <cellStyle name="Гиперссылка 2" xfId="44912" hidden="1"/>
    <cellStyle name="Гиперссылка 2" xfId="44913" hidden="1"/>
    <cellStyle name="Гиперссылка 2" xfId="44918" hidden="1"/>
    <cellStyle name="Гиперссылка 2" xfId="44919" hidden="1"/>
    <cellStyle name="Гиперссылка 2" xfId="44915" hidden="1"/>
    <cellStyle name="Гиперссылка 2" xfId="44914" hidden="1"/>
    <cellStyle name="Гиперссылка 2" xfId="44917" hidden="1"/>
    <cellStyle name="Гиперссылка 2" xfId="44916" hidden="1"/>
    <cellStyle name="Гиперссылка 2" xfId="44921" hidden="1"/>
    <cellStyle name="Гиперссылка 2" xfId="44920" hidden="1"/>
    <cellStyle name="Гиперссылка 2" xfId="44922" hidden="1"/>
    <cellStyle name="Гиперссылка 2" xfId="44923" hidden="1"/>
    <cellStyle name="Гиперссылка 2" xfId="44928" hidden="1"/>
    <cellStyle name="Гиперссылка 2" xfId="44929" hidden="1"/>
    <cellStyle name="Гиперссылка 2" xfId="44925" hidden="1"/>
    <cellStyle name="Гиперссылка 2" xfId="44924" hidden="1"/>
    <cellStyle name="Гиперссылка 2" xfId="44927" hidden="1"/>
    <cellStyle name="Гиперссылка 2" xfId="44926" hidden="1"/>
    <cellStyle name="Гиперссылка 2" xfId="44931" hidden="1"/>
    <cellStyle name="Гиперссылка 2" xfId="44930" hidden="1"/>
    <cellStyle name="Гиперссылка 2" xfId="44932" hidden="1"/>
    <cellStyle name="Гиперссылка 2" xfId="44933" hidden="1"/>
    <cellStyle name="Гиперссылка 2" xfId="44938" hidden="1"/>
    <cellStyle name="Гиперссылка 2" xfId="44939" hidden="1"/>
    <cellStyle name="Гиперссылка 2" xfId="44935" hidden="1"/>
    <cellStyle name="Гиперссылка 2" xfId="44934" hidden="1"/>
    <cellStyle name="Гиперссылка 2" xfId="44937" hidden="1"/>
    <cellStyle name="Гиперссылка 2" xfId="44936" hidden="1"/>
    <cellStyle name="Гиперссылка 2" xfId="44941" hidden="1"/>
    <cellStyle name="Гиперссылка 2" xfId="44940" hidden="1"/>
    <cellStyle name="Гиперссылка 2" xfId="44847" hidden="1"/>
    <cellStyle name="Гиперссылка 2" xfId="43541" hidden="1"/>
    <cellStyle name="Гиперссылка 2" xfId="43274" hidden="1"/>
    <cellStyle name="Гиперссылка 2" xfId="37774" hidden="1"/>
    <cellStyle name="Гиперссылка 2" xfId="44897" hidden="1"/>
    <cellStyle name="Гиперссылка 2" xfId="44910" hidden="1"/>
    <cellStyle name="Гиперссылка 2" xfId="44533" hidden="1"/>
    <cellStyle name="Гиперссылка 2" xfId="44894" hidden="1"/>
    <cellStyle name="Гиперссылка 2" xfId="44954" hidden="1"/>
    <cellStyle name="Гиперссылка 2" xfId="44953" hidden="1"/>
    <cellStyle name="Гиперссылка 2" xfId="44958" hidden="1"/>
    <cellStyle name="Гиперссылка 2" xfId="44959" hidden="1"/>
    <cellStyle name="Гиперссылка 2" xfId="44964" hidden="1"/>
    <cellStyle name="Гиперссылка 2" xfId="44965" hidden="1"/>
    <cellStyle name="Гиперссылка 2" xfId="44961" hidden="1"/>
    <cellStyle name="Гиперссылка 2" xfId="44960" hidden="1"/>
    <cellStyle name="Гиперссылка 2" xfId="44963" hidden="1"/>
    <cellStyle name="Гиперссылка 2" xfId="44962" hidden="1"/>
    <cellStyle name="Гиперссылка 2" xfId="44967" hidden="1"/>
    <cellStyle name="Гиперссылка 2" xfId="44966" hidden="1"/>
    <cellStyle name="Гиперссылка 2" xfId="44969" hidden="1"/>
    <cellStyle name="Гиперссылка 2" xfId="44970" hidden="1"/>
    <cellStyle name="Гиперссылка 2" xfId="44975" hidden="1"/>
    <cellStyle name="Гиперссылка 2" xfId="44976" hidden="1"/>
    <cellStyle name="Гиперссылка 2" xfId="44972" hidden="1"/>
    <cellStyle name="Гиперссылка 2" xfId="44971" hidden="1"/>
    <cellStyle name="Гиперссылка 2" xfId="44974" hidden="1"/>
    <cellStyle name="Гиперссылка 2" xfId="44973" hidden="1"/>
    <cellStyle name="Гиперссылка 2" xfId="44978" hidden="1"/>
    <cellStyle name="Гиперссылка 2" xfId="44977" hidden="1"/>
    <cellStyle name="Гиперссылка 2" xfId="44979" hidden="1"/>
    <cellStyle name="Гиперссылка 2" xfId="44980" hidden="1"/>
    <cellStyle name="Гиперссылка 2" xfId="44985" hidden="1"/>
    <cellStyle name="Гиперссылка 2" xfId="44986" hidden="1"/>
    <cellStyle name="Гиперссылка 2" xfId="44982" hidden="1"/>
    <cellStyle name="Гиперссылка 2" xfId="44981" hidden="1"/>
    <cellStyle name="Гиперссылка 2" xfId="44984" hidden="1"/>
    <cellStyle name="Гиперссылка 2" xfId="44983" hidden="1"/>
    <cellStyle name="Гиперссылка 2" xfId="44988" hidden="1"/>
    <cellStyle name="Гиперссылка 2" xfId="44987" hidden="1"/>
    <cellStyle name="Гиперссылка 2" xfId="44895" hidden="1"/>
    <cellStyle name="Гиперссылка 2" xfId="44452" hidden="1"/>
    <cellStyle name="Гиперссылка 2" xfId="43767" hidden="1"/>
    <cellStyle name="Гиперссылка 2" xfId="43706" hidden="1"/>
    <cellStyle name="Гиперссылка 2" xfId="44945" hidden="1"/>
    <cellStyle name="Гиперссылка 2" xfId="44957" hidden="1"/>
    <cellStyle name="Гиперссылка 2" xfId="44751" hidden="1"/>
    <cellStyle name="Гиперссылка 2" xfId="44943" hidden="1"/>
    <cellStyle name="Гиперссылка 2" xfId="44997" hidden="1"/>
    <cellStyle name="Гиперссылка 2" xfId="44996" hidden="1"/>
    <cellStyle name="Гиперссылка 2" xfId="45001" hidden="1"/>
    <cellStyle name="Гиперссылка 2" xfId="45002" hidden="1"/>
    <cellStyle name="Гиперссылка 2" xfId="45007" hidden="1"/>
    <cellStyle name="Гиперссылка 2" xfId="45008" hidden="1"/>
    <cellStyle name="Гиперссылка 2" xfId="45004" hidden="1"/>
    <cellStyle name="Гиперссылка 2" xfId="45003" hidden="1"/>
    <cellStyle name="Гиперссылка 2" xfId="45006" hidden="1"/>
    <cellStyle name="Гиперссылка 2" xfId="45005" hidden="1"/>
    <cellStyle name="Гиперссылка 2" xfId="45010" hidden="1"/>
    <cellStyle name="Гиперссылка 2" xfId="45009" hidden="1"/>
    <cellStyle name="Гиперссылка 2" xfId="45011" hidden="1"/>
    <cellStyle name="Гиперссылка 2" xfId="45012" hidden="1"/>
    <cellStyle name="Гиперссылка 2" xfId="45017" hidden="1"/>
    <cellStyle name="Гиперссылка 2" xfId="45018" hidden="1"/>
    <cellStyle name="Гиперссылка 2" xfId="45014" hidden="1"/>
    <cellStyle name="Гиперссылка 2" xfId="45013" hidden="1"/>
    <cellStyle name="Гиперссылка 2" xfId="45016" hidden="1"/>
    <cellStyle name="Гиперссылка 2" xfId="45015" hidden="1"/>
    <cellStyle name="Гиперссылка 2" xfId="45020" hidden="1"/>
    <cellStyle name="Гиперссылка 2" xfId="45019" hidden="1"/>
    <cellStyle name="Гиперссылка 2" xfId="45021" hidden="1"/>
    <cellStyle name="Гиперссылка 2" xfId="45022" hidden="1"/>
    <cellStyle name="Гиперссылка 2" xfId="45027" hidden="1"/>
    <cellStyle name="Гиперссылка 2" xfId="45028" hidden="1"/>
    <cellStyle name="Гиперссылка 2" xfId="45024" hidden="1"/>
    <cellStyle name="Гиперссылка 2" xfId="45023" hidden="1"/>
    <cellStyle name="Гиперссылка 2" xfId="45026" hidden="1"/>
    <cellStyle name="Гиперссылка 2" xfId="45025" hidden="1"/>
    <cellStyle name="Гиперссылка 2" xfId="45030" hidden="1"/>
    <cellStyle name="Гиперссылка 2" xfId="45029" hidden="1"/>
    <cellStyle name="Гиперссылка 2" xfId="44944" hidden="1"/>
    <cellStyle name="Гиперссылка 2" xfId="44328" hidden="1"/>
    <cellStyle name="Гиперссылка 2" xfId="44794" hidden="1"/>
    <cellStyle name="Гиперссылка 2" xfId="43555" hidden="1"/>
    <cellStyle name="Гиперссылка 2" xfId="44990" hidden="1"/>
    <cellStyle name="Гиперссылка 2" xfId="45000" hidden="1"/>
    <cellStyle name="Гиперссылка 2" xfId="44803" hidden="1"/>
    <cellStyle name="Гиперссылка 2" xfId="44989" hidden="1"/>
    <cellStyle name="Гиперссылка 2" xfId="45032" hidden="1"/>
    <cellStyle name="Гиперссылка 2" xfId="45031" hidden="1"/>
    <cellStyle name="Гиперссылка 2" xfId="45033" hidden="1"/>
    <cellStyle name="Гиперссылка 2" xfId="45034" hidden="1"/>
    <cellStyle name="Гиперссылка 2" xfId="45039" hidden="1"/>
    <cellStyle name="Гиперссылка 2" xfId="45040" hidden="1"/>
    <cellStyle name="Гиперссылка 2" xfId="45036" hidden="1"/>
    <cellStyle name="Гиперссылка 2" xfId="45035" hidden="1"/>
    <cellStyle name="Гиперссылка 2" xfId="45038" hidden="1"/>
    <cellStyle name="Гиперссылка 2" xfId="45037" hidden="1"/>
    <cellStyle name="Гиперссылка 2" xfId="45042" hidden="1"/>
    <cellStyle name="Гиперссылка 2" xfId="45041" hidden="1"/>
    <cellStyle name="Гиперссылка 2" xfId="45043" hidden="1"/>
    <cellStyle name="Гиперссылка 2" xfId="45044" hidden="1"/>
    <cellStyle name="Гиперссылка 2" xfId="45049" hidden="1"/>
    <cellStyle name="Гиперссылка 2" xfId="45050" hidden="1"/>
    <cellStyle name="Гиперссылка 2" xfId="45046" hidden="1"/>
    <cellStyle name="Гиперссылка 2" xfId="45045" hidden="1"/>
    <cellStyle name="Гиперссылка 2" xfId="45048" hidden="1"/>
    <cellStyle name="Гиперссылка 2" xfId="45047" hidden="1"/>
    <cellStyle name="Гиперссылка 2" xfId="45052" hidden="1"/>
    <cellStyle name="Гиперссылка 2" xfId="45051" hidden="1"/>
    <cellStyle name="Гиперссылка 2" xfId="45053" hidden="1"/>
    <cellStyle name="Гиперссылка 2" xfId="45054" hidden="1"/>
    <cellStyle name="Гиперссылка 2" xfId="45059" hidden="1"/>
    <cellStyle name="Гиперссылка 2" xfId="45060" hidden="1"/>
    <cellStyle name="Гиперссылка 2" xfId="45056" hidden="1"/>
    <cellStyle name="Гиперссылка 2" xfId="45055" hidden="1"/>
    <cellStyle name="Гиперссылка 2" xfId="45058" hidden="1"/>
    <cellStyle name="Гиперссылка 2" xfId="45057" hidden="1"/>
    <cellStyle name="Гиперссылка 2" xfId="45062" hidden="1"/>
    <cellStyle name="Гиперссылка 2" xfId="45061" hidden="1"/>
    <cellStyle name="Гиперссылка 2" xfId="43693" hidden="1"/>
    <cellStyle name="Гиперссылка 2" xfId="43321" hidden="1"/>
    <cellStyle name="Гиперссылка 2" xfId="44859" hidden="1"/>
    <cellStyle name="Гиперссылка 2" xfId="43316" hidden="1"/>
    <cellStyle name="Гиперссылка 2" xfId="43323" hidden="1"/>
    <cellStyle name="Гиперссылка 2" xfId="43276" hidden="1"/>
    <cellStyle name="Гиперссылка 2" xfId="44640" hidden="1"/>
    <cellStyle name="Гиперссылка 2" xfId="43694" hidden="1"/>
    <cellStyle name="Гиперссылка 2" xfId="44463" hidden="1"/>
    <cellStyle name="Гиперссылка 2" xfId="44015" hidden="1"/>
    <cellStyle name="Гиперссылка 2" xfId="44950" hidden="1"/>
    <cellStyle name="Гиперссылка 2" xfId="44853" hidden="1"/>
    <cellStyle name="Гиперссылка 2" xfId="44632" hidden="1"/>
    <cellStyle name="Гиперссылка 2" xfId="43210" hidden="1"/>
    <cellStyle name="Гиперссылка 2" xfId="44808" hidden="1"/>
    <cellStyle name="Гиперссылка 2" xfId="44902" hidden="1"/>
    <cellStyle name="Гиперссылка 2" xfId="43390" hidden="1"/>
    <cellStyle name="Гиперссылка 2" xfId="43201" hidden="1"/>
    <cellStyle name="Гиперссылка 2" xfId="43771" hidden="1"/>
    <cellStyle name="Гиперссылка 2" xfId="43864" hidden="1"/>
    <cellStyle name="Гиперссылка 2" xfId="43219" hidden="1"/>
    <cellStyle name="Гиперссылка 2" xfId="44521" hidden="1"/>
    <cellStyle name="Гиперссылка 2" xfId="43341" hidden="1"/>
    <cellStyle name="Гиперссылка 2" xfId="43215" hidden="1"/>
    <cellStyle name="Гиперссылка 2" xfId="44448" hidden="1"/>
    <cellStyle name="Гиперссылка 2" xfId="43242" hidden="1"/>
    <cellStyle name="Гиперссылка 2" xfId="44447" hidden="1"/>
    <cellStyle name="Гиперссылка 2" xfId="43753" hidden="1"/>
    <cellStyle name="Гиперссылка 2" xfId="44026" hidden="1"/>
    <cellStyle name="Гиперссылка 2" xfId="43310" hidden="1"/>
    <cellStyle name="Гиперссылка 2" xfId="44218" hidden="1"/>
    <cellStyle name="Гиперссылка 2" xfId="44144" hidden="1"/>
    <cellStyle name="Гиперссылка 2" xfId="43598" hidden="1"/>
    <cellStyle name="Гиперссылка 2" xfId="44004" hidden="1"/>
    <cellStyle name="Гиперссылка 2" xfId="44018" hidden="1"/>
    <cellStyle name="Гиперссылка 2" xfId="44453" hidden="1"/>
    <cellStyle name="Гиперссылка 2" xfId="43216" hidden="1"/>
    <cellStyle name="Гиперссылка 2" xfId="43305" hidden="1"/>
    <cellStyle name="Гиперссылка 2" xfId="43298" hidden="1"/>
    <cellStyle name="Гиперссылка 2" xfId="43611" hidden="1"/>
    <cellStyle name="Гиперссылка 2" xfId="43945" hidden="1"/>
    <cellStyle name="Гиперссылка 2" xfId="43478" hidden="1"/>
    <cellStyle name="Гиперссылка 2" xfId="43764" hidden="1"/>
    <cellStyle name="Гиперссылка 2" xfId="43525" hidden="1"/>
    <cellStyle name="Гиперссылка 2" xfId="44474" hidden="1"/>
    <cellStyle name="Гиперссылка 2" xfId="43318" hidden="1"/>
    <cellStyle name="Гиперссылка 2" xfId="44898" hidden="1"/>
    <cellStyle name="Гиперссылка 2" xfId="44947" hidden="1"/>
    <cellStyle name="Гиперссылка 2" xfId="43269" hidden="1"/>
    <cellStyle name="Гиперссылка 2" xfId="36957" hidden="1"/>
    <cellStyle name="Гиперссылка 2" xfId="43325" hidden="1"/>
    <cellStyle name="Гиперссылка 2" xfId="43718" hidden="1"/>
    <cellStyle name="Гиперссылка 2" xfId="44530" hidden="1"/>
    <cellStyle name="Гиперссылка 2" xfId="44001" hidden="1"/>
    <cellStyle name="Гиперссылка 2" xfId="43324" hidden="1"/>
    <cellStyle name="Гиперссылка 2" xfId="44594" hidden="1"/>
    <cellStyle name="Гиперссылка 2" xfId="44569" hidden="1"/>
    <cellStyle name="Гиперссылка 2" xfId="43510" hidden="1"/>
    <cellStyle name="Гиперссылка 2" xfId="43371" hidden="1"/>
    <cellStyle name="Гиперссылка 2" xfId="43999" hidden="1"/>
    <cellStyle name="Гиперссылка 2" xfId="44911" hidden="1"/>
    <cellStyle name="Гиперссылка 2" xfId="44814" hidden="1"/>
    <cellStyle name="Гиперссылка 2" xfId="44142" hidden="1"/>
    <cellStyle name="Гиперссылка 2" xfId="43896" hidden="1"/>
    <cellStyle name="Гиперссылка 2" xfId="44899" hidden="1"/>
    <cellStyle name="Гиперссылка 2" xfId="44992" hidden="1"/>
    <cellStyle name="Гиперссылка 2" xfId="44753" hidden="1"/>
    <cellStyle name="Гиперссылка 2" xfId="44805" hidden="1"/>
    <cellStyle name="Гиперссылка 2" xfId="43399" hidden="1"/>
    <cellStyle name="Гиперссылка 2" xfId="37067" hidden="1"/>
    <cellStyle name="Гиперссылка 2" xfId="44527" hidden="1"/>
    <cellStyle name="Гиперссылка 2" xfId="43929" hidden="1"/>
    <cellStyle name="Гиперссылка 2" xfId="44812" hidden="1"/>
    <cellStyle name="Гиперссылка 2" xfId="44573" hidden="1"/>
    <cellStyle name="Гиперссылка 2" xfId="44323" hidden="1"/>
    <cellStyle name="Гиперссылка 2" xfId="43286" hidden="1"/>
    <cellStyle name="Гиперссылка 2" xfId="44908" hidden="1"/>
    <cellStyle name="Гиперссылка 2" xfId="43514" hidden="1"/>
    <cellStyle name="Гиперссылка 2" xfId="44909" hidden="1"/>
    <cellStyle name="Гиперссылка 2" xfId="44955" hidden="1"/>
    <cellStyle name="Гиперссылка 2" xfId="43928" hidden="1"/>
    <cellStyle name="Гиперссылка 2" xfId="44642" hidden="1"/>
    <cellStyle name="Гиперссылка 2" xfId="44854" hidden="1"/>
    <cellStyle name="Гиперссылка 2" xfId="44089" hidden="1"/>
    <cellStyle name="Гиперссылка 2" xfId="43624" hidden="1"/>
    <cellStyle name="Гиперссылка 2" xfId="43805" hidden="1"/>
    <cellStyle name="Гиперссылка 2" xfId="44003" hidden="1"/>
    <cellStyle name="Гиперссылка 2" xfId="43561" hidden="1"/>
    <cellStyle name="Гиперссылка 2" xfId="43284" hidden="1"/>
    <cellStyle name="Гиперссылка 2" xfId="44469" hidden="1"/>
    <cellStyle name="Гиперссылка 2" xfId="43336" hidden="1"/>
    <cellStyle name="Гиперссылка 2" xfId="43918" hidden="1"/>
    <cellStyle name="Гиперссылка 2" xfId="43304" hidden="1"/>
    <cellStyle name="Гиперссылка 2" xfId="44222" hidden="1"/>
    <cellStyle name="Гиперссылка 2" xfId="44872" hidden="1"/>
    <cellStyle name="Гиперссылка 2" xfId="44101" hidden="1"/>
    <cellStyle name="Гиперссылка 2" xfId="43594" hidden="1"/>
    <cellStyle name="Гиперссылка 2" xfId="44769" hidden="1"/>
    <cellStyle name="Гиперссылка 2" xfId="43234" hidden="1"/>
    <cellStyle name="Гиперссылка 2" xfId="44023" hidden="1"/>
    <cellStyle name="Гиперссылка 2" xfId="43264" hidden="1"/>
    <cellStyle name="Гиперссылка 2" xfId="43218" hidden="1"/>
    <cellStyle name="Гиперссылка 2" xfId="43873" hidden="1"/>
    <cellStyle name="Гиперссылка 2" xfId="44509" hidden="1"/>
    <cellStyle name="Гиперссылка 2" xfId="44677" hidden="1"/>
    <cellStyle name="Гиперссылка 2" xfId="44407" hidden="1"/>
    <cellStyle name="Гиперссылка 2" xfId="36889" hidden="1"/>
    <cellStyle name="Гиперссылка 2" xfId="43496" hidden="1"/>
    <cellStyle name="Гиперссылка 2" xfId="43479" hidden="1"/>
    <cellStyle name="Гиперссылка 2" xfId="44411" hidden="1"/>
    <cellStyle name="Гиперссылка 2" xfId="43379" hidden="1"/>
    <cellStyle name="Гиперссылка 2" xfId="44029" hidden="1"/>
    <cellStyle name="Гиперссылка 2" xfId="43535" hidden="1"/>
    <cellStyle name="Гиперссылка 2" xfId="43208" hidden="1"/>
    <cellStyle name="Гиперссылка 2" xfId="43349" hidden="1"/>
    <cellStyle name="Гиперссылка 2" xfId="43374" hidden="1"/>
    <cellStyle name="Гиперссылка 2" xfId="43506" hidden="1"/>
    <cellStyle name="Гиперссылка 2" xfId="44019" hidden="1"/>
    <cellStyle name="Гиперссылка 2" xfId="44153" hidden="1"/>
    <cellStyle name="Гиперссылка 2" xfId="43638" hidden="1"/>
    <cellStyle name="Гиперссылка 2" xfId="44522" hidden="1"/>
    <cellStyle name="Гиперссылка 2" xfId="44575" hidden="1"/>
    <cellStyle name="Гиперссылка 2" xfId="44536" hidden="1"/>
    <cellStyle name="Гиперссылка 2" xfId="43754" hidden="1"/>
    <cellStyle name="Гиперссылка 2" xfId="43865" hidden="1"/>
    <cellStyle name="Гиперссылка 2" xfId="43424" hidden="1"/>
    <cellStyle name="Гиперссылка 2" xfId="44856" hidden="1"/>
    <cellStyle name="Гиперссылка 2" xfId="44510" hidden="1"/>
    <cellStyle name="Гиперссылка 2" xfId="43337" hidden="1"/>
    <cellStyle name="Гиперссылка 2" xfId="44403" hidden="1"/>
    <cellStyle name="Гиперссылка 2" xfId="43609" hidden="1"/>
    <cellStyle name="Гиперссылка 2" xfId="43948" hidden="1"/>
    <cellStyle name="Гиперссылка 2" xfId="44593" hidden="1"/>
    <cellStyle name="Гиперссылка 2" xfId="44410" hidden="1"/>
    <cellStyle name="Гиперссылка 2" xfId="44948" hidden="1"/>
    <cellStyle name="Гиперссылка 2" xfId="44679" hidden="1"/>
    <cellStyle name="Гиперссылка 2" xfId="44804" hidden="1"/>
    <cellStyle name="Гиперссылка 2" xfId="44851" hidden="1"/>
    <cellStyle name="Гиперссылка 2" xfId="44570" hidden="1"/>
    <cellStyle name="Гиперссылка 2" xfId="44268" hidden="1"/>
    <cellStyle name="Гиперссылка 2" xfId="43587" hidden="1"/>
    <cellStyle name="Гиперссылка 2" xfId="43270" hidden="1"/>
    <cellStyle name="Гиперссылка 2" xfId="43402" hidden="1"/>
    <cellStyle name="Гиперссылка 2" xfId="43925" hidden="1"/>
    <cellStyle name="Гиперссылка 2" xfId="44471" hidden="1"/>
    <cellStyle name="Гиперссылка 2" xfId="37283" hidden="1"/>
    <cellStyle name="Гиперссылка 2" xfId="43872" hidden="1"/>
    <cellStyle name="Гиперссылка 2" xfId="43458" hidden="1"/>
    <cellStyle name="Гиперссылка 2" xfId="44279" hidden="1"/>
    <cellStyle name="Гиперссылка 2" xfId="43678" hidden="1"/>
    <cellStyle name="Гиперссылка 2" xfId="36908" hidden="1"/>
    <cellStyle name="Гиперссылка 2" xfId="44165" hidden="1"/>
    <cellStyle name="Гиперссылка 2" xfId="43528" hidden="1"/>
    <cellStyle name="Гиперссылка 2" xfId="43791" hidden="1"/>
    <cellStyle name="Гиперссылка 2" xfId="44680" hidden="1"/>
    <cellStyle name="Гиперссылка 2" xfId="43593" hidden="1"/>
    <cellStyle name="Гиперссылка 2" xfId="43231" hidden="1"/>
    <cellStyle name="Гиперссылка 2" xfId="43294" hidden="1"/>
    <cellStyle name="Гиперссылка 2" xfId="43470" hidden="1"/>
    <cellStyle name="Гиперссылка 2" xfId="43476" hidden="1"/>
    <cellStyle name="Гиперссылка 2" xfId="43557" hidden="1"/>
    <cellStyle name="Гиперссылка 2" xfId="44791" hidden="1"/>
    <cellStyle name="Гиперссылка 2" xfId="44576" hidden="1"/>
    <cellStyle name="Гиперссылка 2" xfId="44534" hidden="1"/>
    <cellStyle name="Гиперссылка 2" xfId="44209" hidden="1"/>
    <cellStyle name="Гиперссылка 2" xfId="44801" hidden="1"/>
    <cellStyle name="Гиперссылка 2" xfId="43295" hidden="1"/>
    <cellStyle name="Гиперссылка 2" xfId="43623" hidden="1"/>
    <cellStyle name="Гиперссылка 2" xfId="44200" hidden="1"/>
    <cellStyle name="Гиперссылка 2" xfId="44636" hidden="1"/>
    <cellStyle name="Гиперссылка 2" xfId="44900" hidden="1"/>
    <cellStyle name="Гиперссылка 2" xfId="44806" hidden="1"/>
    <cellStyle name="Гиперссылка 2" xfId="43311" hidden="1"/>
    <cellStyle name="Гиперссылка 2" xfId="44213" hidden="1"/>
    <cellStyle name="Гиперссылка 2" xfId="43308" hidden="1"/>
    <cellStyle name="Гиперссылка 2" xfId="36929" hidden="1"/>
    <cellStyle name="Гиперссылка 2" xfId="43642" hidden="1"/>
    <cellStyle name="Гиперссылка 2" xfId="43761" hidden="1"/>
    <cellStyle name="Гиперссылка 2" xfId="43309" hidden="1"/>
    <cellStyle name="Гиперссылка 2" xfId="43703" hidden="1"/>
    <cellStyle name="Гиперссылка 2" xfId="44091" hidden="1"/>
    <cellStyle name="Гиперссылка 2" xfId="44283" hidden="1"/>
    <cellStyle name="Гиперссылка 2" xfId="44993" hidden="1"/>
    <cellStyle name="Гиперссылка 2" xfId="44901" hidden="1"/>
    <cellStyle name="Гиперссылка 2" xfId="43845" hidden="1"/>
    <cellStyle name="Гиперссылка 2" xfId="43940" hidden="1"/>
    <cellStyle name="Гиперссылка 2" xfId="43604" hidden="1"/>
    <cellStyle name="Гиперссылка 2" xfId="44529" hidden="1"/>
    <cellStyle name="Гиперссылка 2" xfId="43885" hidden="1"/>
    <cellStyle name="Гиперссылка 2" xfId="43597" hidden="1"/>
    <cellStyle name="Гиперссылка 2" xfId="43682" hidden="1"/>
    <cellStyle name="Гиперссылка 2" xfId="43351" hidden="1"/>
    <cellStyle name="Гиперссылка 2" xfId="43330" hidden="1"/>
    <cellStyle name="Гиперссылка 2" xfId="44633" hidden="1"/>
    <cellStyle name="Гиперссылка 2" xfId="43461" hidden="1"/>
    <cellStyle name="Гиперссылка 2" xfId="43202" hidden="1"/>
    <cellStyle name="Гиперссылка 2" xfId="44070" hidden="1"/>
    <cellStyle name="Гиперссылка 2" xfId="43568" hidden="1"/>
    <cellStyle name="Гиперссылка 2" xfId="44266" hidden="1"/>
    <cellStyle name="Гиперссылка 2" xfId="43770" hidden="1"/>
    <cellStyle name="Гиперссылка 2" xfId="43393" hidden="1"/>
    <cellStyle name="Гиперссылка 2" xfId="43759" hidden="1"/>
    <cellStyle name="Гиперссылка 2" xfId="43988" hidden="1"/>
    <cellStyle name="Гиперссылка 2" xfId="44011" hidden="1"/>
    <cellStyle name="Гиперссылка 2" xfId="44949" hidden="1"/>
    <cellStyle name="Гиперссылка 2" xfId="43457" hidden="1"/>
    <cellStyle name="Гиперссылка 2" xfId="44014" hidden="1"/>
    <cellStyle name="Гиперссылка 2" xfId="44952" hidden="1"/>
    <cellStyle name="Гиперссылка 2" xfId="44262" hidden="1"/>
    <cellStyle name="Гиперссылка 2" xfId="44211" hidden="1"/>
    <cellStyle name="Гиперссылка 2" xfId="44968" hidden="1"/>
    <cellStyle name="Гиперссылка 2" xfId="44873" hidden="1"/>
    <cellStyle name="Гиперссылка 2" xfId="43861" hidden="1"/>
    <cellStyle name="Гиперссылка 2" xfId="36878" hidden="1"/>
    <cellStyle name="Гиперссылка 2" xfId="44402" hidden="1"/>
    <cellStyle name="Гиперссылка 2" xfId="43372" hidden="1"/>
    <cellStyle name="Гиперссылка 2" xfId="44578" hidden="1"/>
    <cellStyle name="Гиперссылка 2" xfId="44277" hidden="1"/>
    <cellStyle name="Гиперссылка 2" xfId="44013" hidden="1"/>
    <cellStyle name="Гиперссылка 2" xfId="44094" hidden="1"/>
    <cellStyle name="Гиперссылка 2" xfId="37539" hidden="1"/>
    <cellStyle name="Гиперссылка 2" xfId="44515" hidden="1"/>
    <cellStyle name="Гиперссылка 2" xfId="44016" hidden="1"/>
    <cellStyle name="Гиперссылка 2" xfId="44994" hidden="1"/>
    <cellStyle name="Гиперссылка 2" xfId="44139" hidden="1"/>
    <cellStyle name="Гиперссылка 2" xfId="44449" hidden="1"/>
    <cellStyle name="Гиперссылка 2" xfId="44267" hidden="1"/>
    <cellStyle name="Гиперссылка 2" xfId="43520" hidden="1"/>
    <cellStyle name="Гиперссылка 2" xfId="44807" hidden="1"/>
    <cellStyle name="Гиперссылка 2" xfId="44855" hidden="1"/>
    <cellStyle name="Гиперссылка 2" xfId="43676" hidden="1"/>
    <cellStyle name="Гиперссылка 2" xfId="43391" hidden="1"/>
    <cellStyle name="Гиперссылка 2" xfId="43338" hidden="1"/>
    <cellStyle name="Гиперссылка 2" xfId="44512" hidden="1"/>
    <cellStyle name="Гиперссылка 2" xfId="44456" hidden="1"/>
    <cellStyle name="Гиперссылка 2" xfId="44466" hidden="1"/>
    <cellStyle name="Гиперссылка 2" xfId="44455" hidden="1"/>
    <cellStyle name="Гиперссылка 2" xfId="43350" hidden="1"/>
    <cellStyle name="Гиперссылка 2" xfId="43712" hidden="1"/>
    <cellStyle name="Гиперссылка 2" xfId="43238" hidden="1"/>
    <cellStyle name="Гиперссылка 2" xfId="44903" hidden="1"/>
    <cellStyle name="Гиперссылка 2" xfId="44946" hidden="1"/>
    <cellStyle name="Гиперссылка 2" xfId="36960" hidden="1"/>
    <cellStyle name="Гиперссылка 2" xfId="43628" hidden="1"/>
    <cellStyle name="Гиперссылка 2" xfId="44999" hidden="1"/>
    <cellStyle name="Гиперссылка 2" xfId="44517" hidden="1"/>
    <cellStyle name="Гиперссылка 2" xfId="44907" hidden="1"/>
    <cellStyle name="Гиперссылка 2" xfId="43858" hidden="1"/>
    <cellStyle name="Гиперссылка 2" xfId="45066" hidden="1"/>
    <cellStyle name="Гиперссылка 2" xfId="45065" hidden="1"/>
    <cellStyle name="Гиперссылка 2" xfId="45072" hidden="1"/>
    <cellStyle name="Гиперссылка 2" xfId="45073" hidden="1"/>
    <cellStyle name="Гиперссылка 2" xfId="45078" hidden="1"/>
    <cellStyle name="Гиперссылка 2" xfId="45079" hidden="1"/>
    <cellStyle name="Гиперссылка 2" xfId="45075" hidden="1"/>
    <cellStyle name="Гиперссылка 2" xfId="45074" hidden="1"/>
    <cellStyle name="Гиперссылка 2" xfId="45077" hidden="1"/>
    <cellStyle name="Гиперссылка 2" xfId="45076" hidden="1"/>
    <cellStyle name="Гиперссылка 2" xfId="45081" hidden="1"/>
    <cellStyle name="Гиперссылка 2" xfId="45080" hidden="1"/>
    <cellStyle name="Гиперссылка 2" xfId="45082" hidden="1"/>
    <cellStyle name="Гиперссылка 2" xfId="45083" hidden="1"/>
    <cellStyle name="Гиперссылка 2" xfId="45088" hidden="1"/>
    <cellStyle name="Гиперссылка 2" xfId="45089" hidden="1"/>
    <cellStyle name="Гиперссылка 2" xfId="45085" hidden="1"/>
    <cellStyle name="Гиперссылка 2" xfId="45084" hidden="1"/>
    <cellStyle name="Гиперссылка 2" xfId="45087" hidden="1"/>
    <cellStyle name="Гиперссылка 2" xfId="45086" hidden="1"/>
    <cellStyle name="Гиперссылка 2" xfId="45091" hidden="1"/>
    <cellStyle name="Гиперссылка 2" xfId="45090" hidden="1"/>
    <cellStyle name="Гиперссылка 2" xfId="45092" hidden="1"/>
    <cellStyle name="Гиперссылка 2" xfId="45093" hidden="1"/>
    <cellStyle name="Гиперссылка 2" xfId="45098" hidden="1"/>
    <cellStyle name="Гиперссылка 2" xfId="45099" hidden="1"/>
    <cellStyle name="Гиперссылка 2" xfId="45095" hidden="1"/>
    <cellStyle name="Гиперссылка 2" xfId="45094" hidden="1"/>
    <cellStyle name="Гиперссылка 2" xfId="45097" hidden="1"/>
    <cellStyle name="Гиперссылка 2" xfId="45096" hidden="1"/>
    <cellStyle name="Гиперссылка 2" xfId="45101" hidden="1"/>
    <cellStyle name="Гиперссылка 2" xfId="45100" hidden="1"/>
    <cellStyle name="Гиперссылка 2" xfId="43704" hidden="1"/>
    <cellStyle name="Гиперссылка 2" xfId="43689" hidden="1"/>
    <cellStyle name="Гиперссылка 2" xfId="44675" hidden="1"/>
    <cellStyle name="Гиперссылка 2" xfId="43635" hidden="1"/>
    <cellStyle name="Гиперссылка 2" xfId="44845" hidden="1"/>
    <cellStyle name="Гиперссылка 2" xfId="45068" hidden="1"/>
    <cellStyle name="Гиперссылка 2" xfId="44025" hidden="1"/>
    <cellStyle name="Гиперссылка 2" xfId="43760" hidden="1"/>
    <cellStyle name="Гиперссылка 2" xfId="45113" hidden="1"/>
    <cellStyle name="Гиперссылка 2" xfId="45112" hidden="1"/>
    <cellStyle name="Гиперссылка 2" xfId="45115" hidden="1"/>
    <cellStyle name="Гиперссылка 2" xfId="45116" hidden="1"/>
    <cellStyle name="Гиперссылка 2" xfId="45121" hidden="1"/>
    <cellStyle name="Гиперссылка 2" xfId="45122" hidden="1"/>
    <cellStyle name="Гиперссылка 2" xfId="45118" hidden="1"/>
    <cellStyle name="Гиперссылка 2" xfId="45117" hidden="1"/>
    <cellStyle name="Гиперссылка 2" xfId="45120" hidden="1"/>
    <cellStyle name="Гиперссылка 2" xfId="45119" hidden="1"/>
    <cellStyle name="Гиперссылка 2" xfId="45124" hidden="1"/>
    <cellStyle name="Гиперссылка 2" xfId="45123" hidden="1"/>
    <cellStyle name="Гиперссылка 2" xfId="45125" hidden="1"/>
    <cellStyle name="Гиперссылка 2" xfId="45126" hidden="1"/>
    <cellStyle name="Гиперссылка 2" xfId="45131" hidden="1"/>
    <cellStyle name="Гиперссылка 2" xfId="45132" hidden="1"/>
    <cellStyle name="Гиперссылка 2" xfId="45128" hidden="1"/>
    <cellStyle name="Гиперссылка 2" xfId="45127" hidden="1"/>
    <cellStyle name="Гиперссылка 2" xfId="45130" hidden="1"/>
    <cellStyle name="Гиперссылка 2" xfId="45129" hidden="1"/>
    <cellStyle name="Гиперссылка 2" xfId="45134" hidden="1"/>
    <cellStyle name="Гиперссылка 2" xfId="45133" hidden="1"/>
    <cellStyle name="Гиперссылка 2" xfId="45135" hidden="1"/>
    <cellStyle name="Гиперссылка 2" xfId="45136" hidden="1"/>
    <cellStyle name="Гиперссылка 2" xfId="45141" hidden="1"/>
    <cellStyle name="Гиперссылка 2" xfId="45142" hidden="1"/>
    <cellStyle name="Гиперссылка 2" xfId="45138" hidden="1"/>
    <cellStyle name="Гиперссылка 2" xfId="45137" hidden="1"/>
    <cellStyle name="Гиперссылка 2" xfId="45140" hidden="1"/>
    <cellStyle name="Гиперссылка 2" xfId="45139" hidden="1"/>
    <cellStyle name="Гиперссылка 2" xfId="45144" hidden="1"/>
    <cellStyle name="Гиперссылка 2" xfId="45143" hidden="1"/>
    <cellStyle name="Гиперссылка 2" xfId="43326" hidden="1"/>
    <cellStyle name="Гиперссылка 2" xfId="44227" hidden="1"/>
    <cellStyle name="Гиперссылка 2" xfId="43709" hidden="1"/>
    <cellStyle name="Гиперссылка 2" xfId="44906" hidden="1"/>
    <cellStyle name="Гиперссылка 2" xfId="45107" hidden="1"/>
    <cellStyle name="Гиперссылка 2" xfId="45114" hidden="1"/>
    <cellStyle name="Гиперссылка 2" xfId="44140" hidden="1"/>
    <cellStyle name="Гиперссылка 2" xfId="45103" hidden="1"/>
    <cellStyle name="Гиперссылка 2" xfId="45156" hidden="1"/>
    <cellStyle name="Гиперссылка 2" xfId="45155" hidden="1"/>
    <cellStyle name="Гиперссылка 2" xfId="45159" hidden="1"/>
    <cellStyle name="Гиперссылка 2" xfId="45160" hidden="1"/>
    <cellStyle name="Гиперссылка 2" xfId="45165" hidden="1"/>
    <cellStyle name="Гиперссылка 2" xfId="45166" hidden="1"/>
    <cellStyle name="Гиперссылка 2" xfId="45162" hidden="1"/>
    <cellStyle name="Гиперссылка 2" xfId="45161" hidden="1"/>
    <cellStyle name="Гиперссылка 2" xfId="45164" hidden="1"/>
    <cellStyle name="Гиперссылка 2" xfId="45163" hidden="1"/>
    <cellStyle name="Гиперссылка 2" xfId="45168" hidden="1"/>
    <cellStyle name="Гиперссылка 2" xfId="45167" hidden="1"/>
    <cellStyle name="Гиперссылка 2" xfId="45169" hidden="1"/>
    <cellStyle name="Гиперссылка 2" xfId="45170" hidden="1"/>
    <cellStyle name="Гиперссылка 2" xfId="45175" hidden="1"/>
    <cellStyle name="Гиперссылка 2" xfId="45176" hidden="1"/>
    <cellStyle name="Гиперссылка 2" xfId="45172" hidden="1"/>
    <cellStyle name="Гиперссылка 2" xfId="45171" hidden="1"/>
    <cellStyle name="Гиперссылка 2" xfId="45174" hidden="1"/>
    <cellStyle name="Гиперссылка 2" xfId="45173" hidden="1"/>
    <cellStyle name="Гиперссылка 2" xfId="45178" hidden="1"/>
    <cellStyle name="Гиперссылка 2" xfId="45177" hidden="1"/>
    <cellStyle name="Гиперссылка 2" xfId="45179" hidden="1"/>
    <cellStyle name="Гиперссылка 2" xfId="45180" hidden="1"/>
    <cellStyle name="Гиперссылка 2" xfId="45185" hidden="1"/>
    <cellStyle name="Гиперссылка 2" xfId="45186" hidden="1"/>
    <cellStyle name="Гиперссылка 2" xfId="45182" hidden="1"/>
    <cellStyle name="Гиперссылка 2" xfId="45181" hidden="1"/>
    <cellStyle name="Гиперссылка 2" xfId="45184" hidden="1"/>
    <cellStyle name="Гиперссылка 2" xfId="45183" hidden="1"/>
    <cellStyle name="Гиперссылка 2" xfId="45188" hidden="1"/>
    <cellStyle name="Гиперссылка 2" xfId="45187" hidden="1"/>
    <cellStyle name="Гиперссылка 2" xfId="45104" hidden="1"/>
    <cellStyle name="Гиперссылка 2" xfId="44752" hidden="1"/>
    <cellStyle name="Гиперссылка 2" xfId="43211" hidden="1"/>
    <cellStyle name="Гиперссылка 2" xfId="44160" hidden="1"/>
    <cellStyle name="Гиперссылка 2" xfId="45149" hidden="1"/>
    <cellStyle name="Гиперссылка 2" xfId="45157" hidden="1"/>
    <cellStyle name="Гиперссылка 2" xfId="44802" hidden="1"/>
    <cellStyle name="Гиперссылка 2" xfId="45145" hidden="1"/>
    <cellStyle name="Гиперссылка 2" xfId="45198" hidden="1"/>
    <cellStyle name="Гиперссылка 2" xfId="45197" hidden="1"/>
    <cellStyle name="Гиперссылка 2" xfId="45201" hidden="1"/>
    <cellStyle name="Гиперссылка 2" xfId="45202" hidden="1"/>
    <cellStyle name="Гиперссылка 2" xfId="45207" hidden="1"/>
    <cellStyle name="Гиперссылка 2" xfId="45208" hidden="1"/>
    <cellStyle name="Гиперссылка 2" xfId="45204" hidden="1"/>
    <cellStyle name="Гиперссылка 2" xfId="45203" hidden="1"/>
    <cellStyle name="Гиперссылка 2" xfId="45206" hidden="1"/>
    <cellStyle name="Гиперссылка 2" xfId="45205" hidden="1"/>
    <cellStyle name="Гиперссылка 2" xfId="45210" hidden="1"/>
    <cellStyle name="Гиперссылка 2" xfId="45209" hidden="1"/>
    <cellStyle name="Гиперссылка 2" xfId="45211" hidden="1"/>
    <cellStyle name="Гиперссылка 2" xfId="45212" hidden="1"/>
    <cellStyle name="Гиперссылка 2" xfId="45217" hidden="1"/>
    <cellStyle name="Гиперссылка 2" xfId="45218" hidden="1"/>
    <cellStyle name="Гиперссылка 2" xfId="45214" hidden="1"/>
    <cellStyle name="Гиперссылка 2" xfId="45213" hidden="1"/>
    <cellStyle name="Гиперссылка 2" xfId="45216" hidden="1"/>
    <cellStyle name="Гиперссылка 2" xfId="45215" hidden="1"/>
    <cellStyle name="Гиперссылка 2" xfId="45220" hidden="1"/>
    <cellStyle name="Гиперссылка 2" xfId="45219" hidden="1"/>
    <cellStyle name="Гиперссылка 2" xfId="45221" hidden="1"/>
    <cellStyle name="Гиперссылка 2" xfId="45222" hidden="1"/>
    <cellStyle name="Гиперссылка 2" xfId="45227" hidden="1"/>
    <cellStyle name="Гиперссылка 2" xfId="45228" hidden="1"/>
    <cellStyle name="Гиперссылка 2" xfId="45224" hidden="1"/>
    <cellStyle name="Гиперссылка 2" xfId="45223" hidden="1"/>
    <cellStyle name="Гиперссылка 2" xfId="45226" hidden="1"/>
    <cellStyle name="Гиперссылка 2" xfId="45225" hidden="1"/>
    <cellStyle name="Гиперссылка 2" xfId="45230" hidden="1"/>
    <cellStyle name="Гиперссылка 2" xfId="45229" hidden="1"/>
    <cellStyle name="Гиперссылка 2" xfId="45146" hidden="1"/>
    <cellStyle name="Гиперссылка 2" xfId="43800" hidden="1"/>
    <cellStyle name="Гиперссылка 2" xfId="43483" hidden="1"/>
    <cellStyle name="Гиперссылка 2" xfId="43836" hidden="1"/>
    <cellStyle name="Гиперссылка 2" xfId="45193" hidden="1"/>
    <cellStyle name="Гиперссылка 2" xfId="45199" hidden="1"/>
    <cellStyle name="Гиперссылка 2" xfId="44861" hidden="1"/>
    <cellStyle name="Гиперссылка 2" xfId="45190" hidden="1"/>
    <cellStyle name="Гиперссылка 2" xfId="45239" hidden="1"/>
    <cellStyle name="Гиперссылка 2" xfId="45238" hidden="1"/>
    <cellStyle name="Гиперссылка 2" xfId="45241" hidden="1"/>
    <cellStyle name="Гиперссылка 2" xfId="45242" hidden="1"/>
    <cellStyle name="Гиперссылка 2" xfId="45247" hidden="1"/>
    <cellStyle name="Гиперссылка 2" xfId="45248" hidden="1"/>
    <cellStyle name="Гиперссылка 2" xfId="45244" hidden="1"/>
    <cellStyle name="Гиперссылка 2" xfId="45243" hidden="1"/>
    <cellStyle name="Гиперссылка 2" xfId="45246" hidden="1"/>
    <cellStyle name="Гиперссылка 2" xfId="45245" hidden="1"/>
    <cellStyle name="Гиперссылка 2" xfId="45250" hidden="1"/>
    <cellStyle name="Гиперссылка 2" xfId="45249" hidden="1"/>
    <cellStyle name="Гиперссылка 2" xfId="45251" hidden="1"/>
    <cellStyle name="Гиперссылка 2" xfId="45252" hidden="1"/>
    <cellStyle name="Гиперссылка 2" xfId="45257" hidden="1"/>
    <cellStyle name="Гиперссылка 2" xfId="45258" hidden="1"/>
    <cellStyle name="Гиперссылка 2" xfId="45254" hidden="1"/>
    <cellStyle name="Гиперссылка 2" xfId="45253" hidden="1"/>
    <cellStyle name="Гиперссылка 2" xfId="45256" hidden="1"/>
    <cellStyle name="Гиперссылка 2" xfId="45255" hidden="1"/>
    <cellStyle name="Гиперссылка 2" xfId="45260" hidden="1"/>
    <cellStyle name="Гиперссылка 2" xfId="45259" hidden="1"/>
    <cellStyle name="Гиперссылка 2" xfId="45261" hidden="1"/>
    <cellStyle name="Гиперссылка 2" xfId="45262" hidden="1"/>
    <cellStyle name="Гиперссылка 2" xfId="45267" hidden="1"/>
    <cellStyle name="Гиперссылка 2" xfId="45268" hidden="1"/>
    <cellStyle name="Гиперссылка 2" xfId="45264" hidden="1"/>
    <cellStyle name="Гиперссылка 2" xfId="45263" hidden="1"/>
    <cellStyle name="Гиперссылка 2" xfId="45266" hidden="1"/>
    <cellStyle name="Гиперссылка 2" xfId="45265" hidden="1"/>
    <cellStyle name="Гиперссылка 2" xfId="45270" hidden="1"/>
    <cellStyle name="Гиперссылка 2" xfId="45269" hidden="1"/>
    <cellStyle name="Гиперссылка 2" xfId="45191" hidden="1"/>
    <cellStyle name="Гиперссылка 2" xfId="44798" hidden="1"/>
    <cellStyle name="Гиперссылка 2" xfId="43421" hidden="1"/>
    <cellStyle name="Гиперссылка 2" xfId="43783" hidden="1"/>
    <cellStyle name="Гиперссылка 2" xfId="45234" hidden="1"/>
    <cellStyle name="Гиперссылка 2" xfId="45240" hidden="1"/>
    <cellStyle name="Гиперссылка 2" xfId="45063" hidden="1"/>
    <cellStyle name="Гиперссылка 2" xfId="45231" hidden="1"/>
    <cellStyle name="Гиперссылка 2" xfId="45277" hidden="1"/>
    <cellStyle name="Гиперссылка 2" xfId="45276" hidden="1"/>
    <cellStyle name="Гиперссылка 2" xfId="45280" hidden="1"/>
    <cellStyle name="Гиперссылка 2" xfId="45281" hidden="1"/>
    <cellStyle name="Гиперссылка 2" xfId="45286" hidden="1"/>
    <cellStyle name="Гиперссылка 2" xfId="45287" hidden="1"/>
    <cellStyle name="Гиперссылка 2" xfId="45283" hidden="1"/>
    <cellStyle name="Гиперссылка 2" xfId="45282" hidden="1"/>
    <cellStyle name="Гиперссылка 2" xfId="45285" hidden="1"/>
    <cellStyle name="Гиперссылка 2" xfId="45284" hidden="1"/>
    <cellStyle name="Гиперссылка 2" xfId="45289" hidden="1"/>
    <cellStyle name="Гиперссылка 2" xfId="45288" hidden="1"/>
    <cellStyle name="Гиперссылка 2" xfId="45290" hidden="1"/>
    <cellStyle name="Гиперссылка 2" xfId="45291" hidden="1"/>
    <cellStyle name="Гиперссылка 2" xfId="45296" hidden="1"/>
    <cellStyle name="Гиперссылка 2" xfId="45297" hidden="1"/>
    <cellStyle name="Гиперссылка 2" xfId="45293" hidden="1"/>
    <cellStyle name="Гиперссылка 2" xfId="45292" hidden="1"/>
    <cellStyle name="Гиперссылка 2" xfId="45295" hidden="1"/>
    <cellStyle name="Гиперссылка 2" xfId="45294" hidden="1"/>
    <cellStyle name="Гиперссылка 2" xfId="45299" hidden="1"/>
    <cellStyle name="Гиперссылка 2" xfId="45298" hidden="1"/>
    <cellStyle name="Гиперссылка 2" xfId="45300" hidden="1"/>
    <cellStyle name="Гиперссылка 2" xfId="45301" hidden="1"/>
    <cellStyle name="Гиперссылка 2" xfId="45306" hidden="1"/>
    <cellStyle name="Гиперссылка 2" xfId="45307" hidden="1"/>
    <cellStyle name="Гиперссылка 2" xfId="45303" hidden="1"/>
    <cellStyle name="Гиперссылка 2" xfId="45302" hidden="1"/>
    <cellStyle name="Гиперссылка 2" xfId="45305" hidden="1"/>
    <cellStyle name="Гиперссылка 2" xfId="45304" hidden="1"/>
    <cellStyle name="Гиперссылка 2" xfId="45309" hidden="1"/>
    <cellStyle name="Гиперссылка 2" xfId="45308" hidden="1"/>
    <cellStyle name="Гиперссылка 2" xfId="45232" hidden="1"/>
    <cellStyle name="Гиперссылка 2" xfId="44682" hidden="1"/>
    <cellStyle name="Гиперссылка 2" xfId="45106" hidden="1"/>
    <cellStyle name="Гиперссылка 2" xfId="43531" hidden="1"/>
    <cellStyle name="Гиперссылка 2" xfId="45274" hidden="1"/>
    <cellStyle name="Гиперссылка 2" xfId="45278" hidden="1"/>
    <cellStyle name="Гиперссылка 2" xfId="45111" hidden="1"/>
    <cellStyle name="Гиперссылка 2" xfId="45272" hidden="1"/>
    <cellStyle name="Гиперссылка 2" xfId="45311" hidden="1"/>
    <cellStyle name="Гиперссылка 2" xfId="45310" hidden="1"/>
    <cellStyle name="Гиперссылка 2" xfId="45312" hidden="1"/>
    <cellStyle name="Гиперссылка 2" xfId="45313" hidden="1"/>
    <cellStyle name="Гиперссылка 2" xfId="45318" hidden="1"/>
    <cellStyle name="Гиперссылка 2" xfId="45319" hidden="1"/>
    <cellStyle name="Гиперссылка 2" xfId="45315" hidden="1"/>
    <cellStyle name="Гиперссылка 2" xfId="45314" hidden="1"/>
    <cellStyle name="Гиперссылка 2" xfId="45317" hidden="1"/>
    <cellStyle name="Гиперссылка 2" xfId="45316" hidden="1"/>
    <cellStyle name="Гиперссылка 2" xfId="45321" hidden="1"/>
    <cellStyle name="Гиперссылка 2" xfId="45320" hidden="1"/>
    <cellStyle name="Гиперссылка 2" xfId="45322" hidden="1"/>
    <cellStyle name="Гиперссылка 2" xfId="45323" hidden="1"/>
    <cellStyle name="Гиперссылка 2" xfId="45328" hidden="1"/>
    <cellStyle name="Гиперссылка 2" xfId="45329" hidden="1"/>
    <cellStyle name="Гиперссылка 2" xfId="45325" hidden="1"/>
    <cellStyle name="Гиперссылка 2" xfId="45324" hidden="1"/>
    <cellStyle name="Гиперссылка 2" xfId="45327" hidden="1"/>
    <cellStyle name="Гиперссылка 2" xfId="45326" hidden="1"/>
    <cellStyle name="Гиперссылка 2" xfId="45331" hidden="1"/>
    <cellStyle name="Гиперссылка 2" xfId="45330" hidden="1"/>
    <cellStyle name="Гиперссылка 2" xfId="45332" hidden="1"/>
    <cellStyle name="Гиперссылка 2" xfId="45333" hidden="1"/>
    <cellStyle name="Гиперссылка 2" xfId="45338" hidden="1"/>
    <cellStyle name="Гиперссылка 2" xfId="45339" hidden="1"/>
    <cellStyle name="Гиперссылка 2" xfId="45335" hidden="1"/>
    <cellStyle name="Гиперссылка 2" xfId="45334" hidden="1"/>
    <cellStyle name="Гиперссылка 2" xfId="45337" hidden="1"/>
    <cellStyle name="Гиперссылка 2" xfId="45336" hidden="1"/>
    <cellStyle name="Гиперссылка 2" xfId="45341" hidden="1"/>
    <cellStyle name="Гиперссылка 2" xfId="45340" hidden="1"/>
    <cellStyle name="Гиперссылка 2" xfId="44758" hidden="1"/>
    <cellStyle name="Гиперссылка 2" xfId="43596" hidden="1"/>
    <cellStyle name="Гиперссылка 2" xfId="44098" hidden="1"/>
    <cellStyle name="Гиперссылка 2" xfId="44066" hidden="1"/>
    <cellStyle name="Гиперссылка 2" xfId="45154" hidden="1"/>
    <cellStyle name="Гиперссылка 2" xfId="44443" hidden="1"/>
    <cellStyle name="Гиперссылка 2" xfId="43251" hidden="1"/>
    <cellStyle name="Гиперссылка 2" xfId="44506" hidden="1"/>
    <cellStyle name="Гиперссылка 2" xfId="43787" hidden="1"/>
    <cellStyle name="Гиперссылка 2" xfId="44531" hidden="1"/>
    <cellStyle name="Гиперссылка 2" xfId="45105" hidden="1"/>
    <cellStyle name="Гиперссылка 2" xfId="43715" hidden="1"/>
    <cellStyle name="Гиперссылка 2" xfId="43301" hidden="1"/>
    <cellStyle name="Гиперссылка 2" xfId="44757" hidden="1"/>
    <cellStyle name="Гиперссылка 2" xfId="43266" hidden="1"/>
    <cellStyle name="Гиперссылка 2" xfId="36969" hidden="1"/>
    <cellStyle name="Гиперссылка 2" xfId="44408" hidden="1"/>
    <cellStyle name="Гиперссылка 2" xfId="43385" hidden="1"/>
    <cellStyle name="Гиперссылка 2" xfId="44811" hidden="1"/>
    <cellStyle name="Гиперссылка 2" xfId="44998" hidden="1"/>
    <cellStyle name="Гиперссылка 2" xfId="45237" hidden="1"/>
    <cellStyle name="Гиперссылка 2" xfId="45152" hidden="1"/>
    <cellStyle name="Гиперссылка 2" xfId="43589" hidden="1"/>
    <cellStyle name="Гиперссылка 2" xfId="43299" hidden="1"/>
    <cellStyle name="Гиперссылка 2" xfId="45148" hidden="1"/>
    <cellStyle name="Гиперссылка 2" xfId="45233" hidden="1"/>
    <cellStyle name="Гиперссылка 2" xfId="43860" hidden="1"/>
    <cellStyle name="Гиперссылка 2" xfId="44942" hidden="1"/>
    <cellStyle name="Гиперссылка 2" xfId="43522" hidden="1"/>
    <cellStyle name="Гиперссылка 2" xfId="36875" hidden="1"/>
    <cellStyle name="Гиперссылка 2" xfId="44535" hidden="1"/>
    <cellStyle name="Гиперссылка 2" xfId="44400" hidden="1"/>
    <cellStyle name="Гиперссылка 2" xfId="43243" hidden="1"/>
    <cellStyle name="Гиперссылка 2" xfId="37542" hidden="1"/>
    <cellStyle name="Гиперссылка 2" xfId="43675" hidden="1"/>
    <cellStyle name="Гиперссылка 2" xfId="44024" hidden="1"/>
    <cellStyle name="Гиперссылка 2" xfId="45067" hidden="1"/>
    <cellStyle name="Гиперссылка 2" xfId="43254" hidden="1"/>
    <cellStyle name="Гиперссылка 2" xfId="43798" hidden="1"/>
    <cellStyle name="Гиперссылка 2" xfId="45109" hidden="1"/>
    <cellStyle name="Гиперссылка 2" xfId="43846" hidden="1"/>
    <cellStyle name="Гиперссылка 2" xfId="45071" hidden="1"/>
    <cellStyle name="Гиперссылка 2" xfId="45151" hidden="1"/>
    <cellStyle name="Гиперссылка 2" xfId="45069" hidden="1"/>
    <cellStyle name="Гиперссылка 2" xfId="43256" hidden="1"/>
    <cellStyle name="Гиперссылка 2" xfId="44956" hidden="1"/>
    <cellStyle name="Гиперссылка 2" xfId="44796" hidden="1"/>
    <cellStyle name="Гиперссылка 2" xfId="44145" hidden="1"/>
    <cellStyle name="Гиперссылка 2" xfId="44799" hidden="1"/>
    <cellStyle name="Гиперссылка 2" xfId="36899" hidden="1"/>
    <cellStyle name="Гиперссылка 2" xfId="44205" hidden="1"/>
    <cellStyle name="Гиперссылка 2" xfId="44795" hidden="1"/>
    <cellStyle name="Гиперссылка 2" xfId="45273" hidden="1"/>
    <cellStyle name="Гиперссылка 2" xfId="45192" hidden="1"/>
    <cellStyle name="Гиперссылка 2" xfId="43384" hidden="1"/>
    <cellStyle name="Гиперссылка 2" xfId="43519" hidden="1"/>
    <cellStyle name="Гиперссылка 2" xfId="44461" hidden="1"/>
    <cellStyle name="Гиперссылка 2" xfId="43498" hidden="1"/>
    <cellStyle name="Гиперссылка 2" xfId="45153" hidden="1"/>
    <cellStyle name="Гиперссылка 2" xfId="44065" hidden="1"/>
    <cellStyle name="Гиперссылка 2" xfId="44524" hidden="1"/>
    <cellStyle name="Гиперссылка 2" xfId="44852" hidden="1"/>
    <cellStyle name="Гиперссылка 2" xfId="43641" hidden="1"/>
    <cellStyle name="Гиперссылка 2" xfId="44514" hidden="1"/>
    <cellStyle name="Гиперссылка 2" xfId="44406" hidden="1"/>
    <cellStyle name="Гиперссылка 2" xfId="37291" hidden="1"/>
    <cellStyle name="Гиперссылка 2" xfId="44896" hidden="1"/>
    <cellStyle name="Гиперссылка 2" xfId="43681" hidden="1"/>
    <cellStyle name="Гиперссылка 2" xfId="43946" hidden="1"/>
    <cellStyle name="Гиперссылка 2" xfId="44590" hidden="1"/>
    <cellStyle name="Гиперссылка 2" xfId="44628" hidden="1"/>
    <cellStyle name="Гиперссылка 2" xfId="45196" hidden="1"/>
    <cellStyle name="Гиперссылка 2" xfId="45070" hidden="1"/>
    <cellStyle name="Гиперссылка 2" xfId="44027" hidden="1"/>
    <cellStyle name="Гиперссылка 2" xfId="45279" hidden="1"/>
    <cellStyle name="Гиперссылка 2" xfId="45064" hidden="1"/>
    <cellStyle name="Гиперссылка 2" xfId="45158" hidden="1"/>
    <cellStyle name="Гиперссылка 2" xfId="45200" hidden="1"/>
    <cellStyle name="Гиперссылка 2" xfId="43369" hidden="1"/>
    <cellStyle name="Гиперссылка 2" xfId="44800" hidden="1"/>
    <cellStyle name="Гиперссылка 2" xfId="45110" hidden="1"/>
    <cellStyle name="Гиперссылка 2" xfId="43714" hidden="1"/>
    <cellStyle name="Гиперссылка 2" xfId="43214" hidden="1"/>
    <cellStyle name="Гиперссылка 2" xfId="43951" hidden="1"/>
    <cellStyle name="Гиперссылка 2" xfId="43615" hidden="1"/>
    <cellStyle name="Гиперссылка 2" xfId="37072" hidden="1"/>
    <cellStyle name="Гиперссылка 2" xfId="43212" hidden="1"/>
    <cellStyle name="Гиперссылка 2" xfId="43631" hidden="1"/>
    <cellStyle name="Гиперссылка 2" xfId="44849" hidden="1"/>
    <cellStyle name="Гиперссылка 2" xfId="43253" hidden="1"/>
    <cellStyle name="Гиперссылка 2" xfId="45147" hidden="1"/>
    <cellStyle name="Гиперссылка 2" xfId="43677" hidden="1"/>
    <cellStyle name="Гиперссылка 2" xfId="43792" hidden="1"/>
    <cellStyle name="Гиперссылка 2" xfId="44271" hidden="1"/>
    <cellStyle name="Гиперссылка 2" xfId="43875" hidden="1"/>
    <cellStyle name="Гиперссылка 2" xfId="37791" hidden="1"/>
    <cellStyle name="Гиперссылка 2" xfId="44951" hidden="1"/>
    <cellStyle name="Гиперссылка 2" xfId="44064" hidden="1"/>
    <cellStyle name="Гиперссылка 2" xfId="44790" hidden="1"/>
    <cellStyle name="Гиперссылка 2" xfId="44513" hidden="1"/>
    <cellStyle name="Гиперссылка 2" xfId="45235" hidden="1"/>
    <cellStyle name="Гиперссылка 2" xfId="45150" hidden="1"/>
    <cellStyle name="Гиперссылка 2" xfId="44995" hidden="1"/>
    <cellStyle name="Гиперссылка 2" xfId="44333" hidden="1"/>
    <cellStyle name="Гиперссылка 2" xfId="45189" hidden="1"/>
    <cellStyle name="Гиперссылка 2" xfId="45271" hidden="1"/>
    <cellStyle name="Гиперссылка 2" xfId="43395" hidden="1"/>
    <cellStyle name="Гиперссылка 2" xfId="45102" hidden="1"/>
    <cellStyle name="Гиперссылка 2" xfId="43852" hidden="1"/>
    <cellStyle name="Гиперссылка 2" xfId="43955" hidden="1"/>
    <cellStyle name="Гиперссылка 2" xfId="44850" hidden="1"/>
    <cellStyle name="Гиперссылка 2" xfId="44288" hidden="1"/>
    <cellStyle name="Гиперссылка 2" xfId="45194" hidden="1"/>
    <cellStyle name="Гиперссылка 2" xfId="45108" hidden="1"/>
    <cellStyle name="Гиперссылка 2" xfId="44991" hidden="1"/>
    <cellStyle name="Гиперссылка 2" xfId="43848" hidden="1"/>
    <cellStyle name="Гиперссылка 2" xfId="45275" hidden="1"/>
    <cellStyle name="Гиперссылка 2" xfId="36945" hidden="1"/>
    <cellStyle name="Гиперссылка 2" xfId="45195" hidden="1"/>
    <cellStyle name="Гиперссылка 2" xfId="45236" hidden="1"/>
    <cellStyle name="Обычный" xfId="0" builtinId="0"/>
    <cellStyle name="Обычный 11" xfId="212"/>
    <cellStyle name="Обычный 2" xfId="1"/>
    <cellStyle name="Обычный 2 2" xfId="6"/>
    <cellStyle name="Обычный 2 2 2" xfId="596"/>
    <cellStyle name="Обычный 2 2 3" xfId="1196"/>
    <cellStyle name="Обычный 2 3" xfId="1195"/>
    <cellStyle name="Обычный 3" xfId="45342"/>
    <cellStyle name="Обычный 4" xfId="7"/>
    <cellStyle name="Обычный 5" xfId="349"/>
    <cellStyle name="Открывавшаяся гиперссылка" xfId="598" builtinId="9" hidden="1"/>
    <cellStyle name="Открывавшаяся гиперссылка" xfId="600" builtinId="9" hidden="1"/>
    <cellStyle name="Открывавшаяся гиперссылка" xfId="606" builtinId="9" hidden="1"/>
    <cellStyle name="Открывавшаяся гиперссылка" xfId="621" builtinId="9" hidden="1"/>
    <cellStyle name="Открывавшаяся гиперссылка" xfId="919" builtinId="9" hidden="1"/>
    <cellStyle name="Открывавшаяся гиперссылка" xfId="903" builtinId="9" hidden="1"/>
    <cellStyle name="Открывавшаяся гиперссылка" xfId="961" builtinId="9" hidden="1"/>
    <cellStyle name="Открывавшаяся гиперссылка" xfId="963" builtinId="9" hidden="1"/>
    <cellStyle name="Открывавшаяся гиперссылка" xfId="1135" builtinId="9" hidden="1"/>
    <cellStyle name="Открывавшаяся гиперссылка" xfId="1119" builtinId="9" hidden="1"/>
    <cellStyle name="Открывавшаяся гиперссылка" xfId="1175" builtinId="9" hidden="1"/>
    <cellStyle name="Открывавшаяся гиперссылка" xfId="1177" builtinId="9" hidden="1"/>
    <cellStyle name="Открывавшаяся гиперссылка" xfId="1179" builtinId="9" hidden="1"/>
    <cellStyle name="Открывавшаяся гиперссылка" xfId="1181" builtinId="9" hidden="1"/>
    <cellStyle name="Открывавшаяся гиперссылка" xfId="1186" builtinId="9" hidden="1"/>
    <cellStyle name="Открывавшаяся гиперссылка" xfId="1183" builtinId="9" hidden="1"/>
    <cellStyle name="Открывавшаяся гиперссылка" xfId="1188" builtinId="9" hidden="1"/>
    <cellStyle name="Открывавшаяся гиперссылка" xfId="1190" builtinId="9" hidden="1"/>
    <cellStyle name="Открывавшаяся гиперссылка" xfId="1194" builtinId="9" hidden="1"/>
    <cellStyle name="Открывавшаяся гиперссылка" xfId="1191" builtinId="9" hidden="1"/>
    <cellStyle name="Открывавшаяся гиперссылка" xfId="1198" builtinId="9" hidden="1"/>
    <cellStyle name="Открывавшаяся гиперссылка" xfId="1200" builtinId="9" hidden="1"/>
    <cellStyle name="Открывавшаяся гиперссылка" xfId="1201" builtinId="9" hidden="1"/>
    <cellStyle name="Открывавшаяся гиперссылка" xfId="1203" builtinId="9" hidden="1"/>
    <cellStyle name="Открывавшаяся гиперссылка" xfId="1208" builtinId="9" hidden="1"/>
    <cellStyle name="Открывавшаяся гиперссылка" xfId="1205" builtinId="9" hidden="1"/>
    <cellStyle name="Открывавшаяся гиперссылка" xfId="1210" builtinId="9" hidden="1"/>
    <cellStyle name="Открывавшаяся гиперссылка" xfId="1212" builtinId="9" hidden="1"/>
    <cellStyle name="Открывавшаяся гиперссылка" xfId="1216" builtinId="9" hidden="1"/>
    <cellStyle name="Открывавшаяся гиперссылка" xfId="1213" builtinId="9" hidden="1"/>
    <cellStyle name="Открывавшаяся гиперссылка" xfId="1218" builtinId="9" hidden="1"/>
    <cellStyle name="Открывавшаяся гиперссылка" xfId="1220" builtinId="9" hidden="1"/>
    <cellStyle name="Открывавшаяся гиперссылка" xfId="1221" builtinId="9" hidden="1"/>
    <cellStyle name="Открывавшаяся гиперссылка" xfId="1223" builtinId="9" hidden="1"/>
    <cellStyle name="Открывавшаяся гиперссылка" xfId="1228" builtinId="9" hidden="1"/>
    <cellStyle name="Открывавшаяся гиперссылка" xfId="1225" builtinId="9" hidden="1"/>
    <cellStyle name="Открывавшаяся гиперссылка" xfId="1230" builtinId="9" hidden="1"/>
    <cellStyle name="Открывавшаяся гиперссылка" xfId="1232" builtinId="9" hidden="1"/>
    <cellStyle name="Открывавшаяся гиперссылка" xfId="1236" builtinId="9" hidden="1"/>
    <cellStyle name="Открывавшаяся гиперссылка" xfId="1233" builtinId="9" hidden="1"/>
    <cellStyle name="Открывавшаяся гиперссылка" xfId="1356" builtinId="9" hidden="1"/>
    <cellStyle name="Открывавшаяся гиперссылка" xfId="1358" builtinId="9" hidden="1"/>
    <cellStyle name="Открывавшаяся гиперссылка" xfId="1364" builtinId="9" hidden="1"/>
    <cellStyle name="Открывавшаяся гиперссылка" xfId="1379" builtinId="9" hidden="1"/>
    <cellStyle name="Открывавшаяся гиперссылка" xfId="1660" builtinId="9" hidden="1"/>
    <cellStyle name="Открывавшаяся гиперссылка" xfId="1644" builtinId="9" hidden="1"/>
    <cellStyle name="Открывавшаяся гиперссылка" xfId="1700" builtinId="9" hidden="1"/>
    <cellStyle name="Открывавшаяся гиперссылка" xfId="1702" builtinId="9" hidden="1"/>
    <cellStyle name="Открывавшаяся гиперссылка" xfId="1868" builtinId="9" hidden="1"/>
    <cellStyle name="Открывавшаяся гиперссылка" xfId="1853" builtinId="9" hidden="1"/>
    <cellStyle name="Открывавшаяся гиперссылка" xfId="1906" builtinId="9" hidden="1"/>
    <cellStyle name="Открывавшаяся гиперссылка" xfId="1908" builtinId="9" hidden="1"/>
    <cellStyle name="Открывавшаяся гиперссылка" xfId="1910" builtinId="9" hidden="1"/>
    <cellStyle name="Открывавшаяся гиперссылка" xfId="1912" builtinId="9" hidden="1"/>
    <cellStyle name="Открывавшаяся гиперссылка" xfId="1917" builtinId="9" hidden="1"/>
    <cellStyle name="Открывавшаяся гиперссылка" xfId="1914" builtinId="9" hidden="1"/>
    <cellStyle name="Открывавшаяся гиперссылка" xfId="1919" builtinId="9" hidden="1"/>
    <cellStyle name="Открывавшаяся гиперссылка" xfId="1921" builtinId="9" hidden="1"/>
    <cellStyle name="Открывавшаяся гиперссылка" xfId="1925" builtinId="9" hidden="1"/>
    <cellStyle name="Открывавшаяся гиперссылка" xfId="1922" builtinId="9" hidden="1"/>
    <cellStyle name="Открывавшаяся гиперссылка" xfId="1929" builtinId="9" hidden="1"/>
    <cellStyle name="Открывавшаяся гиперссылка" xfId="1931" builtinId="9" hidden="1"/>
    <cellStyle name="Открывавшаяся гиперссылка" xfId="1932" builtinId="9" hidden="1"/>
    <cellStyle name="Открывавшаяся гиперссылка" xfId="1934" builtinId="9" hidden="1"/>
    <cellStyle name="Открывавшаяся гиперссылка" xfId="1939" builtinId="9" hidden="1"/>
    <cellStyle name="Открывавшаяся гиперссылка" xfId="1936" builtinId="9" hidden="1"/>
    <cellStyle name="Открывавшаяся гиперссылка" xfId="1941" builtinId="9" hidden="1"/>
    <cellStyle name="Открывавшаяся гиперссылка" xfId="1943" builtinId="9" hidden="1"/>
    <cellStyle name="Открывавшаяся гиперссылка" xfId="1947" builtinId="9" hidden="1"/>
    <cellStyle name="Открывавшаяся гиперссылка" xfId="1944" builtinId="9" hidden="1"/>
    <cellStyle name="Открывавшаяся гиперссылка" xfId="1949" builtinId="9" hidden="1"/>
    <cellStyle name="Открывавшаяся гиперссылка" xfId="1951" builtinId="9" hidden="1"/>
    <cellStyle name="Открывавшаяся гиперссылка" xfId="1952" builtinId="9" hidden="1"/>
    <cellStyle name="Открывавшаяся гиперссылка" xfId="1954" builtinId="9" hidden="1"/>
    <cellStyle name="Открывавшаяся гиперссылка" xfId="1959" builtinId="9" hidden="1"/>
    <cellStyle name="Открывавшаяся гиперссылка" xfId="1956" builtinId="9" hidden="1"/>
    <cellStyle name="Открывавшаяся гиперссылка" xfId="1961" builtinId="9" hidden="1"/>
    <cellStyle name="Открывавшаяся гиперссылка" xfId="1963" builtinId="9" hidden="1"/>
    <cellStyle name="Открывавшаяся гиперссылка" xfId="1967" builtinId="9" hidden="1"/>
    <cellStyle name="Открывавшаяся гиперссылка" xfId="1964" builtinId="9" hidden="1"/>
    <cellStyle name="Открывавшаяся гиперссылка" xfId="1646" builtinId="9" hidden="1"/>
    <cellStyle name="Открывавшаяся гиперссылка" xfId="1315" builtinId="9" hidden="1"/>
    <cellStyle name="Открывавшаяся гиперссылка" xfId="1559" builtinId="9" hidden="1"/>
    <cellStyle name="Открывавшаяся гиперссылка" xfId="1272" builtinId="9" hidden="1"/>
    <cellStyle name="Открывавшаяся гиперссылка" xfId="1652" builtinId="9" hidden="1"/>
    <cellStyle name="Открывавшаяся гиперссылка" xfId="1408" builtinId="9" hidden="1"/>
    <cellStyle name="Открывавшаяся гиперссылка" xfId="1738" builtinId="9" hidden="1"/>
    <cellStyle name="Открывавшаяся гиперссылка" xfId="1395" builtinId="9" hidden="1"/>
    <cellStyle name="Открывавшаяся гиперссылка" xfId="2106" builtinId="9" hidden="1"/>
    <cellStyle name="Открывавшаяся гиперссылка" xfId="2091" builtinId="9" hidden="1"/>
    <cellStyle name="Открывавшаяся гиперссылка" xfId="2143" builtinId="9" hidden="1"/>
    <cellStyle name="Открывавшаяся гиперссылка" xfId="2145" builtinId="9" hidden="1"/>
    <cellStyle name="Открывавшаяся гиперссылка" xfId="2147" builtinId="9" hidden="1"/>
    <cellStyle name="Открывавшаяся гиперссылка" xfId="2149" builtinId="9" hidden="1"/>
    <cellStyle name="Открывавшаяся гиперссылка" xfId="2154" builtinId="9" hidden="1"/>
    <cellStyle name="Открывавшаяся гиперссылка" xfId="2151" builtinId="9" hidden="1"/>
    <cellStyle name="Открывавшаяся гиперссылка" xfId="2156" builtinId="9" hidden="1"/>
    <cellStyle name="Открывавшаяся гиперссылка" xfId="2158" builtinId="9" hidden="1"/>
    <cellStyle name="Открывавшаяся гиперссылка" xfId="2162" builtinId="9" hidden="1"/>
    <cellStyle name="Открывавшаяся гиперссылка" xfId="2159" builtinId="9" hidden="1"/>
    <cellStyle name="Открывавшаяся гиперссылка" xfId="2166" builtinId="9" hidden="1"/>
    <cellStyle name="Открывавшаяся гиперссылка" xfId="2168" builtinId="9" hidden="1"/>
    <cellStyle name="Открывавшаяся гиперссылка" xfId="2169" builtinId="9" hidden="1"/>
    <cellStyle name="Открывавшаяся гиперссылка" xfId="2171" builtinId="9" hidden="1"/>
    <cellStyle name="Открывавшаяся гиперссылка" xfId="2176" builtinId="9" hidden="1"/>
    <cellStyle name="Открывавшаяся гиперссылка" xfId="2173" builtinId="9" hidden="1"/>
    <cellStyle name="Открывавшаяся гиперссылка" xfId="2178" builtinId="9" hidden="1"/>
    <cellStyle name="Открывавшаяся гиперссылка" xfId="2180" builtinId="9" hidden="1"/>
    <cellStyle name="Открывавшаяся гиперссылка" xfId="2184" builtinId="9" hidden="1"/>
    <cellStyle name="Открывавшаяся гиперссылка" xfId="2181" builtinId="9" hidden="1"/>
    <cellStyle name="Открывавшаяся гиперссылка" xfId="2186" builtinId="9" hidden="1"/>
    <cellStyle name="Открывавшаяся гиперссылка" xfId="2188" builtinId="9" hidden="1"/>
    <cellStyle name="Открывавшаяся гиперссылка" xfId="2189" builtinId="9" hidden="1"/>
    <cellStyle name="Открывавшаяся гиперссылка" xfId="2191" builtinId="9" hidden="1"/>
    <cellStyle name="Открывавшаяся гиперссылка" xfId="2196" builtinId="9" hidden="1"/>
    <cellStyle name="Открывавшаяся гиперссылка" xfId="2193" builtinId="9" hidden="1"/>
    <cellStyle name="Открывавшаяся гиперссылка" xfId="2198" builtinId="9" hidden="1"/>
    <cellStyle name="Открывавшаяся гиперссылка" xfId="2200" builtinId="9" hidden="1"/>
    <cellStyle name="Открывавшаяся гиперссылка" xfId="2204" builtinId="9" hidden="1"/>
    <cellStyle name="Открывавшаяся гиперссылка" xfId="2201" builtinId="9" hidden="1"/>
    <cellStyle name="Открывавшаяся гиперссылка" xfId="1787" builtinId="9" hidden="1"/>
    <cellStyle name="Открывавшаяся гиперссылка" xfId="1782" builtinId="9" hidden="1"/>
    <cellStyle name="Открывавшаяся гиперссылка" xfId="1274" builtinId="9" hidden="1"/>
    <cellStyle name="Открывавшаяся гиперссылка" xfId="1808" builtinId="9" hidden="1"/>
    <cellStyle name="Открывавшаяся гиперссылка" xfId="1596" builtinId="9" hidden="1"/>
    <cellStyle name="Открывавшаяся гиперссылка" xfId="1587" builtinId="9" hidden="1"/>
    <cellStyle name="Открывавшаяся гиперссылка" xfId="1976" builtinId="9" hidden="1"/>
    <cellStyle name="Открывавшаяся гиперссылка" xfId="1757" builtinId="9" hidden="1"/>
    <cellStyle name="Открывавшаяся гиперссылка" xfId="2341" builtinId="9" hidden="1"/>
    <cellStyle name="Открывавшаяся гиперссылка" xfId="2326" builtinId="9" hidden="1"/>
    <cellStyle name="Открывавшаяся гиперссылка" xfId="2378" builtinId="9" hidden="1"/>
    <cellStyle name="Открывавшаяся гиперссылка" xfId="2380" builtinId="9" hidden="1"/>
    <cellStyle name="Открывавшаяся гиперссылка" xfId="2382" builtinId="9" hidden="1"/>
    <cellStyle name="Открывавшаяся гиперссылка" xfId="2384" builtinId="9" hidden="1"/>
    <cellStyle name="Открывавшаяся гиперссылка" xfId="2389" builtinId="9" hidden="1"/>
    <cellStyle name="Открывавшаяся гиперссылка" xfId="2386" builtinId="9" hidden="1"/>
    <cellStyle name="Открывавшаяся гиперссылка" xfId="2391" builtinId="9" hidden="1"/>
    <cellStyle name="Открывавшаяся гиперссылка" xfId="2393" builtinId="9" hidden="1"/>
    <cellStyle name="Открывавшаяся гиперссылка" xfId="2397" builtinId="9" hidden="1"/>
    <cellStyle name="Открывавшаяся гиперссылка" xfId="2394" builtinId="9" hidden="1"/>
    <cellStyle name="Открывавшаяся гиперссылка" xfId="2401" builtinId="9" hidden="1"/>
    <cellStyle name="Открывавшаяся гиперссылка" xfId="2403" builtinId="9" hidden="1"/>
    <cellStyle name="Открывавшаяся гиперссылка" xfId="2404" builtinId="9" hidden="1"/>
    <cellStyle name="Открывавшаяся гиперссылка" xfId="2406" builtinId="9" hidden="1"/>
    <cellStyle name="Открывавшаяся гиперссылка" xfId="2411" builtinId="9" hidden="1"/>
    <cellStyle name="Открывавшаяся гиперссылка" xfId="2408" builtinId="9" hidden="1"/>
    <cellStyle name="Открывавшаяся гиперссылка" xfId="2413" builtinId="9" hidden="1"/>
    <cellStyle name="Открывавшаяся гиперссылка" xfId="2415" builtinId="9" hidden="1"/>
    <cellStyle name="Открывавшаяся гиперссылка" xfId="2419" builtinId="9" hidden="1"/>
    <cellStyle name="Открывавшаяся гиперссылка" xfId="2416" builtinId="9" hidden="1"/>
    <cellStyle name="Открывавшаяся гиперссылка" xfId="2421" builtinId="9" hidden="1"/>
    <cellStyle name="Открывавшаяся гиперссылка" xfId="2423" builtinId="9" hidden="1"/>
    <cellStyle name="Открывавшаяся гиперссылка" xfId="2424" builtinId="9" hidden="1"/>
    <cellStyle name="Открывавшаяся гиперссылка" xfId="2426" builtinId="9" hidden="1"/>
    <cellStyle name="Открывавшаяся гиперссылка" xfId="2431" builtinId="9" hidden="1"/>
    <cellStyle name="Открывавшаяся гиперссылка" xfId="2428" builtinId="9" hidden="1"/>
    <cellStyle name="Открывавшаяся гиперссылка" xfId="2433" builtinId="9" hidden="1"/>
    <cellStyle name="Открывавшаяся гиперссылка" xfId="2435" builtinId="9" hidden="1"/>
    <cellStyle name="Открывавшаяся гиперссылка" xfId="2439" builtinId="9" hidden="1"/>
    <cellStyle name="Открывавшаяся гиперссылка" xfId="2436" builtinId="9" hidden="1"/>
    <cellStyle name="Открывавшаяся гиперссылка" xfId="2025" builtinId="9" hidden="1"/>
    <cellStyle name="Открывавшаяся гиперссылка" xfId="2020" builtinId="9" hidden="1"/>
    <cellStyle name="Открывавшаяся гиперссылка" xfId="1603" builtinId="9" hidden="1"/>
    <cellStyle name="Открывавшаяся гиперссылка" xfId="2046" builtinId="9" hidden="1"/>
    <cellStyle name="Открывавшаяся гиперссылка" xfId="1347" builtinId="9" hidden="1"/>
    <cellStyle name="Открывавшаяся гиперссылка" xfId="1573" builtinId="9" hidden="1"/>
    <cellStyle name="Открывавшаяся гиперссылка" xfId="2213" builtinId="9" hidden="1"/>
    <cellStyle name="Открывавшаяся гиперссылка" xfId="1995" builtinId="9" hidden="1"/>
    <cellStyle name="Открывавшаяся гиперссылка" xfId="2573" builtinId="9" hidden="1"/>
    <cellStyle name="Открывавшаяся гиперссылка" xfId="2558" builtinId="9" hidden="1"/>
    <cellStyle name="Открывавшаяся гиперссылка" xfId="2610" builtinId="9" hidden="1"/>
    <cellStyle name="Открывавшаяся гиперссылка" xfId="2612" builtinId="9" hidden="1"/>
    <cellStyle name="Открывавшаяся гиперссылка" xfId="2614" builtinId="9" hidden="1"/>
    <cellStyle name="Открывавшаяся гиперссылка" xfId="2616" builtinId="9" hidden="1"/>
    <cellStyle name="Открывавшаяся гиперссылка" xfId="2621" builtinId="9" hidden="1"/>
    <cellStyle name="Открывавшаяся гиперссылка" xfId="2618" builtinId="9" hidden="1"/>
    <cellStyle name="Открывавшаяся гиперссылка" xfId="2623" builtinId="9" hidden="1"/>
    <cellStyle name="Открывавшаяся гиперссылка" xfId="2625" builtinId="9" hidden="1"/>
    <cellStyle name="Открывавшаяся гиперссылка" xfId="2629" builtinId="9" hidden="1"/>
    <cellStyle name="Открывавшаяся гиперссылка" xfId="2626" builtinId="9" hidden="1"/>
    <cellStyle name="Открывавшаяся гиперссылка" xfId="2633" builtinId="9" hidden="1"/>
    <cellStyle name="Открывавшаяся гиперссылка" xfId="2635" builtinId="9" hidden="1"/>
    <cellStyle name="Открывавшаяся гиперссылка" xfId="2636" builtinId="9" hidden="1"/>
    <cellStyle name="Открывавшаяся гиперссылка" xfId="2638" builtinId="9" hidden="1"/>
    <cellStyle name="Открывавшаяся гиперссылка" xfId="2643" builtinId="9" hidden="1"/>
    <cellStyle name="Открывавшаяся гиперссылка" xfId="2640" builtinId="9" hidden="1"/>
    <cellStyle name="Открывавшаяся гиперссылка" xfId="2645" builtinId="9" hidden="1"/>
    <cellStyle name="Открывавшаяся гиперссылка" xfId="2647" builtinId="9" hidden="1"/>
    <cellStyle name="Открывавшаяся гиперссылка" xfId="2651" builtinId="9" hidden="1"/>
    <cellStyle name="Открывавшаяся гиперссылка" xfId="2648" builtinId="9" hidden="1"/>
    <cellStyle name="Открывавшаяся гиперссылка" xfId="2653" builtinId="9" hidden="1"/>
    <cellStyle name="Открывавшаяся гиперссылка" xfId="2655" builtinId="9" hidden="1"/>
    <cellStyle name="Открывавшаяся гиперссылка" xfId="2656" builtinId="9" hidden="1"/>
    <cellStyle name="Открывавшаяся гиперссылка" xfId="2658" builtinId="9" hidden="1"/>
    <cellStyle name="Открывавшаяся гиперссылка" xfId="2663" builtinId="9" hidden="1"/>
    <cellStyle name="Открывавшаяся гиперссылка" xfId="2660" builtinId="9" hidden="1"/>
    <cellStyle name="Открывавшаяся гиперссылка" xfId="2665" builtinId="9" hidden="1"/>
    <cellStyle name="Открывавшаяся гиперссылка" xfId="2667" builtinId="9" hidden="1"/>
    <cellStyle name="Открывавшаяся гиперссылка" xfId="2671" builtinId="9" hidden="1"/>
    <cellStyle name="Открывавшаяся гиперссылка" xfId="2668" builtinId="9" hidden="1"/>
    <cellStyle name="Открывавшаяся гиперссылка" xfId="2260" builtinId="9" hidden="1"/>
    <cellStyle name="Открывавшаяся гиперссылка" xfId="2255" builtinId="9" hidden="1"/>
    <cellStyle name="Открывавшаяся гиперссылка" xfId="1631" builtinId="9" hidden="1"/>
    <cellStyle name="Открывавшаяся гиперссылка" xfId="2281" builtinId="9" hidden="1"/>
    <cellStyle name="Открывавшаяся гиперссылка" xfId="1326" builtinId="9" hidden="1"/>
    <cellStyle name="Открывавшаяся гиперссылка" xfId="1376" builtinId="9" hidden="1"/>
    <cellStyle name="Открывавшаяся гиперссылка" xfId="2448" builtinId="9" hidden="1"/>
    <cellStyle name="Открывавшаяся гиперссылка" xfId="2231" builtinId="9" hidden="1"/>
    <cellStyle name="Открывавшаяся гиперссылка" xfId="2796" builtinId="9" hidden="1"/>
    <cellStyle name="Открывавшаяся гиперссылка" xfId="2783" builtinId="9" hidden="1"/>
    <cellStyle name="Открывавшаяся гиперссылка" xfId="2831" builtinId="9" hidden="1"/>
    <cellStyle name="Открывавшаяся гиперссылка" xfId="2833" builtinId="9" hidden="1"/>
    <cellStyle name="Открывавшаяся гиперссылка" xfId="2835" builtinId="9" hidden="1"/>
    <cellStyle name="Открывавшаяся гиперссылка" xfId="2837" builtinId="9" hidden="1"/>
    <cellStyle name="Открывавшаяся гиперссылка" xfId="2842" builtinId="9" hidden="1"/>
    <cellStyle name="Открывавшаяся гиперссылка" xfId="2839" builtinId="9" hidden="1"/>
    <cellStyle name="Открывавшаяся гиперссылка" xfId="2844" builtinId="9" hidden="1"/>
    <cellStyle name="Открывавшаяся гиперссылка" xfId="2846" builtinId="9" hidden="1"/>
    <cellStyle name="Открывавшаяся гиперссылка" xfId="2850" builtinId="9" hidden="1"/>
    <cellStyle name="Открывавшаяся гиперссылка" xfId="2847" builtinId="9" hidden="1"/>
    <cellStyle name="Открывавшаяся гиперссылка" xfId="2854" builtinId="9" hidden="1"/>
    <cellStyle name="Открывавшаяся гиперссылка" xfId="2856" builtinId="9" hidden="1"/>
    <cellStyle name="Открывавшаяся гиперссылка" xfId="2857" builtinId="9" hidden="1"/>
    <cellStyle name="Открывавшаяся гиперссылка" xfId="2859" builtinId="9" hidden="1"/>
    <cellStyle name="Открывавшаяся гиперссылка" xfId="2864" builtinId="9" hidden="1"/>
    <cellStyle name="Открывавшаяся гиперссылка" xfId="2861" builtinId="9" hidden="1"/>
    <cellStyle name="Открывавшаяся гиперссылка" xfId="2866" builtinId="9" hidden="1"/>
    <cellStyle name="Открывавшаяся гиперссылка" xfId="2868" builtinId="9" hidden="1"/>
    <cellStyle name="Открывавшаяся гиперссылка" xfId="2872" builtinId="9" hidden="1"/>
    <cellStyle name="Открывавшаяся гиперссылка" xfId="2869" builtinId="9" hidden="1"/>
    <cellStyle name="Открывавшаяся гиперссылка" xfId="2874" builtinId="9" hidden="1"/>
    <cellStyle name="Открывавшаяся гиперссылка" xfId="2876" builtinId="9" hidden="1"/>
    <cellStyle name="Открывавшаяся гиперссылка" xfId="2877" builtinId="9" hidden="1"/>
    <cellStyle name="Открывавшаяся гиперссылка" xfId="2879" builtinId="9" hidden="1"/>
    <cellStyle name="Открывавшаяся гиперссылка" xfId="2884" builtinId="9" hidden="1"/>
    <cellStyle name="Открывавшаяся гиперссылка" xfId="2881" builtinId="9" hidden="1"/>
    <cellStyle name="Открывавшаяся гиперссылка" xfId="2886" builtinId="9" hidden="1"/>
    <cellStyle name="Открывавшаяся гиперссылка" xfId="2888" builtinId="9" hidden="1"/>
    <cellStyle name="Открывавшаяся гиперссылка" xfId="2892" builtinId="9" hidden="1"/>
    <cellStyle name="Открывавшаяся гиперссылка" xfId="2889" builtinId="9" hidden="1"/>
    <cellStyle name="Открывавшаяся гиперссылка" xfId="2494" builtinId="9" hidden="1"/>
    <cellStyle name="Открывавшаяся гиперссылка" xfId="2489" builtinId="9" hidden="1"/>
    <cellStyle name="Открывавшаяся гиперссылка" xfId="1720" builtinId="9" hidden="1"/>
    <cellStyle name="Открывавшаяся гиперссылка" xfId="2515" builtinId="9" hidden="1"/>
    <cellStyle name="Открывавшаяся гиперссылка" xfId="1413" builtinId="9" hidden="1"/>
    <cellStyle name="Открывавшаяся гиперссылка" xfId="1287" builtinId="9" hidden="1"/>
    <cellStyle name="Открывавшаяся гиперссылка" xfId="2680" builtinId="9" hidden="1"/>
    <cellStyle name="Открывавшаяся гиперссылка" xfId="2465" builtinId="9" hidden="1"/>
    <cellStyle name="Открывавшаяся гиперссылка" xfId="3011" builtinId="9" hidden="1"/>
    <cellStyle name="Открывавшаяся гиперссылка" xfId="2999" builtinId="9" hidden="1"/>
    <cellStyle name="Открывавшаяся гиперссылка" xfId="3044" builtinId="9" hidden="1"/>
    <cellStyle name="Открывавшаяся гиперссылка" xfId="3046" builtinId="9" hidden="1"/>
    <cellStyle name="Открывавшаяся гиперссылка" xfId="3048" builtinId="9" hidden="1"/>
    <cellStyle name="Открывавшаяся гиперссылка" xfId="3050" builtinId="9" hidden="1"/>
    <cellStyle name="Открывавшаяся гиперссылка" xfId="3055" builtinId="9" hidden="1"/>
    <cellStyle name="Открывавшаяся гиперссылка" xfId="3052" builtinId="9" hidden="1"/>
    <cellStyle name="Открывавшаяся гиперссылка" xfId="3057" builtinId="9" hidden="1"/>
    <cellStyle name="Открывавшаяся гиперссылка" xfId="3059" builtinId="9" hidden="1"/>
    <cellStyle name="Открывавшаяся гиперссылка" xfId="3063" builtinId="9" hidden="1"/>
    <cellStyle name="Открывавшаяся гиперссылка" xfId="3060" builtinId="9" hidden="1"/>
    <cellStyle name="Открывавшаяся гиперссылка" xfId="3067" builtinId="9" hidden="1"/>
    <cellStyle name="Открывавшаяся гиперссылка" xfId="3069" builtinId="9" hidden="1"/>
    <cellStyle name="Открывавшаяся гиперссылка" xfId="3070" builtinId="9" hidden="1"/>
    <cellStyle name="Открывавшаяся гиперссылка" xfId="3072" builtinId="9" hidden="1"/>
    <cellStyle name="Открывавшаяся гиперссылка" xfId="3077" builtinId="9" hidden="1"/>
    <cellStyle name="Открывавшаяся гиперссылка" xfId="3074" builtinId="9" hidden="1"/>
    <cellStyle name="Открывавшаяся гиперссылка" xfId="3079" builtinId="9" hidden="1"/>
    <cellStyle name="Открывавшаяся гиперссылка" xfId="3081" builtinId="9" hidden="1"/>
    <cellStyle name="Открывавшаяся гиперссылка" xfId="3085" builtinId="9" hidden="1"/>
    <cellStyle name="Открывавшаяся гиперссылка" xfId="3082" builtinId="9" hidden="1"/>
    <cellStyle name="Открывавшаяся гиперссылка" xfId="3087" builtinId="9" hidden="1"/>
    <cellStyle name="Открывавшаяся гиперссылка" xfId="3089" builtinId="9" hidden="1"/>
    <cellStyle name="Открывавшаяся гиперссылка" xfId="3090" builtinId="9" hidden="1"/>
    <cellStyle name="Открывавшаяся гиперссылка" xfId="3092" builtinId="9" hidden="1"/>
    <cellStyle name="Открывавшаяся гиперссылка" xfId="3097" builtinId="9" hidden="1"/>
    <cellStyle name="Открывавшаяся гиперссылка" xfId="3094" builtinId="9" hidden="1"/>
    <cellStyle name="Открывавшаяся гиперссылка" xfId="3099" builtinId="9" hidden="1"/>
    <cellStyle name="Открывавшаяся гиперссылка" xfId="3101" builtinId="9" hidden="1"/>
    <cellStyle name="Открывавшаяся гиперссылка" xfId="3105" builtinId="9" hidden="1"/>
    <cellStyle name="Открывавшаяся гиперссылка" xfId="3102" builtinId="9" hidden="1"/>
    <cellStyle name="Открывавшаяся гиперссылка" xfId="2722" builtinId="9" hidden="1"/>
    <cellStyle name="Открывавшаяся гиперссылка" xfId="2718" builtinId="9" hidden="1"/>
    <cellStyle name="Открывавшаяся гиперссылка" xfId="474" builtinId="9" hidden="1"/>
    <cellStyle name="Открывавшаяся гиперссылка" xfId="2742" builtinId="9" hidden="1"/>
    <cellStyle name="Открывавшаяся гиперссылка" xfId="1600" builtinId="9" hidden="1"/>
    <cellStyle name="Открывавшаяся гиперссылка" xfId="1733" builtinId="9" hidden="1"/>
    <cellStyle name="Открывавшаяся гиперссылка" xfId="2901" builtinId="9" hidden="1"/>
    <cellStyle name="Открывавшаяся гиперссылка" xfId="2695" builtinId="9" hidden="1"/>
    <cellStyle name="Открывавшаяся гиперссылка" xfId="3215" builtinId="9" hidden="1"/>
    <cellStyle name="Открывавшаяся гиперссылка" xfId="3205" builtinId="9" hidden="1"/>
    <cellStyle name="Открывавшаяся гиперссылка" xfId="3244" builtinId="9" hidden="1"/>
    <cellStyle name="Открывавшаяся гиперссылка" xfId="3246" builtinId="9" hidden="1"/>
    <cellStyle name="Открывавшаяся гиперссылка" xfId="3248" builtinId="9" hidden="1"/>
    <cellStyle name="Открывавшаяся гиперссылка" xfId="3250" builtinId="9" hidden="1"/>
    <cellStyle name="Открывавшаяся гиперссылка" xfId="3255" builtinId="9" hidden="1"/>
    <cellStyle name="Открывавшаяся гиперссылка" xfId="3252" builtinId="9" hidden="1"/>
    <cellStyle name="Открывавшаяся гиперссылка" xfId="3257" builtinId="9" hidden="1"/>
    <cellStyle name="Открывавшаяся гиперссылка" xfId="3259" builtinId="9" hidden="1"/>
    <cellStyle name="Открывавшаяся гиперссылка" xfId="3263" builtinId="9" hidden="1"/>
    <cellStyle name="Открывавшаяся гиперссылка" xfId="3260" builtinId="9" hidden="1"/>
    <cellStyle name="Открывавшаяся гиперссылка" xfId="3267" builtinId="9" hidden="1"/>
    <cellStyle name="Открывавшаяся гиперссылка" xfId="3269" builtinId="9" hidden="1"/>
    <cellStyle name="Открывавшаяся гиперссылка" xfId="3270" builtinId="9" hidden="1"/>
    <cellStyle name="Открывавшаяся гиперссылка" xfId="3272" builtinId="9" hidden="1"/>
    <cellStyle name="Открывавшаяся гиперссылка" xfId="3277" builtinId="9" hidden="1"/>
    <cellStyle name="Открывавшаяся гиперссылка" xfId="3274" builtinId="9" hidden="1"/>
    <cellStyle name="Открывавшаяся гиперссылка" xfId="3279" builtinId="9" hidden="1"/>
    <cellStyle name="Открывавшаяся гиперссылка" xfId="3281" builtinId="9" hidden="1"/>
    <cellStyle name="Открывавшаяся гиперссылка" xfId="3285" builtinId="9" hidden="1"/>
    <cellStyle name="Открывавшаяся гиперссылка" xfId="3282" builtinId="9" hidden="1"/>
    <cellStyle name="Открывавшаяся гиперссылка" xfId="3287" builtinId="9" hidden="1"/>
    <cellStyle name="Открывавшаяся гиперссылка" xfId="3289" builtinId="9" hidden="1"/>
    <cellStyle name="Открывавшаяся гиперссылка" xfId="3290" builtinId="9" hidden="1"/>
    <cellStyle name="Открывавшаяся гиперссылка" xfId="3292" builtinId="9" hidden="1"/>
    <cellStyle name="Открывавшаяся гиперссылка" xfId="3297" builtinId="9" hidden="1"/>
    <cellStyle name="Открывавшаяся гиперссылка" xfId="3294" builtinId="9" hidden="1"/>
    <cellStyle name="Открывавшаяся гиперссылка" xfId="3299" builtinId="9" hidden="1"/>
    <cellStyle name="Открывавшаяся гиперссылка" xfId="3301" builtinId="9" hidden="1"/>
    <cellStyle name="Открывавшаяся гиперссылка" xfId="3305" builtinId="9" hidden="1"/>
    <cellStyle name="Открывавшаяся гиперссылка" xfId="3302" builtinId="9" hidden="1"/>
    <cellStyle name="Открывавшаяся гиперссылка" xfId="2942" builtinId="9" hidden="1"/>
    <cellStyle name="Открывавшаяся гиперссылка" xfId="2938" builtinId="9" hidden="1"/>
    <cellStyle name="Открывавшаяся гиперссылка" xfId="1311" builtinId="9" hidden="1"/>
    <cellStyle name="Открывавшаяся гиперссылка" xfId="2960" builtinId="9" hidden="1"/>
    <cellStyle name="Открывавшаяся гиперссылка" xfId="1332" builtinId="9" hidden="1"/>
    <cellStyle name="Открывавшаяся гиперссылка" xfId="1971" builtinId="9" hidden="1"/>
    <cellStyle name="Открывавшаяся гиперссылка" xfId="3112" builtinId="9" hidden="1"/>
    <cellStyle name="Открывавшаяся гиперссылка" xfId="2916" builtinId="9" hidden="1"/>
    <cellStyle name="Открывавшаяся гиперссылка" xfId="3403" builtinId="9" hidden="1"/>
    <cellStyle name="Открывавшаяся гиперссылка" xfId="3393" builtinId="9" hidden="1"/>
    <cellStyle name="Открывавшаяся гиперссылка" xfId="3431" builtinId="9" hidden="1"/>
    <cellStyle name="Открывавшаяся гиперссылка" xfId="3433" builtinId="9" hidden="1"/>
    <cellStyle name="Открывавшаяся гиперссылка" xfId="3435" builtinId="9" hidden="1"/>
    <cellStyle name="Открывавшаяся гиперссылка" xfId="3437" builtinId="9" hidden="1"/>
    <cellStyle name="Открывавшаяся гиперссылка" xfId="3442" builtinId="9" hidden="1"/>
    <cellStyle name="Открывавшаяся гиперссылка" xfId="3439" builtinId="9" hidden="1"/>
    <cellStyle name="Открывавшаяся гиперссылка" xfId="3444" builtinId="9" hidden="1"/>
    <cellStyle name="Открывавшаяся гиперссылка" xfId="3446" builtinId="9" hidden="1"/>
    <cellStyle name="Открывавшаяся гиперссылка" xfId="3450" builtinId="9" hidden="1"/>
    <cellStyle name="Открывавшаяся гиперссылка" xfId="3447" builtinId="9" hidden="1"/>
    <cellStyle name="Открывавшаяся гиперссылка" xfId="3454" builtinId="9" hidden="1"/>
    <cellStyle name="Открывавшаяся гиперссылка" xfId="3456" builtinId="9" hidden="1"/>
    <cellStyle name="Открывавшаяся гиперссылка" xfId="3457" builtinId="9" hidden="1"/>
    <cellStyle name="Открывавшаяся гиперссылка" xfId="3459" builtinId="9" hidden="1"/>
    <cellStyle name="Открывавшаяся гиперссылка" xfId="3464" builtinId="9" hidden="1"/>
    <cellStyle name="Открывавшаяся гиперссылка" xfId="3461" builtinId="9" hidden="1"/>
    <cellStyle name="Открывавшаяся гиперссылка" xfId="3466" builtinId="9" hidden="1"/>
    <cellStyle name="Открывавшаяся гиперссылка" xfId="3468" builtinId="9" hidden="1"/>
    <cellStyle name="Открывавшаяся гиперссылка" xfId="3472" builtinId="9" hidden="1"/>
    <cellStyle name="Открывавшаяся гиперссылка" xfId="3469" builtinId="9" hidden="1"/>
    <cellStyle name="Открывавшаяся гиперссылка" xfId="3474" builtinId="9" hidden="1"/>
    <cellStyle name="Открывавшаяся гиперссылка" xfId="3476" builtinId="9" hidden="1"/>
    <cellStyle name="Открывавшаяся гиперссылка" xfId="3477" builtinId="9" hidden="1"/>
    <cellStyle name="Открывавшаяся гиперссылка" xfId="3479" builtinId="9" hidden="1"/>
    <cellStyle name="Открывавшаяся гиперссылка" xfId="3484" builtinId="9" hidden="1"/>
    <cellStyle name="Открывавшаяся гиперссылка" xfId="3481" builtinId="9" hidden="1"/>
    <cellStyle name="Открывавшаяся гиперссылка" xfId="3486" builtinId="9" hidden="1"/>
    <cellStyle name="Открывавшаяся гиперссылка" xfId="3488" builtinId="9" hidden="1"/>
    <cellStyle name="Открывавшаяся гиперссылка" xfId="3492" builtinId="9" hidden="1"/>
    <cellStyle name="Открывавшаяся гиперссылка" xfId="3489" builtinId="9" hidden="1"/>
    <cellStyle name="Открывавшаяся гиперссылка" xfId="3152" builtinId="9" hidden="1"/>
    <cellStyle name="Открывавшаяся гиперссылка" xfId="3148" builtinId="9" hidden="1"/>
    <cellStyle name="Открывавшаяся гиперссылка" xfId="1859" builtinId="9" hidden="1"/>
    <cellStyle name="Открывавшаяся гиперссылка" xfId="3168" builtinId="9" hidden="1"/>
    <cellStyle name="Открывавшаяся гиперссылка" xfId="1760" builtinId="9" hidden="1"/>
    <cellStyle name="Открывавшаяся гиперссылка" xfId="2208" builtinId="9" hidden="1"/>
    <cellStyle name="Открывавшаяся гиперссылка" xfId="3311" builtinId="9" hidden="1"/>
    <cellStyle name="Открывавшаяся гиперссылка" xfId="3127" builtinId="9" hidden="1"/>
    <cellStyle name="Открывавшаяся гиперссылка" xfId="3577" builtinId="9" hidden="1"/>
    <cellStyle name="Открывавшаяся гиперссылка" xfId="3570" builtinId="9" hidden="1"/>
    <cellStyle name="Открывавшаяся гиперссылка" xfId="3603" builtinId="9" hidden="1"/>
    <cellStyle name="Открывавшаяся гиперссылка" xfId="3605" builtinId="9" hidden="1"/>
    <cellStyle name="Открывавшаяся гиперссылка" xfId="3607" builtinId="9" hidden="1"/>
    <cellStyle name="Открывавшаяся гиперссылка" xfId="3609" builtinId="9" hidden="1"/>
    <cellStyle name="Открывавшаяся гиперссылка" xfId="3614" builtinId="9" hidden="1"/>
    <cellStyle name="Открывавшаяся гиперссылка" xfId="3611" builtinId="9" hidden="1"/>
    <cellStyle name="Открывавшаяся гиперссылка" xfId="3616" builtinId="9" hidden="1"/>
    <cellStyle name="Открывавшаяся гиперссылка" xfId="3618" builtinId="9" hidden="1"/>
    <cellStyle name="Открывавшаяся гиперссылка" xfId="3622" builtinId="9" hidden="1"/>
    <cellStyle name="Открывавшаяся гиперссылка" xfId="3619" builtinId="9" hidden="1"/>
    <cellStyle name="Открывавшаяся гиперссылка" xfId="3625" builtinId="9" hidden="1"/>
    <cellStyle name="Открывавшаяся гиперссылка" xfId="3627" builtinId="9" hidden="1"/>
    <cellStyle name="Открывавшаяся гиперссылка" xfId="3628" builtinId="9" hidden="1"/>
    <cellStyle name="Открывавшаяся гиперссылка" xfId="3630" builtinId="9" hidden="1"/>
    <cellStyle name="Открывавшаяся гиперссылка" xfId="3635" builtinId="9" hidden="1"/>
    <cellStyle name="Открывавшаяся гиперссылка" xfId="3632" builtinId="9" hidden="1"/>
    <cellStyle name="Открывавшаяся гиперссылка" xfId="3637" builtinId="9" hidden="1"/>
    <cellStyle name="Открывавшаяся гиперссылка" xfId="3639" builtinId="9" hidden="1"/>
    <cellStyle name="Открывавшаяся гиперссылка" xfId="3643" builtinId="9" hidden="1"/>
    <cellStyle name="Открывавшаяся гиперссылка" xfId="3640" builtinId="9" hidden="1"/>
    <cellStyle name="Открывавшаяся гиперссылка" xfId="3645" builtinId="9" hidden="1"/>
    <cellStyle name="Открывавшаяся гиперссылка" xfId="3647" builtinId="9" hidden="1"/>
    <cellStyle name="Открывавшаяся гиперссылка" xfId="3648" builtinId="9" hidden="1"/>
    <cellStyle name="Открывавшаяся гиперссылка" xfId="3650" builtinId="9" hidden="1"/>
    <cellStyle name="Открывавшаяся гиперссылка" xfId="3655" builtinId="9" hidden="1"/>
    <cellStyle name="Открывавшаяся гиперссылка" xfId="3652" builtinId="9" hidden="1"/>
    <cellStyle name="Открывавшаяся гиперссылка" xfId="3657" builtinId="9" hidden="1"/>
    <cellStyle name="Открывавшаяся гиперссылка" xfId="3659" builtinId="9" hidden="1"/>
    <cellStyle name="Открывавшаяся гиперссылка" xfId="3663" builtinId="9" hidden="1"/>
    <cellStyle name="Открывавшаяся гиперссылка" xfId="3660" builtinId="9" hidden="1"/>
    <cellStyle name="Открывавшаяся гиперссылка" xfId="3345" builtinId="9" hidden="1"/>
    <cellStyle name="Открывавшаяся гиперссылка" xfId="3341" builtinId="9" hidden="1"/>
    <cellStyle name="Открывавшаяся гиперссылка" xfId="2097" builtinId="9" hidden="1"/>
    <cellStyle name="Открывавшаяся гиперссылка" xfId="3360" builtinId="9" hidden="1"/>
    <cellStyle name="Открывавшаяся гиперссылка" xfId="1998" builtinId="9" hidden="1"/>
    <cellStyle name="Открывавшаяся гиперссылка" xfId="2443" builtinId="9" hidden="1"/>
    <cellStyle name="Открывавшаяся гиперссылка" xfId="3498" builtinId="9" hidden="1"/>
    <cellStyle name="Открывавшаяся гиперссылка" xfId="3324" builtinId="9" hidden="1"/>
    <cellStyle name="Открывавшаяся гиперссылка" xfId="3735" builtinId="9" hidden="1"/>
    <cellStyle name="Открывавшаяся гиперссылка" xfId="3729" builtinId="9" hidden="1"/>
    <cellStyle name="Открывавшаяся гиперссылка" xfId="3758" builtinId="9" hidden="1"/>
    <cellStyle name="Открывавшаяся гиперссылка" xfId="3760" builtinId="9" hidden="1"/>
    <cellStyle name="Открывавшаяся гиперссылка" xfId="3762" builtinId="9" hidden="1"/>
    <cellStyle name="Открывавшаяся гиперссылка" xfId="3764" builtinId="9" hidden="1"/>
    <cellStyle name="Открывавшаяся гиперссылка" xfId="3769" builtinId="9" hidden="1"/>
    <cellStyle name="Открывавшаяся гиперссылка" xfId="3766" builtinId="9" hidden="1"/>
    <cellStyle name="Открывавшаяся гиперссылка" xfId="3771" builtinId="9" hidden="1"/>
    <cellStyle name="Открывавшаяся гиперссылка" xfId="3773" builtinId="9" hidden="1"/>
    <cellStyle name="Открывавшаяся гиперссылка" xfId="3777" builtinId="9" hidden="1"/>
    <cellStyle name="Открывавшаяся гиперссылка" xfId="3774" builtinId="9" hidden="1"/>
    <cellStyle name="Открывавшаяся гиперссылка" xfId="3780" builtinId="9" hidden="1"/>
    <cellStyle name="Открывавшаяся гиперссылка" xfId="3782" builtinId="9" hidden="1"/>
    <cellStyle name="Открывавшаяся гиперссылка" xfId="3783" builtinId="9" hidden="1"/>
    <cellStyle name="Открывавшаяся гиперссылка" xfId="3785" builtinId="9" hidden="1"/>
    <cellStyle name="Открывавшаяся гиперссылка" xfId="3790" builtinId="9" hidden="1"/>
    <cellStyle name="Открывавшаяся гиперссылка" xfId="3787" builtinId="9" hidden="1"/>
    <cellStyle name="Открывавшаяся гиперссылка" xfId="3792" builtinId="9" hidden="1"/>
    <cellStyle name="Открывавшаяся гиперссылка" xfId="3794" builtinId="9" hidden="1"/>
    <cellStyle name="Открывавшаяся гиперссылка" xfId="3798" builtinId="9" hidden="1"/>
    <cellStyle name="Открывавшаяся гиперссылка" xfId="3795" builtinId="9" hidden="1"/>
    <cellStyle name="Открывавшаяся гиперссылка" xfId="3800" builtinId="9" hidden="1"/>
    <cellStyle name="Открывавшаяся гиперссылка" xfId="3802" builtinId="9" hidden="1"/>
    <cellStyle name="Открывавшаяся гиперссылка" xfId="3803" builtinId="9" hidden="1"/>
    <cellStyle name="Открывавшаяся гиперссылка" xfId="3805" builtinId="9" hidden="1"/>
    <cellStyle name="Открывавшаяся гиперссылка" xfId="3810" builtinId="9" hidden="1"/>
    <cellStyle name="Открывавшаяся гиперссылка" xfId="3807" builtinId="9" hidden="1"/>
    <cellStyle name="Открывавшаяся гиперссылка" xfId="3812" builtinId="9" hidden="1"/>
    <cellStyle name="Открывавшаяся гиперссылка" xfId="3814" builtinId="9" hidden="1"/>
    <cellStyle name="Открывавшаяся гиперссылка" xfId="3818" builtinId="9" hidden="1"/>
    <cellStyle name="Открывавшаяся гиперссылка" xfId="3815" builtinId="9" hidden="1"/>
    <cellStyle name="Открывавшаяся гиперссылка" xfId="3528" builtinId="9" hidden="1"/>
    <cellStyle name="Открывавшаяся гиперссылка" xfId="3524" builtinId="9" hidden="1"/>
    <cellStyle name="Открывавшаяся гиперссылка" xfId="2332" builtinId="9" hidden="1"/>
    <cellStyle name="Открывавшаяся гиперссылка" xfId="3542" builtinId="9" hidden="1"/>
    <cellStyle name="Открывавшаяся гиперссылка" xfId="2234" builtinId="9" hidden="1"/>
    <cellStyle name="Открывавшаяся гиперссылка" xfId="2675" builtinId="9" hidden="1"/>
    <cellStyle name="Открывавшаяся гиперссылка" xfId="3669" builtinId="9" hidden="1"/>
    <cellStyle name="Открывавшаяся гиперссылка" xfId="3508" builtinId="9" hidden="1"/>
    <cellStyle name="Открывавшаяся гиперссылка" xfId="3862" builtinId="9" hidden="1"/>
    <cellStyle name="Открывавшаяся гиперссылка" xfId="3859" builtinId="9" hidden="1"/>
    <cellStyle name="Открывавшаяся гиперссылка" xfId="3878" builtinId="9" hidden="1"/>
    <cellStyle name="Открывавшаяся гиперссылка" xfId="3880" builtinId="9" hidden="1"/>
    <cellStyle name="Открывавшаяся гиперссылка" xfId="3882" builtinId="9" hidden="1"/>
    <cellStyle name="Открывавшаяся гиперссылка" xfId="3884" builtinId="9" hidden="1"/>
    <cellStyle name="Открывавшаяся гиперссылка" xfId="3889" builtinId="9" hidden="1"/>
    <cellStyle name="Открывавшаяся гиперссылка" xfId="3886" builtinId="9" hidden="1"/>
    <cellStyle name="Открывавшаяся гиперссылка" xfId="3891" builtinId="9" hidden="1"/>
    <cellStyle name="Открывавшаяся гиперссылка" xfId="3893" builtinId="9" hidden="1"/>
    <cellStyle name="Открывавшаяся гиперссылка" xfId="3897" builtinId="9" hidden="1"/>
    <cellStyle name="Открывавшаяся гиперссылка" xfId="3894" builtinId="9" hidden="1"/>
    <cellStyle name="Открывавшаяся гиперссылка" xfId="3899" builtinId="9" hidden="1"/>
    <cellStyle name="Открывавшаяся гиперссылка" xfId="3901" builtinId="9" hidden="1"/>
    <cellStyle name="Открывавшаяся гиперссылка" xfId="3902" builtinId="9" hidden="1"/>
    <cellStyle name="Открывавшаяся гиперссылка" xfId="3904" builtinId="9" hidden="1"/>
    <cellStyle name="Открывавшаяся гиперссылка" xfId="3909" builtinId="9" hidden="1"/>
    <cellStyle name="Открывавшаяся гиперссылка" xfId="3906" builtinId="9" hidden="1"/>
    <cellStyle name="Открывавшаяся гиперссылка" xfId="3911" builtinId="9" hidden="1"/>
    <cellStyle name="Открывавшаяся гиперссылка" xfId="3913" builtinId="9" hidden="1"/>
    <cellStyle name="Открывавшаяся гиперссылка" xfId="3917" builtinId="9" hidden="1"/>
    <cellStyle name="Открывавшаяся гиперссылка" xfId="3914" builtinId="9" hidden="1"/>
    <cellStyle name="Открывавшаяся гиперссылка" xfId="3919" builtinId="9" hidden="1"/>
    <cellStyle name="Открывавшаяся гиперссылка" xfId="3921" builtinId="9" hidden="1"/>
    <cellStyle name="Открывавшаяся гиперссылка" xfId="3922" builtinId="9" hidden="1"/>
    <cellStyle name="Открывавшаяся гиперссылка" xfId="3924" builtinId="9" hidden="1"/>
    <cellStyle name="Открывавшаяся гиперссылка" xfId="3929" builtinId="9" hidden="1"/>
    <cellStyle name="Открывавшаяся гиперссылка" xfId="3926" builtinId="9" hidden="1"/>
    <cellStyle name="Открывавшаяся гиперссылка" xfId="3931" builtinId="9" hidden="1"/>
    <cellStyle name="Открывавшаяся гиперссылка" xfId="3933" builtinId="9" hidden="1"/>
    <cellStyle name="Открывавшаяся гиперссылка" xfId="3937" builtinId="9" hidden="1"/>
    <cellStyle name="Открывавшаяся гиперссылка" xfId="3934" builtinId="9" hidden="1"/>
    <cellStyle name="Открывавшаяся гиперссылка" xfId="3690" builtinId="9" hidden="1"/>
    <cellStyle name="Открывавшаяся гиперссылка" xfId="3687" builtinId="9" hidden="1"/>
    <cellStyle name="Открывавшаяся гиперссылка" xfId="2564" builtinId="9" hidden="1"/>
    <cellStyle name="Открывавшаяся гиперссылка" xfId="3704" builtinId="9" hidden="1"/>
    <cellStyle name="Открывавшаяся гиперссылка" xfId="2468" builtinId="9" hidden="1"/>
    <cellStyle name="Открывавшаяся гиперссылка" xfId="2896" builtinId="9" hidden="1"/>
    <cellStyle name="Открывавшаяся гиперссылка" xfId="3821" builtinId="9" hidden="1"/>
    <cellStyle name="Открывавшаяся гиперссылка" xfId="3675" builtinId="9" hidden="1"/>
    <cellStyle name="Открывавшаяся гиперссылка" xfId="3941" builtinId="9" hidden="1"/>
    <cellStyle name="Открывавшаяся гиперссылка" xfId="3938" builtinId="9" hidden="1"/>
    <cellStyle name="Открывавшаяся гиперссылка" xfId="3943" builtinId="9" hidden="1"/>
    <cellStyle name="Открывавшаяся гиперссылка" xfId="3945" builtinId="9" hidden="1"/>
    <cellStyle name="Открывавшаяся гиперссылка" xfId="3946" builtinId="9" hidden="1"/>
    <cellStyle name="Открывавшаяся гиперссылка" xfId="3948" builtinId="9" hidden="1"/>
    <cellStyle name="Открывавшаяся гиперссылка" xfId="3953" builtinId="9" hidden="1"/>
    <cellStyle name="Открывавшаяся гиперссылка" xfId="3950" builtinId="9" hidden="1"/>
    <cellStyle name="Открывавшаяся гиперссылка" xfId="3955" builtinId="9" hidden="1"/>
    <cellStyle name="Открывавшаяся гиперссылка" xfId="3957" builtinId="9" hidden="1"/>
    <cellStyle name="Открывавшаяся гиперссылка" xfId="3961" builtinId="9" hidden="1"/>
    <cellStyle name="Открывавшаяся гиперссылка" xfId="3958" builtinId="9" hidden="1"/>
    <cellStyle name="Открывавшаяся гиперссылка" xfId="3963" builtinId="9" hidden="1"/>
    <cellStyle name="Открывавшаяся гиперссылка" xfId="3965" builtinId="9" hidden="1"/>
    <cellStyle name="Открывавшаяся гиперссылка" xfId="3966" builtinId="9" hidden="1"/>
    <cellStyle name="Открывавшаяся гиперссылка" xfId="3968" builtinId="9" hidden="1"/>
    <cellStyle name="Открывавшаяся гиперссылка" xfId="3973" builtinId="9" hidden="1"/>
    <cellStyle name="Открывавшаяся гиперссылка" xfId="3970" builtinId="9" hidden="1"/>
    <cellStyle name="Открывавшаяся гиперссылка" xfId="3975" builtinId="9" hidden="1"/>
    <cellStyle name="Открывавшаяся гиперссылка" xfId="3977" builtinId="9" hidden="1"/>
    <cellStyle name="Открывавшаяся гиперссылка" xfId="3981" builtinId="9" hidden="1"/>
    <cellStyle name="Открывавшаяся гиперссылка" xfId="3978" builtinId="9" hidden="1"/>
    <cellStyle name="Открывавшаяся гиперссылка" xfId="3983" builtinId="9" hidden="1"/>
    <cellStyle name="Открывавшаяся гиперссылка" xfId="3985" builtinId="9" hidden="1"/>
    <cellStyle name="Открывавшаяся гиперссылка" xfId="3986" builtinId="9" hidden="1"/>
    <cellStyle name="Открывавшаяся гиперссылка" xfId="3988" builtinId="9" hidden="1"/>
    <cellStyle name="Открывавшаяся гиперссылка" xfId="3993" builtinId="9" hidden="1"/>
    <cellStyle name="Открывавшаяся гиперссылка" xfId="3990" builtinId="9" hidden="1"/>
    <cellStyle name="Открывавшаяся гиперссылка" xfId="3995" builtinId="9" hidden="1"/>
    <cellStyle name="Открывавшаяся гиперссылка" xfId="3997" builtinId="9" hidden="1"/>
    <cellStyle name="Открывавшаяся гиперссылка" xfId="4001" builtinId="9" hidden="1"/>
    <cellStyle name="Открывавшаяся гиперссылка" xfId="3998" builtinId="9" hidden="1"/>
    <cellStyle name="Открывавшаяся гиперссылка" xfId="4155" builtinId="9" hidden="1"/>
    <cellStyle name="Открывавшаяся гиперссылка" xfId="4157" builtinId="9" hidden="1"/>
    <cellStyle name="Открывавшаяся гиперссылка" xfId="4161" builtinId="9" hidden="1"/>
    <cellStyle name="Открывавшаяся гиперссылка" xfId="4171" builtinId="9" hidden="1"/>
    <cellStyle name="Открывавшаяся гиперссылка" xfId="4356" builtinId="9" hidden="1"/>
    <cellStyle name="Открывавшаяся гиперссылка" xfId="4341" builtinId="9" hidden="1"/>
    <cellStyle name="Открывавшаяся гиперссылка" xfId="4383" builtinId="9" hidden="1"/>
    <cellStyle name="Открывавшаяся гиперссылка" xfId="4385" builtinId="9" hidden="1"/>
    <cellStyle name="Открывавшаяся гиперссылка" xfId="4488" builtinId="9" hidden="1"/>
    <cellStyle name="Открывавшаяся гиперссылка" xfId="4475" builtinId="9" hidden="1"/>
    <cellStyle name="Открывавшаяся гиперссылка" xfId="4515" builtinId="9" hidden="1"/>
    <cellStyle name="Открывавшаяся гиперссылка" xfId="4517" builtinId="9" hidden="1"/>
    <cellStyle name="Открывавшаяся гиперссылка" xfId="4519" builtinId="9" hidden="1"/>
    <cellStyle name="Открывавшаяся гиперссылка" xfId="4521" builtinId="9" hidden="1"/>
    <cellStyle name="Открывавшаяся гиперссылка" xfId="4526" builtinId="9" hidden="1"/>
    <cellStyle name="Открывавшаяся гиперссылка" xfId="4523" builtinId="9" hidden="1"/>
    <cellStyle name="Открывавшаяся гиперссылка" xfId="4528" builtinId="9" hidden="1"/>
    <cellStyle name="Открывавшаяся гиперссылка" xfId="4530" builtinId="9" hidden="1"/>
    <cellStyle name="Открывавшаяся гиперссылка" xfId="4534" builtinId="9" hidden="1"/>
    <cellStyle name="Открывавшаяся гиперссылка" xfId="4531" builtinId="9" hidden="1"/>
    <cellStyle name="Открывавшаяся гиперссылка" xfId="4536" builtinId="9" hidden="1"/>
    <cellStyle name="Открывавшаяся гиперссылка" xfId="4538" builtinId="9" hidden="1"/>
    <cellStyle name="Открывавшаяся гиперссылка" xfId="4539" builtinId="9" hidden="1"/>
    <cellStyle name="Открывавшаяся гиперссылка" xfId="4541" builtinId="9" hidden="1"/>
    <cellStyle name="Открывавшаяся гиперссылка" xfId="4546" builtinId="9" hidden="1"/>
    <cellStyle name="Открывавшаяся гиперссылка" xfId="4543" builtinId="9" hidden="1"/>
    <cellStyle name="Открывавшаяся гиперссылка" xfId="4548" builtinId="9" hidden="1"/>
    <cellStyle name="Открывавшаяся гиперссылка" xfId="4550" builtinId="9" hidden="1"/>
    <cellStyle name="Открывавшаяся гиперссылка" xfId="4554" builtinId="9" hidden="1"/>
    <cellStyle name="Открывавшаяся гиперссылка" xfId="4551" builtinId="9" hidden="1"/>
    <cellStyle name="Открывавшаяся гиперссылка" xfId="4556" builtinId="9" hidden="1"/>
    <cellStyle name="Открывавшаяся гиперссылка" xfId="4558" builtinId="9" hidden="1"/>
    <cellStyle name="Открывавшаяся гиперссылка" xfId="4559" builtinId="9" hidden="1"/>
    <cellStyle name="Открывавшаяся гиперссылка" xfId="4561" builtinId="9" hidden="1"/>
    <cellStyle name="Открывавшаяся гиперссылка" xfId="4566" builtinId="9" hidden="1"/>
    <cellStyle name="Открывавшаяся гиперссылка" xfId="4563" builtinId="9" hidden="1"/>
    <cellStyle name="Открывавшаяся гиперссылка" xfId="4568" builtinId="9" hidden="1"/>
    <cellStyle name="Открывавшаяся гиперссылка" xfId="4570" builtinId="9" hidden="1"/>
    <cellStyle name="Открывавшаяся гиперссылка" xfId="4574" builtinId="9" hidden="1"/>
    <cellStyle name="Открывавшаяся гиперссылка" xfId="4571" builtinId="9" hidden="1"/>
    <cellStyle name="Открывавшаяся гиперссылка" xfId="4659" builtinId="9" hidden="1"/>
    <cellStyle name="Открывавшаяся гиперссылка" xfId="4661" builtinId="9" hidden="1"/>
    <cellStyle name="Открывавшаяся гиперссылка" xfId="4665" builtinId="9" hidden="1"/>
    <cellStyle name="Открывавшаяся гиперссылка" xfId="4675" builtinId="9" hidden="1"/>
    <cellStyle name="Открывавшаяся гиперссылка" xfId="4849" builtinId="9" hidden="1"/>
    <cellStyle name="Открывавшаяся гиперссылка" xfId="4839" builtinId="9" hidden="1"/>
    <cellStyle name="Открывавшаяся гиперссылка" xfId="4872" builtinId="9" hidden="1"/>
    <cellStyle name="Открывавшаяся гиперссылка" xfId="4874" builtinId="9" hidden="1"/>
    <cellStyle name="Открывавшаяся гиперссылка" xfId="4984" builtinId="9" hidden="1"/>
    <cellStyle name="Открывавшаяся гиперссылка" xfId="4974" builtinId="9" hidden="1"/>
    <cellStyle name="Открывавшаяся гиперссылка" xfId="5008" builtinId="9" hidden="1"/>
    <cellStyle name="Открывавшаяся гиперссылка" xfId="5010" builtinId="9" hidden="1"/>
    <cellStyle name="Открывавшаяся гиперссылка" xfId="5011" builtinId="9" hidden="1"/>
    <cellStyle name="Открывавшаяся гиперссылка" xfId="5013" builtinId="9" hidden="1"/>
    <cellStyle name="Открывавшаяся гиперссылка" xfId="5018" builtinId="9" hidden="1"/>
    <cellStyle name="Открывавшаяся гиперссылка" xfId="5015" builtinId="9" hidden="1"/>
    <cellStyle name="Открывавшаяся гиперссылка" xfId="5020" builtinId="9" hidden="1"/>
    <cellStyle name="Открывавшаяся гиперссылка" xfId="5022" builtinId="9" hidden="1"/>
    <cellStyle name="Открывавшаяся гиперссылка" xfId="5026" builtinId="9" hidden="1"/>
    <cellStyle name="Открывавшаяся гиперссылка" xfId="5023" builtinId="9" hidden="1"/>
    <cellStyle name="Открывавшаяся гиперссылка" xfId="5029" builtinId="9" hidden="1"/>
    <cellStyle name="Открывавшаяся гиперссылка" xfId="5031" builtinId="9" hidden="1"/>
    <cellStyle name="Открывавшаяся гиперссылка" xfId="5032" builtinId="9" hidden="1"/>
    <cellStyle name="Открывавшаяся гиперссылка" xfId="5034" builtinId="9" hidden="1"/>
    <cellStyle name="Открывавшаяся гиперссылка" xfId="5039" builtinId="9" hidden="1"/>
    <cellStyle name="Открывавшаяся гиперссылка" xfId="5036" builtinId="9" hidden="1"/>
    <cellStyle name="Открывавшаяся гиперссылка" xfId="5041" builtinId="9" hidden="1"/>
    <cellStyle name="Открывавшаяся гиперссылка" xfId="5043" builtinId="9" hidden="1"/>
    <cellStyle name="Открывавшаяся гиперссылка" xfId="5047" builtinId="9" hidden="1"/>
    <cellStyle name="Открывавшаяся гиперссылка" xfId="5044" builtinId="9" hidden="1"/>
    <cellStyle name="Открывавшаяся гиперссылка" xfId="5049" builtinId="9" hidden="1"/>
    <cellStyle name="Открывавшаяся гиперссылка" xfId="5051" builtinId="9" hidden="1"/>
    <cellStyle name="Открывавшаяся гиперссылка" xfId="5052" builtinId="9" hidden="1"/>
    <cellStyle name="Открывавшаяся гиперссылка" xfId="5054" builtinId="9" hidden="1"/>
    <cellStyle name="Открывавшаяся гиперссылка" xfId="5059" builtinId="9" hidden="1"/>
    <cellStyle name="Открывавшаяся гиперссылка" xfId="5056" builtinId="9" hidden="1"/>
    <cellStyle name="Открывавшаяся гиперссылка" xfId="5061" builtinId="9" hidden="1"/>
    <cellStyle name="Открывавшаяся гиперссылка" xfId="5063" builtinId="9" hidden="1"/>
    <cellStyle name="Открывавшаяся гиперссылка" xfId="5067" builtinId="9" hidden="1"/>
    <cellStyle name="Открывавшаяся гиперссылка" xfId="5064" builtinId="9" hidden="1"/>
    <cellStyle name="Открывавшаяся гиперссылка" xfId="4840" builtinId="9" hidden="1"/>
    <cellStyle name="Открывавшаяся гиперссылка" xfId="4624" builtinId="9" hidden="1"/>
    <cellStyle name="Открывавшаяся гиперссылка" xfId="4783" builtinId="9" hidden="1"/>
    <cellStyle name="Открывавшаяся гиперссылка" xfId="4597" builtinId="9" hidden="1"/>
    <cellStyle name="Открывавшаяся гиперссылка" xfId="4843" builtinId="9" hidden="1"/>
    <cellStyle name="Открывавшаяся гиперссылка" xfId="4692" builtinId="9" hidden="1"/>
    <cellStyle name="Открывавшаяся гиперссылка" xfId="4897" builtinId="9" hidden="1"/>
    <cellStyle name="Открывавшаяся гиперссылка" xfId="4681" builtinId="9" hidden="1"/>
    <cellStyle name="Открывавшаяся гиперссылка" xfId="5167" builtinId="9" hidden="1"/>
    <cellStyle name="Открывавшаяся гиперссылка" xfId="5156" builtinId="9" hidden="1"/>
    <cellStyle name="Открывавшаяся гиперссылка" xfId="5187" builtinId="9" hidden="1"/>
    <cellStyle name="Открывавшаяся гиперссылка" xfId="5189" builtinId="9" hidden="1"/>
    <cellStyle name="Открывавшаяся гиперссылка" xfId="5190" builtinId="9" hidden="1"/>
    <cellStyle name="Открывавшаяся гиперссылка" xfId="5192" builtinId="9" hidden="1"/>
    <cellStyle name="Открывавшаяся гиперссылка" xfId="5197" builtinId="9" hidden="1"/>
    <cellStyle name="Открывавшаяся гиперссылка" xfId="5194" builtinId="9" hidden="1"/>
    <cellStyle name="Открывавшаяся гиперссылка" xfId="5199" builtinId="9" hidden="1"/>
    <cellStyle name="Открывавшаяся гиперссылка" xfId="5201" builtinId="9" hidden="1"/>
    <cellStyle name="Открывавшаяся гиперссылка" xfId="5205" builtinId="9" hidden="1"/>
    <cellStyle name="Открывавшаяся гиперссылка" xfId="5202" builtinId="9" hidden="1"/>
    <cellStyle name="Открывавшаяся гиперссылка" xfId="5209" builtinId="9" hidden="1"/>
    <cellStyle name="Открывавшаяся гиперссылка" xfId="5211" builtinId="9" hidden="1"/>
    <cellStyle name="Открывавшаяся гиперссылка" xfId="5212" builtinId="9" hidden="1"/>
    <cellStyle name="Открывавшаяся гиперссылка" xfId="5214" builtinId="9" hidden="1"/>
    <cellStyle name="Открывавшаяся гиперссылка" xfId="5219" builtinId="9" hidden="1"/>
    <cellStyle name="Открывавшаяся гиперссылка" xfId="5216" builtinId="9" hidden="1"/>
    <cellStyle name="Открывавшаяся гиперссылка" xfId="5221" builtinId="9" hidden="1"/>
    <cellStyle name="Открывавшаяся гиперссылка" xfId="5223" builtinId="9" hidden="1"/>
    <cellStyle name="Открывавшаяся гиперссылка" xfId="5227" builtinId="9" hidden="1"/>
    <cellStyle name="Открывавшаяся гиперссылка" xfId="5224" builtinId="9" hidden="1"/>
    <cellStyle name="Открывавшаяся гиперссылка" xfId="5229" builtinId="9" hidden="1"/>
    <cellStyle name="Открывавшаяся гиперссылка" xfId="5231" builtinId="9" hidden="1"/>
    <cellStyle name="Открывавшаяся гиперссылка" xfId="5232" builtinId="9" hidden="1"/>
    <cellStyle name="Открывавшаяся гиперссылка" xfId="5234" builtinId="9" hidden="1"/>
    <cellStyle name="Открывавшаяся гиперссылка" xfId="5239" builtinId="9" hidden="1"/>
    <cellStyle name="Открывавшаяся гиперссылка" xfId="5236" builtinId="9" hidden="1"/>
    <cellStyle name="Открывавшаяся гиперссылка" xfId="5241" builtinId="9" hidden="1"/>
    <cellStyle name="Открывавшаяся гиперссылка" xfId="5243" builtinId="9" hidden="1"/>
    <cellStyle name="Открывавшаяся гиперссылка" xfId="5247" builtinId="9" hidden="1"/>
    <cellStyle name="Открывавшаяся гиперссылка" xfId="5244" builtinId="9" hidden="1"/>
    <cellStyle name="Открывавшаяся гиперссылка" xfId="4929" builtinId="9" hidden="1"/>
    <cellStyle name="Открывавшаяся гиперссылка" xfId="4926" builtinId="9" hidden="1"/>
    <cellStyle name="Открывавшаяся гиперссылка" xfId="4598" builtinId="9" hidden="1"/>
    <cellStyle name="Открывавшаяся гиперссылка" xfId="4945" builtinId="9" hidden="1"/>
    <cellStyle name="Открывавшаяся гиперссылка" xfId="4807" builtinId="9" hidden="1"/>
    <cellStyle name="Открывавшаяся гиперссылка" xfId="4800" builtinId="9" hidden="1"/>
    <cellStyle name="Открывавшаяся гиперссылка" xfId="5075" builtinId="9" hidden="1"/>
    <cellStyle name="Открывавшаяся гиперссылка" xfId="4910" builtinId="9" hidden="1"/>
    <cellStyle name="Открывавшаяся гиперссылка" xfId="5339" builtinId="9" hidden="1"/>
    <cellStyle name="Открывавшаяся гиперссылка" xfId="5325" builtinId="9" hidden="1"/>
    <cellStyle name="Открывавшаяся гиперссылка" xfId="5359" builtinId="9" hidden="1"/>
    <cellStyle name="Открывавшаяся гиперссылка" xfId="5361" builtinId="9" hidden="1"/>
    <cellStyle name="Открывавшаяся гиперссылка" xfId="5363" builtinId="9" hidden="1"/>
    <cellStyle name="Открывавшаяся гиперссылка" xfId="5365" builtinId="9" hidden="1"/>
    <cellStyle name="Открывавшаяся гиперссылка" xfId="5370" builtinId="9" hidden="1"/>
    <cellStyle name="Открывавшаяся гиперссылка" xfId="5367" builtinId="9" hidden="1"/>
    <cellStyle name="Открывавшаяся гиперссылка" xfId="5372" builtinId="9" hidden="1"/>
    <cellStyle name="Открывавшаяся гиперссылка" xfId="5374" builtinId="9" hidden="1"/>
    <cellStyle name="Открывавшаяся гиперссылка" xfId="5378" builtinId="9" hidden="1"/>
    <cellStyle name="Открывавшаяся гиперссылка" xfId="5375" builtinId="9" hidden="1"/>
    <cellStyle name="Открывавшаяся гиперссылка" xfId="5382" builtinId="9" hidden="1"/>
    <cellStyle name="Открывавшаяся гиперссылка" xfId="5384" builtinId="9" hidden="1"/>
    <cellStyle name="Открывавшаяся гиперссылка" xfId="5385" builtinId="9" hidden="1"/>
    <cellStyle name="Открывавшаяся гиперссылка" xfId="5387" builtinId="9" hidden="1"/>
    <cellStyle name="Открывавшаяся гиперссылка" xfId="5392" builtinId="9" hidden="1"/>
    <cellStyle name="Открывавшаяся гиперссылка" xfId="5389" builtinId="9" hidden="1"/>
    <cellStyle name="Открывавшаяся гиперссылка" xfId="5394" builtinId="9" hidden="1"/>
    <cellStyle name="Открывавшаяся гиперссылка" xfId="5396" builtinId="9" hidden="1"/>
    <cellStyle name="Открывавшаяся гиперссылка" xfId="5400" builtinId="9" hidden="1"/>
    <cellStyle name="Открывавшаяся гиперссылка" xfId="5397" builtinId="9" hidden="1"/>
    <cellStyle name="Открывавшаяся гиперссылка" xfId="5402" builtinId="9" hidden="1"/>
    <cellStyle name="Открывавшаяся гиперссылка" xfId="5404" builtinId="9" hidden="1"/>
    <cellStyle name="Открывавшаяся гиперссылка" xfId="5405" builtinId="9" hidden="1"/>
    <cellStyle name="Открывавшаяся гиперссылка" xfId="5407" builtinId="9" hidden="1"/>
    <cellStyle name="Открывавшаяся гиперссылка" xfId="5412" builtinId="9" hidden="1"/>
    <cellStyle name="Открывавшаяся гиперссылка" xfId="5409" builtinId="9" hidden="1"/>
    <cellStyle name="Открывавшаяся гиперссылка" xfId="5414" builtinId="9" hidden="1"/>
    <cellStyle name="Открывавшаяся гиперссылка" xfId="5416" builtinId="9" hidden="1"/>
    <cellStyle name="Открывавшаяся гиперссылка" xfId="5420" builtinId="9" hidden="1"/>
    <cellStyle name="Открывавшаяся гиперссылка" xfId="5417" builtinId="9" hidden="1"/>
    <cellStyle name="Открывавшаяся гиперссылка" xfId="5113" builtinId="9" hidden="1"/>
    <cellStyle name="Открывавшаяся гиперссылка" xfId="5108" builtinId="9" hidden="1"/>
    <cellStyle name="Открывавшаяся гиперссылка" xfId="4812" builtinId="9" hidden="1"/>
    <cellStyle name="Открывавшаяся гиперссылка" xfId="5126" builtinId="9" hidden="1"/>
    <cellStyle name="Открывавшаяся гиперссылка" xfId="4652" builtinId="9" hidden="1"/>
    <cellStyle name="Открывавшаяся гиперссылка" xfId="4793" builtinId="9" hidden="1"/>
    <cellStyle name="Открывавшаяся гиперссылка" xfId="5255" builtinId="9" hidden="1"/>
    <cellStyle name="Открывавшаяся гиперссылка" xfId="5091" builtinId="9" hidden="1"/>
    <cellStyle name="Открывавшаяся гиперссылка" xfId="5513" builtinId="9" hidden="1"/>
    <cellStyle name="Открывавшаяся гиперссылка" xfId="5501" builtinId="9" hidden="1"/>
    <cellStyle name="Открывавшаяся гиперссылка" xfId="5542" builtinId="9" hidden="1"/>
    <cellStyle name="Открывавшаяся гиперссылка" xfId="5544" builtinId="9" hidden="1"/>
    <cellStyle name="Открывавшаяся гиперссылка" xfId="5545" builtinId="9" hidden="1"/>
    <cellStyle name="Открывавшаяся гиперссылка" xfId="5547" builtinId="9" hidden="1"/>
    <cellStyle name="Открывавшаяся гиперссылка" xfId="5552" builtinId="9" hidden="1"/>
    <cellStyle name="Открывавшаяся гиперссылка" xfId="5549" builtinId="9" hidden="1"/>
    <cellStyle name="Открывавшаяся гиперссылка" xfId="5554" builtinId="9" hidden="1"/>
    <cellStyle name="Открывавшаяся гиперссылка" xfId="5556" builtinId="9" hidden="1"/>
    <cellStyle name="Открывавшаяся гиперссылка" xfId="5560" builtinId="9" hidden="1"/>
    <cellStyle name="Открывавшаяся гиперссылка" xfId="5557" builtinId="9" hidden="1"/>
    <cellStyle name="Открывавшаяся гиперссылка" xfId="5564" builtinId="9" hidden="1"/>
    <cellStyle name="Открывавшаяся гиперссылка" xfId="5566" builtinId="9" hidden="1"/>
    <cellStyle name="Открывавшаяся гиперссылка" xfId="5567" builtinId="9" hidden="1"/>
    <cellStyle name="Открывавшаяся гиперссылка" xfId="5569" builtinId="9" hidden="1"/>
    <cellStyle name="Открывавшаяся гиперссылка" xfId="5574" builtinId="9" hidden="1"/>
    <cellStyle name="Открывавшаяся гиперссылка" xfId="5571" builtinId="9" hidden="1"/>
    <cellStyle name="Открывавшаяся гиперссылка" xfId="5576" builtinId="9" hidden="1"/>
    <cellStyle name="Открывавшаяся гиперссылка" xfId="5578" builtinId="9" hidden="1"/>
    <cellStyle name="Открывавшаяся гиперссылка" xfId="5582" builtinId="9" hidden="1"/>
    <cellStyle name="Открывавшаяся гиперссылка" xfId="5579" builtinId="9" hidden="1"/>
    <cellStyle name="Открывавшаяся гиперссылка" xfId="5584" builtinId="9" hidden="1"/>
    <cellStyle name="Открывавшаяся гиперссылка" xfId="5586" builtinId="9" hidden="1"/>
    <cellStyle name="Открывавшаяся гиперссылка" xfId="5587" builtinId="9" hidden="1"/>
    <cellStyle name="Открывавшаяся гиперссылка" xfId="5589" builtinId="9" hidden="1"/>
    <cellStyle name="Открывавшаяся гиперссылка" xfId="5594" builtinId="9" hidden="1"/>
    <cellStyle name="Открывавшаяся гиперссылка" xfId="5591" builtinId="9" hidden="1"/>
    <cellStyle name="Открывавшаяся гиперссылка" xfId="5596" builtinId="9" hidden="1"/>
    <cellStyle name="Открывавшаяся гиперссылка" xfId="5598" builtinId="9" hidden="1"/>
    <cellStyle name="Открывавшаяся гиперссылка" xfId="5602" builtinId="9" hidden="1"/>
    <cellStyle name="Открывавшаяся гиперссылка" xfId="5599" builtinId="9" hidden="1"/>
    <cellStyle name="Открывавшаяся гиперссылка" xfId="5285" builtinId="9" hidden="1"/>
    <cellStyle name="Открывавшаяся гиперссылка" xfId="5281" builtinId="9" hidden="1"/>
    <cellStyle name="Открывавшаяся гиперссылка" xfId="4831" builtinId="9" hidden="1"/>
    <cellStyle name="Открывавшаяся гиперссылка" xfId="5297" builtinId="9" hidden="1"/>
    <cellStyle name="Открывавшаяся гиперссылка" xfId="4633" builtinId="9" hidden="1"/>
    <cellStyle name="Открывавшаяся гиперссылка" xfId="4674" builtinId="9" hidden="1"/>
    <cellStyle name="Открывавшаяся гиперссылка" xfId="5424" builtinId="9" hidden="1"/>
    <cellStyle name="Открывавшаяся гиперссылка" xfId="5268" builtinId="9" hidden="1"/>
    <cellStyle name="Открывавшаяся гиперссылка" xfId="5677" builtinId="9" hidden="1"/>
    <cellStyle name="Открывавшаяся гиперссылка" xfId="5670" builtinId="9" hidden="1"/>
    <cellStyle name="Открывавшаяся гиперссылка" xfId="5696" builtinId="9" hidden="1"/>
    <cellStyle name="Открывавшаяся гиперссылка" xfId="5698" builtinId="9" hidden="1"/>
    <cellStyle name="Открывавшаяся гиперссылка" xfId="5700" builtinId="9" hidden="1"/>
    <cellStyle name="Открывавшаяся гиперссылка" xfId="5702" builtinId="9" hidden="1"/>
    <cellStyle name="Открывавшаяся гиперссылка" xfId="5707" builtinId="9" hidden="1"/>
    <cellStyle name="Открывавшаяся гиперссылка" xfId="5704" builtinId="9" hidden="1"/>
    <cellStyle name="Открывавшаяся гиперссылка" xfId="5709" builtinId="9" hidden="1"/>
    <cellStyle name="Открывавшаяся гиперссылка" xfId="5711" builtinId="9" hidden="1"/>
    <cellStyle name="Открывавшаяся гиперссылка" xfId="5715" builtinId="9" hidden="1"/>
    <cellStyle name="Открывавшаяся гиперссылка" xfId="5712" builtinId="9" hidden="1"/>
    <cellStyle name="Открывавшаяся гиперссылка" xfId="5719" builtinId="9" hidden="1"/>
    <cellStyle name="Открывавшаяся гиперссылка" xfId="5721" builtinId="9" hidden="1"/>
    <cellStyle name="Открывавшаяся гиперссылка" xfId="5722" builtinId="9" hidden="1"/>
    <cellStyle name="Открывавшаяся гиперссылка" xfId="5724" builtinId="9" hidden="1"/>
    <cellStyle name="Открывавшаяся гиперссылка" xfId="5729" builtinId="9" hidden="1"/>
    <cellStyle name="Открывавшаяся гиперссылка" xfId="5726" builtinId="9" hidden="1"/>
    <cellStyle name="Открывавшаяся гиперссылка" xfId="5731" builtinId="9" hidden="1"/>
    <cellStyle name="Открывавшаяся гиперссылка" xfId="5733" builtinId="9" hidden="1"/>
    <cellStyle name="Открывавшаяся гиперссылка" xfId="5737" builtinId="9" hidden="1"/>
    <cellStyle name="Открывавшаяся гиперссылка" xfId="5734" builtinId="9" hidden="1"/>
    <cellStyle name="Открывавшаяся гиперссылка" xfId="5739" builtinId="9" hidden="1"/>
    <cellStyle name="Открывавшаяся гиперссылка" xfId="5741" builtinId="9" hidden="1"/>
    <cellStyle name="Открывавшаяся гиперссылка" xfId="5742" builtinId="9" hidden="1"/>
    <cellStyle name="Открывавшаяся гиперссылка" xfId="5744" builtinId="9" hidden="1"/>
    <cellStyle name="Открывавшаяся гиперссылка" xfId="5749" builtinId="9" hidden="1"/>
    <cellStyle name="Открывавшаяся гиперссылка" xfId="5746" builtinId="9" hidden="1"/>
    <cellStyle name="Открывавшаяся гиперссылка" xfId="5751" builtinId="9" hidden="1"/>
    <cellStyle name="Открывавшаяся гиперссылка" xfId="5753" builtinId="9" hidden="1"/>
    <cellStyle name="Открывавшаяся гиперссылка" xfId="5757" builtinId="9" hidden="1"/>
    <cellStyle name="Открывавшаяся гиперссылка" xfId="5754" builtinId="9" hidden="1"/>
    <cellStyle name="Открывавшаяся гиперссылка" xfId="5459" builtinId="9" hidden="1"/>
    <cellStyle name="Открывавшаяся гиперссылка" xfId="5456" builtinId="9" hidden="1"/>
    <cellStyle name="Открывавшаяся гиперссылка" xfId="4885" builtinId="9" hidden="1"/>
    <cellStyle name="Открывавшаяся гиперссылка" xfId="5470" builtinId="9" hidden="1"/>
    <cellStyle name="Открывавшаяся гиперссылка" xfId="4696" builtinId="9" hidden="1"/>
    <cellStyle name="Открывавшаяся гиперссылка" xfId="4606" builtinId="9" hidden="1"/>
    <cellStyle name="Открывавшаяся гиперссылка" xfId="5610" builtinId="9" hidden="1"/>
    <cellStyle name="Открывавшаяся гиперссылка" xfId="5436" builtinId="9" hidden="1"/>
    <cellStyle name="Открывавшаяся гиперссылка" xfId="5844" builtinId="9" hidden="1"/>
    <cellStyle name="Открывавшаяся гиперссылка" xfId="5835" builtinId="9" hidden="1"/>
    <cellStyle name="Открывавшаяся гиперссылка" xfId="5864" builtinId="9" hidden="1"/>
    <cellStyle name="Открывавшаяся гиперссылка" xfId="5866" builtinId="9" hidden="1"/>
    <cellStyle name="Открывавшаяся гиперссылка" xfId="5868" builtinId="9" hidden="1"/>
    <cellStyle name="Открывавшаяся гиперссылка" xfId="5870" builtinId="9" hidden="1"/>
    <cellStyle name="Открывавшаяся гиперссылка" xfId="5875" builtinId="9" hidden="1"/>
    <cellStyle name="Открывавшаяся гиперссылка" xfId="5872" builtinId="9" hidden="1"/>
    <cellStyle name="Открывавшаяся гиперссылка" xfId="5877" builtinId="9" hidden="1"/>
    <cellStyle name="Открывавшаяся гиперссылка" xfId="5879" builtinId="9" hidden="1"/>
    <cellStyle name="Открывавшаяся гиперссылка" xfId="5883" builtinId="9" hidden="1"/>
    <cellStyle name="Открывавшаяся гиперссылка" xfId="5880" builtinId="9" hidden="1"/>
    <cellStyle name="Открывавшаяся гиперссылка" xfId="5886" builtinId="9" hidden="1"/>
    <cellStyle name="Открывавшаяся гиперссылка" xfId="5888" builtinId="9" hidden="1"/>
    <cellStyle name="Открывавшаяся гиперссылка" xfId="5889" builtinId="9" hidden="1"/>
    <cellStyle name="Открывавшаяся гиперссылка" xfId="5891" builtinId="9" hidden="1"/>
    <cellStyle name="Открывавшаяся гиперссылка" xfId="5896" builtinId="9" hidden="1"/>
    <cellStyle name="Открывавшаяся гиперссылка" xfId="5893" builtinId="9" hidden="1"/>
    <cellStyle name="Открывавшаяся гиперссылка" xfId="5898" builtinId="9" hidden="1"/>
    <cellStyle name="Открывавшаяся гиперссылка" xfId="5900" builtinId="9" hidden="1"/>
    <cellStyle name="Открывавшаяся гиперссылка" xfId="5904" builtinId="9" hidden="1"/>
    <cellStyle name="Открывавшаяся гиперссылка" xfId="5901" builtinId="9" hidden="1"/>
    <cellStyle name="Открывавшаяся гиперссылка" xfId="5906" builtinId="9" hidden="1"/>
    <cellStyle name="Открывавшаяся гиперссылка" xfId="5908" builtinId="9" hidden="1"/>
    <cellStyle name="Открывавшаяся гиперссылка" xfId="5909" builtinId="9" hidden="1"/>
    <cellStyle name="Открывавшаяся гиперссылка" xfId="5911" builtinId="9" hidden="1"/>
    <cellStyle name="Открывавшаяся гиперссылка" xfId="5916" builtinId="9" hidden="1"/>
    <cellStyle name="Открывавшаяся гиперссылка" xfId="5913" builtinId="9" hidden="1"/>
    <cellStyle name="Открывавшаяся гиперссылка" xfId="5918" builtinId="9" hidden="1"/>
    <cellStyle name="Открывавшаяся гиперссылка" xfId="5920" builtinId="9" hidden="1"/>
    <cellStyle name="Открывавшаяся гиперссылка" xfId="5924" builtinId="9" hidden="1"/>
    <cellStyle name="Открывавшаяся гиперссылка" xfId="5921" builtinId="9" hidden="1"/>
    <cellStyle name="Открывавшаяся гиперссылка" xfId="5634" builtinId="9" hidden="1"/>
    <cellStyle name="Открывавшаяся гиперссылка" xfId="5633" builtinId="9" hidden="1"/>
    <cellStyle name="Открывавшаяся гиперссылка" xfId="4075" builtinId="9" hidden="1"/>
    <cellStyle name="Открывавшаяся гиперссылка" xfId="5646" builtinId="9" hidden="1"/>
    <cellStyle name="Открывавшаяся гиперссылка" xfId="4809" builtinId="9" hidden="1"/>
    <cellStyle name="Открывавшаяся гиперссылка" xfId="4893" builtinId="9" hidden="1"/>
    <cellStyle name="Открывавшаяся гиперссылка" xfId="5764" builtinId="9" hidden="1"/>
    <cellStyle name="Открывавшаяся гиперссылка" xfId="5619" builtinId="9" hidden="1"/>
    <cellStyle name="Открывавшаяся гиперссылка" xfId="6002" builtinId="9" hidden="1"/>
    <cellStyle name="Открывавшаяся гиперссылка" xfId="5993" builtinId="9" hidden="1"/>
    <cellStyle name="Открывавшаяся гиперссылка" xfId="6019" builtinId="9" hidden="1"/>
    <cellStyle name="Открывавшаяся гиперссылка" xfId="6021" builtinId="9" hidden="1"/>
    <cellStyle name="Открывавшаяся гиперссылка" xfId="6023" builtinId="9" hidden="1"/>
    <cellStyle name="Открывавшаяся гиперссылка" xfId="6025" builtinId="9" hidden="1"/>
    <cellStyle name="Открывавшаяся гиперссылка" xfId="6030" builtinId="9" hidden="1"/>
    <cellStyle name="Открывавшаяся гиперссылка" xfId="6027" builtinId="9" hidden="1"/>
    <cellStyle name="Открывавшаяся гиперссылка" xfId="6032" builtinId="9" hidden="1"/>
    <cellStyle name="Открывавшаяся гиперссылка" xfId="6034" builtinId="9" hidden="1"/>
    <cellStyle name="Открывавшаяся гиперссылка" xfId="6038" builtinId="9" hidden="1"/>
    <cellStyle name="Открывавшаяся гиперссылка" xfId="6035" builtinId="9" hidden="1"/>
    <cellStyle name="Открывавшаяся гиперссылка" xfId="6042" builtinId="9" hidden="1"/>
    <cellStyle name="Открывавшаяся гиперссылка" xfId="6044" builtinId="9" hidden="1"/>
    <cellStyle name="Открывавшаяся гиперссылка" xfId="6045" builtinId="9" hidden="1"/>
    <cellStyle name="Открывавшаяся гиперссылка" xfId="6047" builtinId="9" hidden="1"/>
    <cellStyle name="Открывавшаяся гиперссылка" xfId="6052" builtinId="9" hidden="1"/>
    <cellStyle name="Открывавшаяся гиперссылка" xfId="6049" builtinId="9" hidden="1"/>
    <cellStyle name="Открывавшаяся гиперссылка" xfId="6054" builtinId="9" hidden="1"/>
    <cellStyle name="Открывавшаяся гиперссылка" xfId="6056" builtinId="9" hidden="1"/>
    <cellStyle name="Открывавшаяся гиперссылка" xfId="6060" builtinId="9" hidden="1"/>
    <cellStyle name="Открывавшаяся гиперссылка" xfId="6057" builtinId="9" hidden="1"/>
    <cellStyle name="Открывавшаяся гиперссылка" xfId="6062" builtinId="9" hidden="1"/>
    <cellStyle name="Открывавшаяся гиперссылка" xfId="6064" builtinId="9" hidden="1"/>
    <cellStyle name="Открывавшаяся гиперссылка" xfId="6065" builtinId="9" hidden="1"/>
    <cellStyle name="Открывавшаяся гиперссылка" xfId="6067" builtinId="9" hidden="1"/>
    <cellStyle name="Открывавшаяся гиперссылка" xfId="6072" builtinId="9" hidden="1"/>
    <cellStyle name="Открывавшаяся гиперссылка" xfId="6069" builtinId="9" hidden="1"/>
    <cellStyle name="Открывавшаяся гиперссылка" xfId="6074" builtinId="9" hidden="1"/>
    <cellStyle name="Открывавшаяся гиперссылка" xfId="6076" builtinId="9" hidden="1"/>
    <cellStyle name="Открывавшаяся гиперссылка" xfId="6080" builtinId="9" hidden="1"/>
    <cellStyle name="Открывавшаяся гиперссылка" xfId="6077" builtinId="9" hidden="1"/>
    <cellStyle name="Открывавшаяся гиперссылка" xfId="5795" builtinId="9" hidden="1"/>
    <cellStyle name="Открывавшаяся гиперссылка" xfId="5792" builtinId="9" hidden="1"/>
    <cellStyle name="Открывавшаяся гиперссылка" xfId="4621" builtinId="9" hidden="1"/>
    <cellStyle name="Открывавшаяся гиперссылка" xfId="5807" builtinId="9" hidden="1"/>
    <cellStyle name="Открывавшаяся гиперссылка" xfId="4639" builtinId="9" hidden="1"/>
    <cellStyle name="Открывавшаяся гиперссылка" xfId="5071" builtinId="9" hidden="1"/>
    <cellStyle name="Открывавшаяся гиперссылка" xfId="5930" builtinId="9" hidden="1"/>
    <cellStyle name="Открывавшаяся гиперссылка" xfId="5776" builtinId="9" hidden="1"/>
    <cellStyle name="Открывавшаяся гиперссылка" xfId="6140" builtinId="9" hidden="1"/>
    <cellStyle name="Открывавшаяся гиперссылка" xfId="6132" builtinId="9" hidden="1"/>
    <cellStyle name="Открывавшаяся гиперссылка" xfId="6160" builtinId="9" hidden="1"/>
    <cellStyle name="Открывавшаяся гиперссылка" xfId="6162" builtinId="9" hidden="1"/>
    <cellStyle name="Открывавшаяся гиперссылка" xfId="6164" builtinId="9" hidden="1"/>
    <cellStyle name="Открывавшаяся гиперссылка" xfId="6166" builtinId="9" hidden="1"/>
    <cellStyle name="Открывавшаяся гиперссылка" xfId="6171" builtinId="9" hidden="1"/>
    <cellStyle name="Открывавшаяся гиперссылка" xfId="6168" builtinId="9" hidden="1"/>
    <cellStyle name="Открывавшаяся гиперссылка" xfId="6173" builtinId="9" hidden="1"/>
    <cellStyle name="Открывавшаяся гиперссылка" xfId="6175" builtinId="9" hidden="1"/>
    <cellStyle name="Открывавшаяся гиперссылка" xfId="6179" builtinId="9" hidden="1"/>
    <cellStyle name="Открывавшаяся гиперссылка" xfId="6176" builtinId="9" hidden="1"/>
    <cellStyle name="Открывавшаяся гиперссылка" xfId="6183" builtinId="9" hidden="1"/>
    <cellStyle name="Открывавшаяся гиперссылка" xfId="6185" builtinId="9" hidden="1"/>
    <cellStyle name="Открывавшаяся гиперссылка" xfId="6186" builtinId="9" hidden="1"/>
    <cellStyle name="Открывавшаяся гиперссылка" xfId="6188" builtinId="9" hidden="1"/>
    <cellStyle name="Открывавшаяся гиперссылка" xfId="6193" builtinId="9" hidden="1"/>
    <cellStyle name="Открывавшаяся гиперссылка" xfId="6190" builtinId="9" hidden="1"/>
    <cellStyle name="Открывавшаяся гиперссылка" xfId="6195" builtinId="9" hidden="1"/>
    <cellStyle name="Открывавшаяся гиперссылка" xfId="6197" builtinId="9" hidden="1"/>
    <cellStyle name="Открывавшаяся гиперссылка" xfId="6201" builtinId="9" hidden="1"/>
    <cellStyle name="Открывавшаяся гиперссылка" xfId="6198" builtinId="9" hidden="1"/>
    <cellStyle name="Открывавшаяся гиперссылка" xfId="6203" builtinId="9" hidden="1"/>
    <cellStyle name="Открывавшаяся гиперссылка" xfId="6205" builtinId="9" hidden="1"/>
    <cellStyle name="Открывавшаяся гиперссылка" xfId="6206" builtinId="9" hidden="1"/>
    <cellStyle name="Открывавшаяся гиперссылка" xfId="6208" builtinId="9" hidden="1"/>
    <cellStyle name="Открывавшаяся гиперссылка" xfId="6213" builtinId="9" hidden="1"/>
    <cellStyle name="Открывавшаяся гиперссылка" xfId="6210" builtinId="9" hidden="1"/>
    <cellStyle name="Открывавшаяся гиперссылка" xfId="6215" builtinId="9" hidden="1"/>
    <cellStyle name="Открывавшаяся гиперссылка" xfId="6217" builtinId="9" hidden="1"/>
    <cellStyle name="Открывавшаяся гиперссылка" xfId="6221" builtinId="9" hidden="1"/>
    <cellStyle name="Открывавшаяся гиперссылка" xfId="6218" builtinId="9" hidden="1"/>
    <cellStyle name="Открывавшаяся гиперссылка" xfId="5960" builtinId="9" hidden="1"/>
    <cellStyle name="Открывавшаяся гиперссылка" xfId="5957" builtinId="9" hidden="1"/>
    <cellStyle name="Открывавшаяся гиперссылка" xfId="4977" builtinId="9" hidden="1"/>
    <cellStyle name="Открывавшаяся гиперссылка" xfId="5970" builtinId="9" hidden="1"/>
    <cellStyle name="Открывавшаяся гиперссылка" xfId="4912" builtinId="9" hidden="1"/>
    <cellStyle name="Открывавшаяся гиперссылка" xfId="5250" builtinId="9" hidden="1"/>
    <cellStyle name="Открывавшаяся гиперссылка" xfId="6086" builtinId="9" hidden="1"/>
    <cellStyle name="Открывавшаяся гиперссылка" xfId="5941" builtinId="9" hidden="1"/>
    <cellStyle name="Открывавшаяся гиперссылка" xfId="6280" builtinId="9" hidden="1"/>
    <cellStyle name="Открывавшаяся гиперссылка" xfId="6274" builtinId="9" hidden="1"/>
    <cellStyle name="Открывавшаяся гиперссылка" xfId="6298" builtinId="9" hidden="1"/>
    <cellStyle name="Открывавшаяся гиперссылка" xfId="6300" builtinId="9" hidden="1"/>
    <cellStyle name="Открывавшаяся гиперссылка" xfId="6302" builtinId="9" hidden="1"/>
    <cellStyle name="Открывавшаяся гиперссылка" xfId="6304" builtinId="9" hidden="1"/>
    <cellStyle name="Открывавшаяся гиперссылка" xfId="6309" builtinId="9" hidden="1"/>
    <cellStyle name="Открывавшаяся гиперссылка" xfId="6306" builtinId="9" hidden="1"/>
    <cellStyle name="Открывавшаяся гиперссылка" xfId="6311" builtinId="9" hidden="1"/>
    <cellStyle name="Открывавшаяся гиперссылка" xfId="6313" builtinId="9" hidden="1"/>
    <cellStyle name="Открывавшаяся гиперссылка" xfId="6317" builtinId="9" hidden="1"/>
    <cellStyle name="Открывавшаяся гиперссылка" xfId="6314" builtinId="9" hidden="1"/>
    <cellStyle name="Открывавшаяся гиперссылка" xfId="6320" builtinId="9" hidden="1"/>
    <cellStyle name="Открывавшаяся гиперссылка" xfId="6322" builtinId="9" hidden="1"/>
    <cellStyle name="Открывавшаяся гиперссылка" xfId="6323" builtinId="9" hidden="1"/>
    <cellStyle name="Открывавшаяся гиперссылка" xfId="6325" builtinId="9" hidden="1"/>
    <cellStyle name="Открывавшаяся гиперссылка" xfId="6330" builtinId="9" hidden="1"/>
    <cellStyle name="Открывавшаяся гиперссылка" xfId="6327" builtinId="9" hidden="1"/>
    <cellStyle name="Открывавшаяся гиперссылка" xfId="6332" builtinId="9" hidden="1"/>
    <cellStyle name="Открывавшаяся гиперссылка" xfId="6334" builtinId="9" hidden="1"/>
    <cellStyle name="Открывавшаяся гиперссылка" xfId="6338" builtinId="9" hidden="1"/>
    <cellStyle name="Открывавшаяся гиперссылка" xfId="6335" builtinId="9" hidden="1"/>
    <cellStyle name="Открывавшаяся гиперссылка" xfId="6340" builtinId="9" hidden="1"/>
    <cellStyle name="Открывавшаяся гиперссылка" xfId="6342" builtinId="9" hidden="1"/>
    <cellStyle name="Открывавшаяся гиперссылка" xfId="6343" builtinId="9" hidden="1"/>
    <cellStyle name="Открывавшаяся гиперссылка" xfId="6345" builtinId="9" hidden="1"/>
    <cellStyle name="Открывавшаяся гиперссылка" xfId="6350" builtinId="9" hidden="1"/>
    <cellStyle name="Открывавшаяся гиперссылка" xfId="6347" builtinId="9" hidden="1"/>
    <cellStyle name="Открывавшаяся гиперссылка" xfId="6352" builtinId="9" hidden="1"/>
    <cellStyle name="Открывавшаяся гиперссылка" xfId="6354" builtinId="9" hidden="1"/>
    <cellStyle name="Открывавшаяся гиперссылка" xfId="6358" builtinId="9" hidden="1"/>
    <cellStyle name="Открывавшаяся гиперссылка" xfId="6355" builtinId="9" hidden="1"/>
    <cellStyle name="Открывавшаяся гиперссылка" xfId="6105" builtinId="9" hidden="1"/>
    <cellStyle name="Открывавшаяся гиперссылка" xfId="6102" builtinId="9" hidden="1"/>
    <cellStyle name="Открывавшаяся гиперссылка" xfId="5160" builtinId="9" hidden="1"/>
    <cellStyle name="Открывавшаяся гиперссылка" xfId="6113" builtinId="9" hidden="1"/>
    <cellStyle name="Открывавшаяся гиперссылка" xfId="5093" builtinId="9" hidden="1"/>
    <cellStyle name="Открывавшаяся гиперссылка" xfId="5422" builtinId="9" hidden="1"/>
    <cellStyle name="Открывавшаяся гиперссылка" xfId="6226" builtinId="9" hidden="1"/>
    <cellStyle name="Открывавшаяся гиперссылка" xfId="6091" builtinId="9" hidden="1"/>
    <cellStyle name="Открывавшаяся гиперссылка" xfId="6404" builtinId="9" hidden="1"/>
    <cellStyle name="Открывавшаяся гиперссылка" xfId="6399" builtinId="9" hidden="1"/>
    <cellStyle name="Открывавшаяся гиперссылка" xfId="6417" builtinId="9" hidden="1"/>
    <cellStyle name="Открывавшаяся гиперссылка" xfId="6419" builtinId="9" hidden="1"/>
    <cellStyle name="Открывавшаяся гиперссылка" xfId="6421" builtinId="9" hidden="1"/>
    <cellStyle name="Открывавшаяся гиперссылка" xfId="6423" builtinId="9" hidden="1"/>
    <cellStyle name="Открывавшаяся гиперссылка" xfId="6428" builtinId="9" hidden="1"/>
    <cellStyle name="Открывавшаяся гиперссылка" xfId="6425" builtinId="9" hidden="1"/>
    <cellStyle name="Открывавшаяся гиперссылка" xfId="6430" builtinId="9" hidden="1"/>
    <cellStyle name="Открывавшаяся гиперссылка" xfId="6432" builtinId="9" hidden="1"/>
    <cellStyle name="Открывавшаяся гиперссылка" xfId="6436" builtinId="9" hidden="1"/>
    <cellStyle name="Открывавшаяся гиперссылка" xfId="6433" builtinId="9" hidden="1"/>
    <cellStyle name="Открывавшаяся гиперссылка" xfId="6439" builtinId="9" hidden="1"/>
    <cellStyle name="Открывавшаяся гиперссылка" xfId="6441" builtinId="9" hidden="1"/>
    <cellStyle name="Открывавшаяся гиперссылка" xfId="6442" builtinId="9" hidden="1"/>
    <cellStyle name="Открывавшаяся гиперссылка" xfId="6444" builtinId="9" hidden="1"/>
    <cellStyle name="Открывавшаяся гиперссылка" xfId="6449" builtinId="9" hidden="1"/>
    <cellStyle name="Открывавшаяся гиперссылка" xfId="6446" builtinId="9" hidden="1"/>
    <cellStyle name="Открывавшаяся гиперссылка" xfId="6451" builtinId="9" hidden="1"/>
    <cellStyle name="Открывавшаяся гиперссылка" xfId="6453" builtinId="9" hidden="1"/>
    <cellStyle name="Открывавшаяся гиперссылка" xfId="6457" builtinId="9" hidden="1"/>
    <cellStyle name="Открывавшаяся гиперссылка" xfId="6454" builtinId="9" hidden="1"/>
    <cellStyle name="Открывавшаяся гиперссылка" xfId="6459" builtinId="9" hidden="1"/>
    <cellStyle name="Открывавшаяся гиперссылка" xfId="6461" builtinId="9" hidden="1"/>
    <cellStyle name="Открывавшаяся гиперссылка" xfId="6462" builtinId="9" hidden="1"/>
    <cellStyle name="Открывавшаяся гиперссылка" xfId="6464" builtinId="9" hidden="1"/>
    <cellStyle name="Открывавшаяся гиперссылка" xfId="6469" builtinId="9" hidden="1"/>
    <cellStyle name="Открывавшаяся гиперссылка" xfId="6466" builtinId="9" hidden="1"/>
    <cellStyle name="Открывавшаяся гиперссылка" xfId="6471" builtinId="9" hidden="1"/>
    <cellStyle name="Открывавшаяся гиперссылка" xfId="6473" builtinId="9" hidden="1"/>
    <cellStyle name="Открывавшаяся гиперссылка" xfId="6477" builtinId="9" hidden="1"/>
    <cellStyle name="Открывавшаяся гиперссылка" xfId="6474" builtinId="9" hidden="1"/>
    <cellStyle name="Открывавшаяся гиперссылка" xfId="6245" builtinId="9" hidden="1"/>
    <cellStyle name="Открывавшаяся гиперссылка" xfId="6244" builtinId="9" hidden="1"/>
    <cellStyle name="Открывавшаяся гиперссылка" xfId="5330" builtinId="9" hidden="1"/>
    <cellStyle name="Открывавшаяся гиперссылка" xfId="6254" builtinId="9" hidden="1"/>
    <cellStyle name="Открывавшаяся гиперссылка" xfId="5270" builtinId="9" hidden="1"/>
    <cellStyle name="Открывавшаяся гиперссылка" xfId="5606" builtinId="9" hidden="1"/>
    <cellStyle name="Открывавшаяся гиперссылка" xfId="6360" builtinId="9" hidden="1"/>
    <cellStyle name="Открывавшаяся гиперссылка" xfId="6235" builtinId="9" hidden="1"/>
    <cellStyle name="Открывавшаяся гиперссылка" xfId="6503" builtinId="9" hidden="1"/>
    <cellStyle name="Открывавшаяся гиперссылка" xfId="6500" builtinId="9" hidden="1"/>
    <cellStyle name="Открывавшаяся гиперссылка" xfId="6514" builtinId="9" hidden="1"/>
    <cellStyle name="Открывавшаяся гиперссылка" xfId="6516" builtinId="9" hidden="1"/>
    <cellStyle name="Открывавшаяся гиперссылка" xfId="6518" builtinId="9" hidden="1"/>
    <cellStyle name="Открывавшаяся гиперссылка" xfId="6520" builtinId="9" hidden="1"/>
    <cellStyle name="Открывавшаяся гиперссылка" xfId="6525" builtinId="9" hidden="1"/>
    <cellStyle name="Открывавшаяся гиперссылка" xfId="6522" builtinId="9" hidden="1"/>
    <cellStyle name="Открывавшаяся гиперссылка" xfId="6527" builtinId="9" hidden="1"/>
    <cellStyle name="Открывавшаяся гиперссылка" xfId="6529" builtinId="9" hidden="1"/>
    <cellStyle name="Открывавшаяся гиперссылка" xfId="6533" builtinId="9" hidden="1"/>
    <cellStyle name="Открывавшаяся гиперссылка" xfId="6530" builtinId="9" hidden="1"/>
    <cellStyle name="Открывавшаяся гиперссылка" xfId="6535" builtinId="9" hidden="1"/>
    <cellStyle name="Открывавшаяся гиперссылка" xfId="6537" builtinId="9" hidden="1"/>
    <cellStyle name="Открывавшаяся гиперссылка" xfId="6538" builtinId="9" hidden="1"/>
    <cellStyle name="Открывавшаяся гиперссылка" xfId="6540" builtinId="9" hidden="1"/>
    <cellStyle name="Открывавшаяся гиперссылка" xfId="6545" builtinId="9" hidden="1"/>
    <cellStyle name="Открывавшаяся гиперссылка" xfId="6542" builtinId="9" hidden="1"/>
    <cellStyle name="Открывавшаяся гиперссылка" xfId="6547" builtinId="9" hidden="1"/>
    <cellStyle name="Открывавшаяся гиперссылка" xfId="6549" builtinId="9" hidden="1"/>
    <cellStyle name="Открывавшаяся гиперссылка" xfId="6553" builtinId="9" hidden="1"/>
    <cellStyle name="Открывавшаяся гиперссылка" xfId="6550" builtinId="9" hidden="1"/>
    <cellStyle name="Открывавшаяся гиперссылка" xfId="6555" builtinId="9" hidden="1"/>
    <cellStyle name="Открывавшаяся гиперссылка" xfId="6557" builtinId="9" hidden="1"/>
    <cellStyle name="Открывавшаяся гиперссылка" xfId="6558" builtinId="9" hidden="1"/>
    <cellStyle name="Открывавшаяся гиперссылка" xfId="6560" builtinId="9" hidden="1"/>
    <cellStyle name="Открывавшаяся гиперссылка" xfId="6565" builtinId="9" hidden="1"/>
    <cellStyle name="Открывавшаяся гиперссылка" xfId="6562" builtinId="9" hidden="1"/>
    <cellStyle name="Открывавшаяся гиперссылка" xfId="6567" builtinId="9" hidden="1"/>
    <cellStyle name="Открывавшаяся гиперссылка" xfId="6569" builtinId="9" hidden="1"/>
    <cellStyle name="Открывавшаяся гиперссылка" xfId="6573" builtinId="9" hidden="1"/>
    <cellStyle name="Открывавшаяся гиперссылка" xfId="6570" builtinId="9" hidden="1"/>
    <cellStyle name="Открывавшаяся гиперссылка" xfId="6376" builtinId="9" hidden="1"/>
    <cellStyle name="Открывавшаяся гиперссылка" xfId="6373" builtinId="9" hidden="1"/>
    <cellStyle name="Открывавшаяся гиперссылка" xfId="5505" builtinId="9" hidden="1"/>
    <cellStyle name="Открывавшаяся гиперссылка" xfId="6382" builtinId="9" hidden="1"/>
    <cellStyle name="Открывавшаяся гиперссылка" xfId="5437" builtinId="9" hidden="1"/>
    <cellStyle name="Открывавшаяся гиперссылка" xfId="5761" builtinId="9" hidden="1"/>
    <cellStyle name="Открывавшаяся гиперссылка" xfId="6479" builtinId="9" hidden="1"/>
    <cellStyle name="Открывавшаяся гиперссылка" xfId="6365" builtinId="9" hidden="1"/>
    <cellStyle name="Открывавшаяся гиперссылка" xfId="6577" builtinId="9" hidden="1"/>
    <cellStyle name="Открывавшаяся гиперссылка" xfId="6574" builtinId="9" hidden="1"/>
    <cellStyle name="Открывавшаяся гиперссылка" xfId="6579" builtinId="9" hidden="1"/>
    <cellStyle name="Открывавшаяся гиперссылка" xfId="6581" builtinId="9" hidden="1"/>
    <cellStyle name="Открывавшаяся гиперссылка" xfId="6582" builtinId="9" hidden="1"/>
    <cellStyle name="Открывавшаяся гиперссылка" xfId="6584" builtinId="9" hidden="1"/>
    <cellStyle name="Открывавшаяся гиперссылка" xfId="6589" builtinId="9" hidden="1"/>
    <cellStyle name="Открывавшаяся гиперссылка" xfId="6586" builtinId="9" hidden="1"/>
    <cellStyle name="Открывавшаяся гиперссылка" xfId="6591" builtinId="9" hidden="1"/>
    <cellStyle name="Открывавшаяся гиперссылка" xfId="6593" builtinId="9" hidden="1"/>
    <cellStyle name="Открывавшаяся гиперссылка" xfId="6597" builtinId="9" hidden="1"/>
    <cellStyle name="Открывавшаяся гиперссылка" xfId="6594" builtinId="9" hidden="1"/>
    <cellStyle name="Открывавшаяся гиперссылка" xfId="6599" builtinId="9" hidden="1"/>
    <cellStyle name="Открывавшаяся гиперссылка" xfId="6601" builtinId="9" hidden="1"/>
    <cellStyle name="Открывавшаяся гиперссылка" xfId="6602" builtinId="9" hidden="1"/>
    <cellStyle name="Открывавшаяся гиперссылка" xfId="6604" builtinId="9" hidden="1"/>
    <cellStyle name="Открывавшаяся гиперссылка" xfId="6609" builtinId="9" hidden="1"/>
    <cellStyle name="Открывавшаяся гиперссылка" xfId="6606" builtinId="9" hidden="1"/>
    <cellStyle name="Открывавшаяся гиперссылка" xfId="6611" builtinId="9" hidden="1"/>
    <cellStyle name="Открывавшаяся гиперссылка" xfId="6613" builtinId="9" hidden="1"/>
    <cellStyle name="Открывавшаяся гиперссылка" xfId="6617" builtinId="9" hidden="1"/>
    <cellStyle name="Открывавшаяся гиперссылка" xfId="6614" builtinId="9" hidden="1"/>
    <cellStyle name="Открывавшаяся гиперссылка" xfId="6619" builtinId="9" hidden="1"/>
    <cellStyle name="Открывавшаяся гиперссылка" xfId="6621" builtinId="9" hidden="1"/>
    <cellStyle name="Открывавшаяся гиперссылка" xfId="6622" builtinId="9" hidden="1"/>
    <cellStyle name="Открывавшаяся гиперссылка" xfId="6624" builtinId="9" hidden="1"/>
    <cellStyle name="Открывавшаяся гиперссылка" xfId="6629" builtinId="9" hidden="1"/>
    <cellStyle name="Открывавшаяся гиперссылка" xfId="6626" builtinId="9" hidden="1"/>
    <cellStyle name="Открывавшаяся гиперссылка" xfId="6631" builtinId="9" hidden="1"/>
    <cellStyle name="Открывавшаяся гиперссылка" xfId="6633" builtinId="9" hidden="1"/>
    <cellStyle name="Открывавшаяся гиперссылка" xfId="6637" builtinId="9" hidden="1"/>
    <cellStyle name="Открывавшаяся гиперссылка" xfId="6634" builtinId="9" hidden="1"/>
    <cellStyle name="Открывавшаяся гиперссылка" xfId="5185" builtinId="9" hidden="1"/>
    <cellStyle name="Открывавшаяся гиперссылка" xfId="4845" builtinId="9" hidden="1"/>
    <cellStyle name="Открывавшаяся гиперссылка" xfId="4319" builtinId="9" hidden="1"/>
    <cellStyle name="Открывавшаяся гиперссылка" xfId="6257" builtinId="9" hidden="1"/>
    <cellStyle name="Открывавшаяся гиперссылка" xfId="5645" builtinId="9" hidden="1"/>
    <cellStyle name="Открывавшаяся гиперссылка" xfId="5771" builtinId="9" hidden="1"/>
    <cellStyle name="Открывавшаяся гиперссылка" xfId="6003" builtinId="9" hidden="1"/>
    <cellStyle name="Открывавшаяся гиперссылка" xfId="6364" builtinId="9" hidden="1"/>
    <cellStyle name="Открывавшаяся гиперссылка" xfId="4842" builtinId="9" hidden="1"/>
    <cellStyle name="Открывавшаяся гиперссылка" xfId="6241" builtinId="9" hidden="1"/>
    <cellStyle name="Открывавшаяся гиперссылка" xfId="6263" builtinId="9" hidden="1"/>
    <cellStyle name="Открывавшаяся гиперссылка" xfId="5984" builtinId="9" hidden="1"/>
    <cellStyle name="Открывавшаяся гиперссылка" xfId="4059" builtinId="9" hidden="1"/>
    <cellStyle name="Открывавшаяся гиперссылка" xfId="6127" builtinId="9" hidden="1"/>
    <cellStyle name="Открывавшаяся гиперссылка" xfId="5319" builtinId="9" hidden="1"/>
    <cellStyle name="Открывавшаяся гиперссылка" xfId="5831" builtinId="9" hidden="1"/>
    <cellStyle name="Открывавшаяся гиперссылка" xfId="4968" builtinId="9" hidden="1"/>
    <cellStyle name="Открывавшаяся гиперссылка" xfId="326" builtinId="9" hidden="1"/>
    <cellStyle name="Открывавшаяся гиперссылка" xfId="5464" builtinId="9" hidden="1"/>
    <cellStyle name="Открывавшаяся гиперссылка" xfId="335" builtinId="9" hidden="1"/>
    <cellStyle name="Открывавшаяся гиперссылка" xfId="4940" builtinId="9" hidden="1"/>
    <cellStyle name="Открывавшаяся гиперссылка" xfId="4782" builtinId="9" hidden="1"/>
    <cellStyle name="Открывавшаяся гиперссылка" xfId="4060" builtinId="9" hidden="1"/>
    <cellStyle name="Открывавшаяся гиперссылка" xfId="4584" builtinId="9" hidden="1"/>
    <cellStyle name="Открывавшаяся гиперссылка" xfId="280" builtinId="9" hidden="1"/>
    <cellStyle name="Открывавшаяся гиперссылка" xfId="4005" builtinId="9" hidden="1"/>
    <cellStyle name="Открывавшаяся гиперссылка" xfId="4265" builtinId="9" hidden="1"/>
    <cellStyle name="Открывавшаяся гиперссылка" xfId="4143" builtinId="9" hidden="1"/>
    <cellStyle name="Открывавшаяся гиперссылка" xfId="4479" builtinId="9" hidden="1"/>
    <cellStyle name="Открывавшаяся гиперссылка" xfId="4142" builtinId="9" hidden="1"/>
    <cellStyle name="Открывавшаяся гиперссылка" xfId="4345" builtinId="9" hidden="1"/>
    <cellStyle name="Открывавшаяся гиперссылка" xfId="4131" builtinId="9" hidden="1"/>
    <cellStyle name="Открывавшаяся гиперссылка" xfId="4510" builtinId="9" hidden="1"/>
    <cellStyle name="Открывавшаяся гиперссылка" xfId="4378" builtinId="9" hidden="1"/>
    <cellStyle name="Открывавшаяся гиперссылка" xfId="4458" builtinId="9" hidden="1"/>
    <cellStyle name="Открывавшаяся гиперссылка" xfId="4278" builtinId="9" hidden="1"/>
    <cellStyle name="Открывавшаяся гиперссылка" xfId="4328" builtinId="9" hidden="1"/>
    <cellStyle name="Открывавшаяся гиперссылка" xfId="4283" builtinId="9" hidden="1"/>
    <cellStyle name="Открывавшаяся гиперссылка" xfId="4331" builtinId="9" hidden="1"/>
    <cellStyle name="Открывавшаяся гиперссылка" xfId="4504" builtinId="9" hidden="1"/>
    <cellStyle name="Открывавшаяся гиперссылка" xfId="4779" builtinId="9" hidden="1"/>
    <cellStyle name="Открывавшаяся гиперссылка" xfId="4019" builtinId="9" hidden="1"/>
    <cellStyle name="Открывавшаяся гиперссылка" xfId="5272" builtinId="9" hidden="1"/>
    <cellStyle name="Открывавшаяся гиперссылка" xfId="5773" builtinId="9" hidden="1"/>
    <cellStyle name="Открывавшаяся гиперссылка" xfId="5640" builtinId="9" hidden="1"/>
    <cellStyle name="Открывавшаяся гиперссылка" xfId="5107" builtinId="9" hidden="1"/>
    <cellStyle name="Открывавшаяся гиперссылка" xfId="4358" builtinId="9" hidden="1"/>
    <cellStyle name="Открывавшаяся гиперссылка" xfId="5676" builtinId="9" hidden="1"/>
    <cellStyle name="Открывавшаяся гиперссылка" xfId="4776" builtinId="9" hidden="1"/>
    <cellStyle name="Открывавшаяся гиперссылка" xfId="4396" builtinId="9" hidden="1"/>
    <cellStyle name="Открывавшаяся гиперссылка" xfId="5617" builtinId="9" hidden="1"/>
    <cellStyle name="Открывавшаяся гиперссылка" xfId="5264" builtinId="9" hidden="1"/>
    <cellStyle name="Открывавшаяся гиперссылка" xfId="4905" builtinId="9" hidden="1"/>
    <cellStyle name="Открывавшаяся гиперссылка" xfId="5134" builtinId="9" hidden="1"/>
    <cellStyle name="Открывавшаяся гиперссылка" xfId="4217" builtinId="9" hidden="1"/>
    <cellStyle name="Открывавшаяся гиперссылка" xfId="4583" builtinId="9" hidden="1"/>
    <cellStyle name="Открывавшаяся гиперссылка" xfId="5689" builtinId="9" hidden="1"/>
    <cellStyle name="Открывавшаяся гиперссылка" xfId="5353" builtinId="9" hidden="1"/>
    <cellStyle name="Открывавшаяся гиперссылка" xfId="4733" builtinId="9" hidden="1"/>
    <cellStyle name="Открывавшаяся гиперссылка" xfId="5182" builtinId="9" hidden="1"/>
    <cellStyle name="Открывавшаяся гиперссылка" xfId="6153" builtinId="9" hidden="1"/>
    <cellStyle name="Открывавшаяся гиперссылка" xfId="5857" builtinId="9" hidden="1"/>
    <cellStyle name="Открывавшаяся гиперссылка" xfId="4089" builtinId="9" hidden="1"/>
    <cellStyle name="Открывавшаяся гиперссылка" xfId="6387" builtinId="9" hidden="1"/>
    <cellStyle name="Открывавшаяся гиперссылка" xfId="5654" builtinId="9" hidden="1"/>
    <cellStyle name="Открывавшаяся гиперссылка" xfId="6117" builtinId="9" hidden="1"/>
    <cellStyle name="Открывавшаяся гиперссылка" xfId="5307" builtinId="9" hidden="1"/>
    <cellStyle name="Открывавшаяся гиперссылка" xfId="5174" builtinId="9" hidden="1"/>
    <cellStyle name="Открывавшаяся гиперссылка" xfId="4432" builtinId="9" hidden="1"/>
    <cellStyle name="Открывавшаяся гиперссылка" xfId="4994" builtinId="9" hidden="1"/>
    <cellStyle name="Открывавшаяся гиперссылка" xfId="4301" builtinId="9" hidden="1"/>
    <cellStyle name="Открывавшаяся гиперссылка" xfId="5346" builtinId="9" hidden="1"/>
    <cellStyle name="Открывавшаяся гиперссылка" xfId="5172" builtinId="9" hidden="1"/>
    <cellStyle name="Открывавшаяся гиперссылка" xfId="4717" builtinId="9" hidden="1"/>
    <cellStyle name="Открывавшаяся гиперссылка" xfId="6146" builtinId="9" hidden="1"/>
    <cellStyle name="Открывавшаяся гиперссылка" xfId="4730" builtinId="9" hidden="1"/>
    <cellStyle name="Открывавшаяся гиперссылка" xfId="5851" builtinId="9" hidden="1"/>
    <cellStyle name="Открывавшаяся гиперссылка" xfId="4084" builtinId="9" hidden="1"/>
    <cellStyle name="Открывавшаяся гиперссылка" xfId="6148" builtinId="9" hidden="1"/>
    <cellStyle name="Открывавшаяся гиперссылка" xfId="6508" builtinId="9" hidden="1"/>
    <cellStyle name="Открывавшаяся гиперссылка" xfId="4748" builtinId="9" hidden="1"/>
    <cellStyle name="Открывавшаяся гиперссылка" xfId="6512" builtinId="9" hidden="1"/>
    <cellStyle name="Открывавшаяся гиперссылка" xfId="5962" builtinId="9" hidden="1"/>
    <cellStyle name="Открывавшаяся гиперссылка" xfId="5445" builtinId="9" hidden="1"/>
    <cellStyle name="Открывавшаяся гиперссылка" xfId="5956" builtinId="9" hidden="1"/>
    <cellStyle name="Открывавшаяся гиперссылка" xfId="4026" builtinId="9" hidden="1"/>
    <cellStyle name="Открывавшаяся гиперссылка" xfId="4801" builtinId="9" hidden="1"/>
    <cellStyle name="Открывавшаяся гиперссылка" xfId="5452" builtinId="9" hidden="1"/>
    <cellStyle name="Открывавшаяся гиперссылка" xfId="5133" builtinId="9" hidden="1"/>
    <cellStyle name="Открывавшаяся гиперссылка" xfId="5150" builtinId="9" hidden="1"/>
    <cellStyle name="Открывавшаяся гиперссылка" xfId="4218" builtinId="9" hidden="1"/>
    <cellStyle name="Открывавшаяся гиперссылка" xfId="4102" builtinId="9" hidden="1"/>
    <cellStyle name="Открывавшаяся гиперссылка" xfId="4663" builtinId="9" hidden="1"/>
    <cellStyle name="Открывавшаяся гиперссылка" xfId="4068" builtinId="9" hidden="1"/>
    <cellStyle name="Открывавшаяся гиперссылка" xfId="5561" builtinId="9" hidden="1"/>
    <cellStyle name="Открывавшаяся гиперссылка" xfId="6039" builtinId="9" hidden="1"/>
    <cellStyle name="Открывавшаяся гиперссылка" xfId="5206" builtinId="9" hidden="1"/>
    <cellStyle name="Открывавшаяся гиперссылка" xfId="4888" builtinId="9" hidden="1"/>
    <cellStyle name="Открывавшаяся гиперссылка" xfId="319" builtinId="9" hidden="1"/>
    <cellStyle name="Открывавшаяся гиперссылка" xfId="303" builtinId="9" hidden="1"/>
    <cellStyle name="Открывавшаяся гиперссылка" xfId="331" builtinId="9" hidden="1"/>
    <cellStyle name="Открывавшаяся гиперссылка" xfId="5301" builtinId="9" hidden="1"/>
    <cellStyle name="Открывавшаяся гиперссылка" xfId="5129" builtinId="9" hidden="1"/>
    <cellStyle name="Открывавшаяся гиперссылка" xfId="4592" builtinId="9" hidden="1"/>
    <cellStyle name="Открывавшаяся гиперссылка" xfId="4473" builtinId="9" hidden="1"/>
    <cellStyle name="Открывавшаяся гиперссылка" xfId="4775" builtinId="9" hidden="1"/>
    <cellStyle name="Открывавшаяся гиперссылка" xfId="4388" builtinId="9" hidden="1"/>
    <cellStyle name="Открывавшаяся гиперссылка" xfId="4236" builtinId="9" hidden="1"/>
    <cellStyle name="Открывавшаяся гиперссылка" xfId="4137" builtinId="9" hidden="1"/>
    <cellStyle name="Открывавшаяся гиперссылка" xfId="4165" builtinId="9" hidden="1"/>
    <cellStyle name="Открывавшаяся гиперссылка" xfId="4476" builtinId="9" hidden="1"/>
    <cellStyle name="Открывавшаяся гиперссылка" xfId="4342" builtinId="9" hidden="1"/>
    <cellStyle name="Открывавшаяся гиперссылка" xfId="4277" builtinId="9" hidden="1"/>
    <cellStyle name="Открывавшаяся гиперссылка" xfId="4512" builtinId="9" hidden="1"/>
    <cellStyle name="Открывавшаяся гиперссылка" xfId="4010" builtinId="9" hidden="1"/>
    <cellStyle name="Открывавшаяся гиперссылка" xfId="4380" builtinId="9" hidden="1"/>
    <cellStyle name="Открывавшаяся гиперссылка" xfId="4460" builtinId="9" hidden="1"/>
    <cellStyle name="Открывавшаяся гиперссылка" xfId="4329" builtinId="9" hidden="1"/>
    <cellStyle name="Открывавшаяся гиперссылка" xfId="4463" builtinId="9" hidden="1"/>
    <cellStyle name="Открывавшаяся гиперссылка" xfId="4294" builtinId="9" hidden="1"/>
    <cellStyle name="Открывавшаяся гиперссылка" xfId="262" builtinId="9" hidden="1"/>
    <cellStyle name="Открывавшаяся гиперссылка" xfId="5972" builtinId="9" hidden="1"/>
    <cellStyle name="Открывавшаяся гиперссылка" xfId="5098" builtinId="9" hidden="1"/>
    <cellStyle name="Открывавшаяся гиперссылка" xfId="4099" builtinId="9" hidden="1"/>
    <cellStyle name="Открывавшаяся гиперссылка" xfId="5933" builtinId="9" hidden="1"/>
    <cellStyle name="Открывавшаяся гиперссылка" xfId="6372" builtinId="9" hidden="1"/>
    <cellStyle name="Открывавшаяся гиперссылка" xfId="4577" builtinId="9" hidden="1"/>
    <cellStyle name="Открывавшаяся гиперссылка" xfId="5128" builtinId="9" hidden="1"/>
    <cellStyle name="Открывавшаяся гиперссылка" xfId="4394" builtinId="9" hidden="1"/>
    <cellStyle name="Открывавшаяся гиперссылка" xfId="5980" builtinId="9" hidden="1"/>
    <cellStyle name="Открывавшаяся гиперссылка" xfId="5476" builtinId="9" hidden="1"/>
    <cellStyle name="Открывавшаяся гиперссылка" xfId="5130" builtinId="9" hidden="1"/>
    <cellStyle name="Открывавшаяся гиперссылка" xfId="4709" builtinId="9" hidden="1"/>
    <cellStyle name="Открывавшаяся гиперссылка" xfId="6494" builtinId="9" hidden="1"/>
    <cellStyle name="Открывавшаяся гиперссылка" xfId="4058" builtinId="9" hidden="1"/>
    <cellStyle name="Открывавшаяся гиперссылка" xfId="6256" builtinId="9" hidden="1"/>
    <cellStyle name="Открывавшаяся гиперссылка" xfId="4656" builtinId="9" hidden="1"/>
    <cellStyle name="Открывавшаяся гиперссылка" xfId="4648" builtinId="9" hidden="1"/>
    <cellStyle name="Открывавшаяся гиперссылка" xfId="4825" builtinId="9" hidden="1"/>
    <cellStyle name="Открывавшаяся гиперссылка" xfId="4700" builtinId="9" hidden="1"/>
    <cellStyle name="Открывавшаяся гиперссылка" xfId="4037" builtinId="9" hidden="1"/>
    <cellStyle name="Открывавшаяся гиперссылка" xfId="4478" builtinId="9" hidden="1"/>
    <cellStyle name="Открывавшаяся гиперссылка" xfId="4414" builtinId="9" hidden="1"/>
    <cellStyle name="Открывавшаяся гиперссылка" xfId="4295" builtinId="9" hidden="1"/>
    <cellStyle name="Открывавшаяся гиперссылка" xfId="4594" builtinId="9" hidden="1"/>
    <cellStyle name="Открывавшаяся гиперссылка" xfId="4890" builtinId="9" hidden="1"/>
    <cellStyle name="Открывавшаяся гиперссылка" xfId="4705" builtinId="9" hidden="1"/>
    <cellStyle name="Открывавшаяся гиперссылка" xfId="5925" builtinId="9" hidden="1"/>
    <cellStyle name="Открывавшаяся гиперссылка" xfId="5248" builtinId="9" hidden="1"/>
    <cellStyle name="Открывавшаяся гиперссылка" xfId="5758" builtinId="9" hidden="1"/>
    <cellStyle name="Открывавшаяся гиперссылка" xfId="5431" builtinId="9" hidden="1"/>
    <cellStyle name="Открывавшаяся гиперссылка" xfId="5084" builtinId="9" hidden="1"/>
    <cellStyle name="Открывавшаяся гиперссылка" xfId="4904" builtinId="9" hidden="1"/>
    <cellStyle name="Открывавшаяся гиперссылка" xfId="4611" builtinId="9" hidden="1"/>
    <cellStyle name="Открывавшаяся гиперссылка" xfId="5153" builtinId="9" hidden="1"/>
    <cellStyle name="Открывавшаяся гиперссылка" xfId="4110" builtinId="9" hidden="1"/>
    <cellStyle name="Открывавшаяся гиперссылка" xfId="4092" builtinId="9" hidden="1"/>
    <cellStyle name="Открывавшаяся гиперссылка" xfId="4412" builtinId="9" hidden="1"/>
    <cellStyle name="Открывавшаяся гиперссылка" xfId="5168" builtinId="9" hidden="1"/>
    <cellStyle name="Открывавшаяся гиперссылка" xfId="4192" builtinId="9" hidden="1"/>
    <cellStyle name="Открывавшаяся гиперссылка" xfId="4076" builtinId="9" hidden="1"/>
    <cellStyle name="Открывавшаяся гиперссылка" xfId="5937" builtinId="9" hidden="1"/>
    <cellStyle name="Открывавшаяся гиперссылка" xfId="4933" builtinId="9" hidden="1"/>
    <cellStyle name="Открывавшаяся гиперссылка" xfId="5345" builtinId="9" hidden="1"/>
    <cellStyle name="Открывавшаяся гиперссылка" xfId="6135" builtinId="9" hidden="1"/>
    <cellStyle name="Открывавшаяся гиперссылка" xfId="4614" builtinId="9" hidden="1"/>
    <cellStyle name="Открывавшаяся гиперссылка" xfId="252" builtinId="9" hidden="1"/>
    <cellStyle name="Открывавшаяся гиперссылка" xfId="5951" builtinId="9" hidden="1"/>
    <cellStyle name="Открывавшаяся гиперссылка" xfId="6131" builtinId="9" hidden="1"/>
    <cellStyle name="Открывавшаяся гиперссылка" xfId="4482" builtinId="9" hidden="1"/>
    <cellStyle name="Открывавшаяся гиперссылка" xfId="6119" builtinId="9" hidden="1"/>
    <cellStyle name="Открывавшаяся гиперссылка" xfId="5821" builtinId="9" hidden="1"/>
    <cellStyle name="Открывавшаяся гиперссылка" xfId="5483" builtinId="9" hidden="1"/>
    <cellStyle name="Открывавшаяся гиперссылка" xfId="274" builtinId="9" hidden="1"/>
    <cellStyle name="Открывавшаяся гиперссылка" xfId="222" builtinId="9" hidden="1"/>
    <cellStyle name="Открывавшаяся гиперссылка" xfId="237" builtinId="9" hidden="1"/>
    <cellStyle name="Открывавшаяся гиперссылка" xfId="332" builtinId="9" hidden="1"/>
    <cellStyle name="Открывавшаяся гиперссылка" xfId="278" builtinId="9" hidden="1"/>
    <cellStyle name="Открывавшаяся гиперссылка" xfId="4883" builtinId="9" hidden="1"/>
    <cellStyle name="Открывавшаяся гиперссылка" xfId="287" builtinId="9" hidden="1"/>
    <cellStyle name="Открывавшаяся гиперссылка" xfId="4415" builtinId="9" hidden="1"/>
    <cellStyle name="Открывавшаяся гиперссылка" xfId="4215" builtinId="9" hidden="1"/>
    <cellStyle name="Открывавшаяся гиперссылка" xfId="5824" builtinId="9" hidden="1"/>
    <cellStyle name="Открывавшаяся гиперссылка" xfId="5489" builtinId="9" hidden="1"/>
    <cellStyle name="Открывавшаяся гиперссылка" xfId="4206" builtinId="9" hidden="1"/>
    <cellStyle name="Открывавшаяся гиперссылка" xfId="5143" builtinId="9" hidden="1"/>
    <cellStyle name="Открывавшаяся гиперссылка" xfId="6391" builtinId="9" hidden="1"/>
    <cellStyle name="Открывавшаяся гиперссылка" xfId="6120" builtinId="9" hidden="1"/>
    <cellStyle name="Открывавшаяся гиперссылка" xfId="5644" builtinId="9" hidden="1"/>
    <cellStyle name="Открывавшаяся гиперссылка" xfId="5983" builtinId="9" hidden="1"/>
    <cellStyle name="Открывавшаяся гиперссылка" xfId="5294" builtinId="9" hidden="1"/>
    <cellStyle name="Открывавшаяся гиперссылка" xfId="4942" builtinId="9" hidden="1"/>
    <cellStyle name="Открывавшаяся гиперссылка" xfId="4695" builtinId="9" hidden="1"/>
    <cellStyle name="Открывавшаяся гиперссылка" xfId="4083" builtinId="9" hidden="1"/>
    <cellStyle name="Открывавшаяся гиперссылка" xfId="4418" builtinId="9" hidden="1"/>
    <cellStyle name="Открывавшаяся гиперссылка" xfId="4794" builtinId="9" hidden="1"/>
    <cellStyle name="Открывавшаяся гиперссылка" xfId="4201" builtinId="9" hidden="1"/>
    <cellStyle name="Открывавшаяся гиперссылка" xfId="4041" builtinId="9" hidden="1"/>
    <cellStyle name="Открывавшаяся гиперссылка" xfId="4049" builtinId="9" hidden="1"/>
    <cellStyle name="Открывавшаяся гиперссылка" xfId="4790" builtinId="9" hidden="1"/>
    <cellStyle name="Открывавшаяся гиперссылка" xfId="5277" builtinId="9" hidden="1"/>
    <cellStyle name="Открывавшаяся гиперссылка" xfId="4016" builtinId="9" hidden="1"/>
    <cellStyle name="Открывавшаяся гиперссылка" xfId="5289" builtinId="9" hidden="1"/>
    <cellStyle name="Открывавшаяся гиперссылка" xfId="5100" builtinId="9" hidden="1"/>
    <cellStyle name="Открывавшаяся гиперссылка" xfId="4867" builtinId="9" hidden="1"/>
    <cellStyle name="Открывавшаяся гиперссылка" xfId="4029" builtinId="9" hidden="1"/>
    <cellStyle name="Открывавшаяся гиперссылка" xfId="5845" builtinId="9" hidden="1"/>
    <cellStyle name="Открывавшаяся гиперссылка" xfId="301" builtinId="9" hidden="1"/>
    <cellStyle name="Открывавшаяся гиперссылка" xfId="4886" builtinId="9" hidden="1"/>
    <cellStyle name="Открывавшаяся гиперссылка" xfId="324" builtinId="9" hidden="1"/>
    <cellStyle name="Открывавшаяся гиперссылка" xfId="6318" builtinId="9" hidden="1"/>
    <cellStyle name="Открывавшаяся гиперссылка" xfId="6040" builtinId="9" hidden="1"/>
    <cellStyle name="Открывавшаяся гиперссылка" xfId="4040" builtinId="9" hidden="1"/>
    <cellStyle name="Открывавшаяся гиперссылка" xfId="5631" builtinId="9" hidden="1"/>
    <cellStyle name="Открывавшаяся гиперссылка" xfId="4862" builtinId="9" hidden="1"/>
    <cellStyle name="Открывавшаяся гиперссылка" xfId="5280" builtinId="9" hidden="1"/>
    <cellStyle name="Открывавшаяся гиперссылка" xfId="4158" builtinId="9" hidden="1"/>
    <cellStyle name="Открывавшаяся гиперссылка" xfId="5147" builtinId="9" hidden="1"/>
    <cellStyle name="Открывавшаяся гиперссылка" xfId="4404" builtinId="9" hidden="1"/>
    <cellStyle name="Открывавшаяся гиперссылка" xfId="4965" builtinId="9" hidden="1"/>
    <cellStyle name="Открывавшаяся гиперссылка" xfId="4916" builtinId="9" hidden="1"/>
    <cellStyle name="Открывавшаяся гиперссылка" xfId="4773" builtinId="9" hidden="1"/>
    <cellStyle name="Открывавшаяся гиперссылка" xfId="4087" builtinId="9" hidden="1"/>
    <cellStyle name="Открывавшаяся гиперссылка" xfId="4688" builtinId="9" hidden="1"/>
    <cellStyle name="Открывавшаяся гиперссылка" xfId="5441" builtinId="9" hidden="1"/>
    <cellStyle name="Открывавшаяся гиперссылка" xfId="5946" builtinId="9" hidden="1"/>
    <cellStyle name="Открывавшаяся гиперссылка" xfId="4036" builtinId="9" hidden="1"/>
    <cellStyle name="Открывавшаяся гиперссылка" xfId="6395" builtinId="9" hidden="1"/>
    <cellStyle name="Открывавшаяся гиперссылка" xfId="5828" builtinId="9" hidden="1"/>
    <cellStyle name="Открывавшаяся гиперссылка" xfId="6267" builtinId="9" hidden="1"/>
    <cellStyle name="Открывавшаяся гиперссылка" xfId="5493" builtinId="9" hidden="1"/>
    <cellStyle name="Открывавшаяся гиперссылка" xfId="291" builtinId="9" hidden="1"/>
    <cellStyle name="Открывавшаяся гиперссылка" xfId="4934" builtinId="9" hidden="1"/>
    <cellStyle name="Открывавшаяся гиперссылка" xfId="4105" builtinId="9" hidden="1"/>
    <cellStyle name="Открывавшаяся гиперссылка" xfId="5338" builtinId="9" hidden="1"/>
    <cellStyle name="Открывавшаяся гиперссылка" xfId="4402" builtinId="9" hidden="1"/>
    <cellStyle name="Открывавшаяся гиперссылка" xfId="4983" builtinId="9" hidden="1"/>
    <cellStyle name="Открывавшаяся гиперссылка" xfId="4851" builtinId="9" hidden="1"/>
    <cellStyle name="Открывавшаяся гиперссылка" xfId="6139" builtinId="9" hidden="1"/>
    <cellStyle name="Открывавшаяся гиперссылка" xfId="4727" builtinId="9" hidden="1"/>
    <cellStyle name="Открывавшаяся гиперссылка" xfId="4599" builtinId="9" hidden="1"/>
    <cellStyle name="Открывавшаяся гиперссылка" xfId="5497" builtinId="9" hidden="1"/>
    <cellStyle name="Открывавшаяся гиперссылка" xfId="5826" builtinId="9" hidden="1"/>
    <cellStyle name="Открывавшаяся гиперссылка" xfId="6253" builtinId="9" hidden="1"/>
    <cellStyle name="Открывавшаяся гиперссылка" xfId="5989" builtinId="9" hidden="1"/>
    <cellStyle name="Открывавшаяся гиперссылка" xfId="5668" builtinId="9" hidden="1"/>
    <cellStyle name="Открывавшаяся гиперссылка" xfId="4052" builtinId="9" hidden="1"/>
    <cellStyle name="Открывавшаяся гиперссылка" xfId="4431" builtinId="9" hidden="1"/>
    <cellStyle name="Открывавшаяся гиперссылка" xfId="6665" builtinId="9" hidden="1"/>
    <cellStyle name="Открывавшаяся гиперссылка" xfId="6660" builtinId="9" hidden="1"/>
    <cellStyle name="Открывавшаяся гиперссылка" xfId="6681" builtinId="9" hidden="1"/>
    <cellStyle name="Открывавшаяся гиперссылка" xfId="6683" builtinId="9" hidden="1"/>
    <cellStyle name="Открывавшаяся гиперссылка" xfId="6685" builtinId="9" hidden="1"/>
    <cellStyle name="Открывавшаяся гиперссылка" xfId="6687" builtinId="9" hidden="1"/>
    <cellStyle name="Открывавшаяся гиперссылка" xfId="6692" builtinId="9" hidden="1"/>
    <cellStyle name="Открывавшаяся гиперссылка" xfId="6689" builtinId="9" hidden="1"/>
    <cellStyle name="Открывавшаяся гиперссылка" xfId="6694" builtinId="9" hidden="1"/>
    <cellStyle name="Открывавшаяся гиперссылка" xfId="6696" builtinId="9" hidden="1"/>
    <cellStyle name="Открывавшаяся гиперссылка" xfId="6700" builtinId="9" hidden="1"/>
    <cellStyle name="Открывавшаяся гиперссылка" xfId="6697" builtinId="9" hidden="1"/>
    <cellStyle name="Открывавшаяся гиперссылка" xfId="6703" builtinId="9" hidden="1"/>
    <cellStyle name="Открывавшаяся гиперссылка" xfId="6705" builtinId="9" hidden="1"/>
    <cellStyle name="Открывавшаяся гиперссылка" xfId="6706" builtinId="9" hidden="1"/>
    <cellStyle name="Открывавшаяся гиперссылка" xfId="6708" builtinId="9" hidden="1"/>
    <cellStyle name="Открывавшаяся гиперссылка" xfId="6713" builtinId="9" hidden="1"/>
    <cellStyle name="Открывавшаяся гиперссылка" xfId="6710" builtinId="9" hidden="1"/>
    <cellStyle name="Открывавшаяся гиперссылка" xfId="6715" builtinId="9" hidden="1"/>
    <cellStyle name="Открывавшаяся гиперссылка" xfId="6717" builtinId="9" hidden="1"/>
    <cellStyle name="Открывавшаяся гиперссылка" xfId="6721" builtinId="9" hidden="1"/>
    <cellStyle name="Открывавшаяся гиперссылка" xfId="6718" builtinId="9" hidden="1"/>
    <cellStyle name="Открывавшаяся гиперссылка" xfId="6723" builtinId="9" hidden="1"/>
    <cellStyle name="Открывавшаяся гиперссылка" xfId="6725" builtinId="9" hidden="1"/>
    <cellStyle name="Открывавшаяся гиперссылка" xfId="6726" builtinId="9" hidden="1"/>
    <cellStyle name="Открывавшаяся гиперссылка" xfId="6728" builtinId="9" hidden="1"/>
    <cellStyle name="Открывавшаяся гиперссылка" xfId="6733" builtinId="9" hidden="1"/>
    <cellStyle name="Открывавшаяся гиперссылка" xfId="6730" builtinId="9" hidden="1"/>
    <cellStyle name="Открывавшаяся гиперссылка" xfId="6735" builtinId="9" hidden="1"/>
    <cellStyle name="Открывавшаяся гиперссылка" xfId="6737" builtinId="9" hidden="1"/>
    <cellStyle name="Открывавшаяся гиперссылка" xfId="6741" builtinId="9" hidden="1"/>
    <cellStyle name="Открывавшаяся гиперссылка" xfId="6738" builtinId="9" hidden="1"/>
    <cellStyle name="Открывавшаяся гиперссылка" xfId="4817" builtinId="9" hidden="1"/>
    <cellStyle name="Открывавшаяся гиперссылка" xfId="4714" builtinId="9" hidden="1"/>
    <cellStyle name="Открывавшаяся гиперссылка" xfId="4728" builtinId="9" hidden="1"/>
    <cellStyle name="Открывавшаяся гиперссылка" xfId="4048" builtinId="9" hidden="1"/>
    <cellStyle name="Открывавшаяся гиперссылка" xfId="5259" builtinId="9" hidden="1"/>
    <cellStyle name="Открывавшаяся гиперссылка" xfId="5081" builtinId="9" hidden="1"/>
    <cellStyle name="Открывавшаяся гиперссылка" xfId="5964" builtinId="9" hidden="1"/>
    <cellStyle name="Открывавшаяся гиперссылка" xfId="4411" builtinId="9" hidden="1"/>
    <cellStyle name="Открывавшаяся гиперссылка" xfId="6812" builtinId="9" hidden="1"/>
    <cellStyle name="Открывавшаяся гиперссылка" xfId="6807" builtinId="9" hidden="1"/>
    <cellStyle name="Открывавшаяся гиперссылка" xfId="6823" builtinId="9" hidden="1"/>
    <cellStyle name="Открывавшаяся гиперссылка" xfId="6825" builtinId="9" hidden="1"/>
    <cellStyle name="Открывавшаяся гиперссылка" xfId="6827" builtinId="9" hidden="1"/>
    <cellStyle name="Открывавшаяся гиперссылка" xfId="6829" builtinId="9" hidden="1"/>
    <cellStyle name="Открывавшаяся гиперссылка" xfId="6834" builtinId="9" hidden="1"/>
    <cellStyle name="Открывавшаяся гиперссылка" xfId="6831" builtinId="9" hidden="1"/>
    <cellStyle name="Открывавшаяся гиперссылка" xfId="6836" builtinId="9" hidden="1"/>
    <cellStyle name="Открывавшаяся гиперссылка" xfId="6838" builtinId="9" hidden="1"/>
    <cellStyle name="Открывавшаяся гиперссылка" xfId="6842" builtinId="9" hidden="1"/>
    <cellStyle name="Открывавшаяся гиперссылка" xfId="6839" builtinId="9" hidden="1"/>
    <cellStyle name="Открывавшаяся гиперссылка" xfId="6846" builtinId="9" hidden="1"/>
    <cellStyle name="Открывавшаяся гиперссылка" xfId="6848" builtinId="9" hidden="1"/>
    <cellStyle name="Открывавшаяся гиперссылка" xfId="6849" builtinId="9" hidden="1"/>
    <cellStyle name="Открывавшаяся гиперссылка" xfId="6851" builtinId="9" hidden="1"/>
    <cellStyle name="Открывавшаяся гиперссылка" xfId="6856" builtinId="9" hidden="1"/>
    <cellStyle name="Открывавшаяся гиперссылка" xfId="6853" builtinId="9" hidden="1"/>
    <cellStyle name="Открывавшаяся гиперссылка" xfId="6858" builtinId="9" hidden="1"/>
    <cellStyle name="Открывавшаяся гиперссылка" xfId="6860" builtinId="9" hidden="1"/>
    <cellStyle name="Открывавшаяся гиперссылка" xfId="6864" builtinId="9" hidden="1"/>
    <cellStyle name="Открывавшаяся гиперссылка" xfId="6861" builtinId="9" hidden="1"/>
    <cellStyle name="Открывавшаяся гиперссылка" xfId="6866" builtinId="9" hidden="1"/>
    <cellStyle name="Открывавшаяся гиперссылка" xfId="6868" builtinId="9" hidden="1"/>
    <cellStyle name="Открывавшаяся гиперссылка" xfId="6869" builtinId="9" hidden="1"/>
    <cellStyle name="Открывавшаяся гиперссылка" xfId="6871" builtinId="9" hidden="1"/>
    <cellStyle name="Открывавшаяся гиперссылка" xfId="6876" builtinId="9" hidden="1"/>
    <cellStyle name="Открывавшаяся гиперссылка" xfId="6873" builtinId="9" hidden="1"/>
    <cellStyle name="Открывавшаяся гиперссылка" xfId="6878" builtinId="9" hidden="1"/>
    <cellStyle name="Открывавшаяся гиперссылка" xfId="6880" builtinId="9" hidden="1"/>
    <cellStyle name="Открывавшаяся гиперссылка" xfId="6884" builtinId="9" hidden="1"/>
    <cellStyle name="Открывавшаяся гиперссылка" xfId="6881" builtinId="9" hidden="1"/>
    <cellStyle name="Открывавшаяся гиперссылка" xfId="236" builtinId="9" hidden="1"/>
    <cellStyle name="Открывавшаяся гиперссылка" xfId="315" builtinId="9" hidden="1"/>
    <cellStyle name="Открывавшаяся гиперссылка" xfId="6118" builtinId="9" hidden="1"/>
    <cellStyle name="Открывавшаяся гиперссылка" xfId="213" builtinId="9" hidden="1"/>
    <cellStyle name="Открывавшаяся гиперссылка" xfId="4021" builtinId="9" hidden="1"/>
    <cellStyle name="Открывавшаяся гиперссылка" xfId="5521" builtinId="9" hidden="1"/>
    <cellStyle name="Открывавшаяся гиперссылка" xfId="6745" builtinId="9" hidden="1"/>
    <cellStyle name="Открывавшаяся гиперссылка" xfId="5605" builtinId="9" hidden="1"/>
    <cellStyle name="Открывавшаяся гиперссылка" xfId="6937" builtinId="9" hidden="1"/>
    <cellStyle name="Открывавшаяся гиперссылка" xfId="6930" builtinId="9" hidden="1"/>
    <cellStyle name="Открывавшаяся гиперссылка" xfId="6957" builtinId="9" hidden="1"/>
    <cellStyle name="Открывавшаяся гиперссылка" xfId="6959" builtinId="9" hidden="1"/>
    <cellStyle name="Открывавшаяся гиперссылка" xfId="6961" builtinId="9" hidden="1"/>
    <cellStyle name="Открывавшаяся гиперссылка" xfId="6963" builtinId="9" hidden="1"/>
    <cellStyle name="Открывавшаяся гиперссылка" xfId="6968" builtinId="9" hidden="1"/>
    <cellStyle name="Открывавшаяся гиперссылка" xfId="6965" builtinId="9" hidden="1"/>
    <cellStyle name="Открывавшаяся гиперссылка" xfId="6970" builtinId="9" hidden="1"/>
    <cellStyle name="Открывавшаяся гиперссылка" xfId="6972" builtinId="9" hidden="1"/>
    <cellStyle name="Открывавшаяся гиперссылка" xfId="6976" builtinId="9" hidden="1"/>
    <cellStyle name="Открывавшаяся гиперссылка" xfId="6973" builtinId="9" hidden="1"/>
    <cellStyle name="Открывавшаяся гиперссылка" xfId="6980" builtinId="9" hidden="1"/>
    <cellStyle name="Открывавшаяся гиперссылка" xfId="6982" builtinId="9" hidden="1"/>
    <cellStyle name="Открывавшаяся гиперссылка" xfId="6983" builtinId="9" hidden="1"/>
    <cellStyle name="Открывавшаяся гиперссылка" xfId="6985" builtinId="9" hidden="1"/>
    <cellStyle name="Открывавшаяся гиперссылка" xfId="6990" builtinId="9" hidden="1"/>
    <cellStyle name="Открывавшаяся гиперссылка" xfId="6987" builtinId="9" hidden="1"/>
    <cellStyle name="Открывавшаяся гиперссылка" xfId="6992" builtinId="9" hidden="1"/>
    <cellStyle name="Открывавшаяся гиперссылка" xfId="6994" builtinId="9" hidden="1"/>
    <cellStyle name="Открывавшаяся гиперссылка" xfId="6998" builtinId="9" hidden="1"/>
    <cellStyle name="Открывавшаяся гиперссылка" xfId="6995" builtinId="9" hidden="1"/>
    <cellStyle name="Открывавшаяся гиперссылка" xfId="7000" builtinId="9" hidden="1"/>
    <cellStyle name="Открывавшаяся гиперссылка" xfId="7002" builtinId="9" hidden="1"/>
    <cellStyle name="Открывавшаяся гиперссылка" xfId="7003" builtinId="9" hidden="1"/>
    <cellStyle name="Открывавшаяся гиперссылка" xfId="7005" builtinId="9" hidden="1"/>
    <cellStyle name="Открывавшаяся гиперссылка" xfId="7010" builtinId="9" hidden="1"/>
    <cellStyle name="Открывавшаяся гиперссылка" xfId="7007" builtinId="9" hidden="1"/>
    <cellStyle name="Открывавшаяся гиперссылка" xfId="7012" builtinId="9" hidden="1"/>
    <cellStyle name="Открывавшаяся гиперссылка" xfId="7014" builtinId="9" hidden="1"/>
    <cellStyle name="Открывавшаяся гиперссылка" xfId="7018" builtinId="9" hidden="1"/>
    <cellStyle name="Открывавшаяся гиперссылка" xfId="7015" builtinId="9" hidden="1"/>
    <cellStyle name="Открывавшаяся гиперссылка" xfId="6772" builtinId="9" hidden="1"/>
    <cellStyle name="Открывавшаяся гиперссылка" xfId="6769" builtinId="9" hidden="1"/>
    <cellStyle name="Открывавшаяся гиперссылка" xfId="4588" builtinId="9" hidden="1"/>
    <cellStyle name="Открывавшаяся гиперссылка" xfId="6782" builtinId="9" hidden="1"/>
    <cellStyle name="Открывавшаяся гиперссылка" xfId="4381" builtinId="9" hidden="1"/>
    <cellStyle name="Открывавшаяся гиперссылка" xfId="4259" builtinId="9" hidden="1"/>
    <cellStyle name="Открывавшаяся гиперссылка" xfId="6888" builtinId="9" hidden="1"/>
    <cellStyle name="Открывавшаяся гиперссылка" xfId="6756" builtinId="9" hidden="1"/>
    <cellStyle name="Открывавшаяся гиперссылка" xfId="7071" builtinId="9" hidden="1"/>
    <cellStyle name="Открывавшаяся гиперссылка" xfId="7066" builtinId="9" hidden="1"/>
    <cellStyle name="Открывавшаяся гиперссылка" xfId="7086" builtinId="9" hidden="1"/>
    <cellStyle name="Открывавшаяся гиперссылка" xfId="7088" builtinId="9" hidden="1"/>
    <cellStyle name="Открывавшаяся гиперссылка" xfId="7089" builtinId="9" hidden="1"/>
    <cellStyle name="Открывавшаяся гиперссылка" xfId="7091" builtinId="9" hidden="1"/>
    <cellStyle name="Открывавшаяся гиперссылка" xfId="7096" builtinId="9" hidden="1"/>
    <cellStyle name="Открывавшаяся гиперссылка" xfId="7093" builtinId="9" hidden="1"/>
    <cellStyle name="Открывавшаяся гиперссылка" xfId="7098" builtinId="9" hidden="1"/>
    <cellStyle name="Открывавшаяся гиперссылка" xfId="7100" builtinId="9" hidden="1"/>
    <cellStyle name="Открывавшаяся гиперссылка" xfId="7104" builtinId="9" hidden="1"/>
    <cellStyle name="Открывавшаяся гиперссылка" xfId="7101" builtinId="9" hidden="1"/>
    <cellStyle name="Открывавшаяся гиперссылка" xfId="7107" builtinId="9" hidden="1"/>
    <cellStyle name="Открывавшаяся гиперссылка" xfId="7109" builtinId="9" hidden="1"/>
    <cellStyle name="Открывавшаяся гиперссылка" xfId="7110" builtinId="9" hidden="1"/>
    <cellStyle name="Открывавшаяся гиперссылка" xfId="7112" builtinId="9" hidden="1"/>
    <cellStyle name="Открывавшаяся гиперссылка" xfId="7117" builtinId="9" hidden="1"/>
    <cellStyle name="Открывавшаяся гиперссылка" xfId="7114" builtinId="9" hidden="1"/>
    <cellStyle name="Открывавшаяся гиперссылка" xfId="7119" builtinId="9" hidden="1"/>
    <cellStyle name="Открывавшаяся гиперссылка" xfId="7121" builtinId="9" hidden="1"/>
    <cellStyle name="Открывавшаяся гиперссылка" xfId="7125" builtinId="9" hidden="1"/>
    <cellStyle name="Открывавшаяся гиперссылка" xfId="7122" builtinId="9" hidden="1"/>
    <cellStyle name="Открывавшаяся гиперссылка" xfId="7127" builtinId="9" hidden="1"/>
    <cellStyle name="Открывавшаяся гиперссылка" xfId="7129" builtinId="9" hidden="1"/>
    <cellStyle name="Открывавшаяся гиперссылка" xfId="7130" builtinId="9" hidden="1"/>
    <cellStyle name="Открывавшаяся гиперссылка" xfId="7132" builtinId="9" hidden="1"/>
    <cellStyle name="Открывавшаяся гиперссылка" xfId="7137" builtinId="9" hidden="1"/>
    <cellStyle name="Открывавшаяся гиперссылка" xfId="7134" builtinId="9" hidden="1"/>
    <cellStyle name="Открывавшаяся гиперссылка" xfId="7139" builtinId="9" hidden="1"/>
    <cellStyle name="Открывавшаяся гиперссылка" xfId="7141" builtinId="9" hidden="1"/>
    <cellStyle name="Открывавшаяся гиперссылка" xfId="7145" builtinId="9" hidden="1"/>
    <cellStyle name="Открывавшаяся гиперссылка" xfId="7142" builtinId="9" hidden="1"/>
    <cellStyle name="Открывавшаяся гиперссылка" xfId="6905" builtinId="9" hidden="1"/>
    <cellStyle name="Открывавшаяся гиперссылка" xfId="6902" builtinId="9" hidden="1"/>
    <cellStyle name="Открывавшаяся гиперссылка" xfId="241" builtinId="9" hidden="1"/>
    <cellStyle name="Открывавшаяся гиперссылка" xfId="6909" builtinId="9" hidden="1"/>
    <cellStyle name="Открывавшаяся гиперссылка" xfId="5449" builtinId="9" hidden="1"/>
    <cellStyle name="Открывавшаяся гиперссылка" xfId="4826" builtinId="9" hidden="1"/>
    <cellStyle name="Открывавшаяся гиперссылка" xfId="7022" builtinId="9" hidden="1"/>
    <cellStyle name="Открывавшаяся гиперссылка" xfId="6892" builtinId="9" hidden="1"/>
    <cellStyle name="Открывавшаяся гиперссылка" xfId="7184" builtinId="9" hidden="1"/>
    <cellStyle name="Открывавшаяся гиперссылка" xfId="7180" builtinId="9" hidden="1"/>
    <cellStyle name="Открывавшаяся гиперссылка" xfId="7197" builtinId="9" hidden="1"/>
    <cellStyle name="Открывавшаяся гиперссылка" xfId="7199" builtinId="9" hidden="1"/>
    <cellStyle name="Открывавшаяся гиперссылка" xfId="7200" builtinId="9" hidden="1"/>
    <cellStyle name="Открывавшаяся гиперссылка" xfId="7202" builtinId="9" hidden="1"/>
    <cellStyle name="Открывавшаяся гиперссылка" xfId="7207" builtinId="9" hidden="1"/>
    <cellStyle name="Открывавшаяся гиперссылка" xfId="7204" builtinId="9" hidden="1"/>
    <cellStyle name="Открывавшаяся гиперссылка" xfId="7209" builtinId="9" hidden="1"/>
    <cellStyle name="Открывавшаяся гиперссылка" xfId="7211" builtinId="9" hidden="1"/>
    <cellStyle name="Открывавшаяся гиперссылка" xfId="7215" builtinId="9" hidden="1"/>
    <cellStyle name="Открывавшаяся гиперссылка" xfId="7212" builtinId="9" hidden="1"/>
    <cellStyle name="Открывавшаяся гиперссылка" xfId="7218" builtinId="9" hidden="1"/>
    <cellStyle name="Открывавшаяся гиперссылка" xfId="7220" builtinId="9" hidden="1"/>
    <cellStyle name="Открывавшаяся гиперссылка" xfId="7221" builtinId="9" hidden="1"/>
    <cellStyle name="Открывавшаяся гиперссылка" xfId="7223" builtinId="9" hidden="1"/>
    <cellStyle name="Открывавшаяся гиперссылка" xfId="7228" builtinId="9" hidden="1"/>
    <cellStyle name="Открывавшаяся гиперссылка" xfId="7225" builtinId="9" hidden="1"/>
    <cellStyle name="Открывавшаяся гиперссылка" xfId="7230" builtinId="9" hidden="1"/>
    <cellStyle name="Открывавшаяся гиперссылка" xfId="7232" builtinId="9" hidden="1"/>
    <cellStyle name="Открывавшаяся гиперссылка" xfId="7236" builtinId="9" hidden="1"/>
    <cellStyle name="Открывавшаяся гиперссылка" xfId="7233" builtinId="9" hidden="1"/>
    <cellStyle name="Открывавшаяся гиперссылка" xfId="7238" builtinId="9" hidden="1"/>
    <cellStyle name="Открывавшаяся гиперссылка" xfId="7240" builtinId="9" hidden="1"/>
    <cellStyle name="Открывавшаяся гиперссылка" xfId="7241" builtinId="9" hidden="1"/>
    <cellStyle name="Открывавшаяся гиперссылка" xfId="7243" builtinId="9" hidden="1"/>
    <cellStyle name="Открывавшаяся гиперссылка" xfId="7248" builtinId="9" hidden="1"/>
    <cellStyle name="Открывавшаяся гиперссылка" xfId="7245" builtinId="9" hidden="1"/>
    <cellStyle name="Открывавшаяся гиперссылка" xfId="7250" builtinId="9" hidden="1"/>
    <cellStyle name="Открывавшаяся гиперссылка" xfId="7252" builtinId="9" hidden="1"/>
    <cellStyle name="Открывавшаяся гиперссылка" xfId="7256" builtinId="9" hidden="1"/>
    <cellStyle name="Открывавшаяся гиперссылка" xfId="7253" builtinId="9" hidden="1"/>
    <cellStyle name="Открывавшаяся гиперссылка" xfId="7041" builtinId="9" hidden="1"/>
    <cellStyle name="Открывавшаяся гиперссылка" xfId="7038" builtinId="9" hidden="1"/>
    <cellStyle name="Открывавшаяся гиперссылка" xfId="4803" builtinId="9" hidden="1"/>
    <cellStyle name="Открывавшаяся гиперссылка" xfId="7048" builtinId="9" hidden="1"/>
    <cellStyle name="Открывавшаяся гиперссылка" xfId="4148" builtinId="9" hidden="1"/>
    <cellStyle name="Открывавшаяся гиперссылка" xfId="5503" builtinId="9" hidden="1"/>
    <cellStyle name="Открывавшаяся гиперссылка" xfId="7146" builtinId="9" hidden="1"/>
    <cellStyle name="Открывавшаяся гиперссылка" xfId="7029" builtinId="9" hidden="1"/>
    <cellStyle name="Открывавшаяся гиперссылка" xfId="7281" builtinId="9" hidden="1"/>
    <cellStyle name="Открывавшаяся гиперссылка" xfId="7278" builtinId="9" hidden="1"/>
    <cellStyle name="Открывавшаяся гиперссылка" xfId="7290" builtinId="9" hidden="1"/>
    <cellStyle name="Открывавшаяся гиперссылка" xfId="7292" builtinId="9" hidden="1"/>
    <cellStyle name="Открывавшаяся гиперссылка" xfId="7293" builtinId="9" hidden="1"/>
    <cellStyle name="Открывавшаяся гиперссылка" xfId="7295" builtinId="9" hidden="1"/>
    <cellStyle name="Открывавшаяся гиперссылка" xfId="7300" builtinId="9" hidden="1"/>
    <cellStyle name="Открывавшаяся гиперссылка" xfId="7297" builtinId="9" hidden="1"/>
    <cellStyle name="Открывавшаяся гиперссылка" xfId="7302" builtinId="9" hidden="1"/>
    <cellStyle name="Открывавшаяся гиперссылка" xfId="7304" builtinId="9" hidden="1"/>
    <cellStyle name="Открывавшаяся гиперссылка" xfId="7308" builtinId="9" hidden="1"/>
    <cellStyle name="Открывавшаяся гиперссылка" xfId="7305" builtinId="9" hidden="1"/>
    <cellStyle name="Открывавшаяся гиперссылка" xfId="7310" builtinId="9" hidden="1"/>
    <cellStyle name="Открывавшаяся гиперссылка" xfId="7312" builtinId="9" hidden="1"/>
    <cellStyle name="Открывавшаяся гиперссылка" xfId="7313" builtinId="9" hidden="1"/>
    <cellStyle name="Открывавшаяся гиперссылка" xfId="7315" builtinId="9" hidden="1"/>
    <cellStyle name="Открывавшаяся гиперссылка" xfId="7320" builtinId="9" hidden="1"/>
    <cellStyle name="Открывавшаяся гиперссылка" xfId="7317" builtinId="9" hidden="1"/>
    <cellStyle name="Открывавшаяся гиперссылка" xfId="7322" builtinId="9" hidden="1"/>
    <cellStyle name="Открывавшаяся гиперссылка" xfId="7324" builtinId="9" hidden="1"/>
    <cellStyle name="Открывавшаяся гиперссылка" xfId="7328" builtinId="9" hidden="1"/>
    <cellStyle name="Открывавшаяся гиперссылка" xfId="7325" builtinId="9" hidden="1"/>
    <cellStyle name="Открывавшаяся гиперссылка" xfId="7330" builtinId="9" hidden="1"/>
    <cellStyle name="Открывавшаяся гиперссылка" xfId="7332" builtinId="9" hidden="1"/>
    <cellStyle name="Открывавшаяся гиперссылка" xfId="7333" builtinId="9" hidden="1"/>
    <cellStyle name="Открывавшаяся гиперссылка" xfId="7335" builtinId="9" hidden="1"/>
    <cellStyle name="Открывавшаяся гиперссылка" xfId="7340" builtinId="9" hidden="1"/>
    <cellStyle name="Открывавшаяся гиперссылка" xfId="7337" builtinId="9" hidden="1"/>
    <cellStyle name="Открывавшаяся гиперссылка" xfId="7342" builtinId="9" hidden="1"/>
    <cellStyle name="Открывавшаяся гиперссылка" xfId="7344" builtinId="9" hidden="1"/>
    <cellStyle name="Открывавшаяся гиперссылка" xfId="7348" builtinId="9" hidden="1"/>
    <cellStyle name="Открывавшаяся гиперссылка" xfId="7345" builtinId="9" hidden="1"/>
    <cellStyle name="Открывавшаяся гиперссылка" xfId="7159" builtinId="9" hidden="1"/>
    <cellStyle name="Открывавшаяся гиперссылка" xfId="7158" builtinId="9" hidden="1"/>
    <cellStyle name="Открывавшаяся гиперссылка" xfId="5500" builtinId="9" hidden="1"/>
    <cellStyle name="Открывавшаяся гиперссылка" xfId="7166" builtinId="9" hidden="1"/>
    <cellStyle name="Открывавшаяся гиперссылка" xfId="4230" builtinId="9" hidden="1"/>
    <cellStyle name="Открывавшаяся гиперссылка" xfId="5512" builtinId="9" hidden="1"/>
    <cellStyle name="Открывавшаяся гиперссылка" xfId="7258" builtinId="9" hidden="1"/>
    <cellStyle name="Открывавшаяся гиперссылка" xfId="7150" builtinId="9" hidden="1"/>
    <cellStyle name="Открывавшаяся гиперссылка" xfId="7352" builtinId="9" hidden="1"/>
    <cellStyle name="Открывавшаяся гиперссылка" xfId="7349" builtinId="9" hidden="1"/>
    <cellStyle name="Открывавшаяся гиперссылка" xfId="7354" builtinId="9" hidden="1"/>
    <cellStyle name="Открывавшаяся гиперссылка" xfId="7356" builtinId="9" hidden="1"/>
    <cellStyle name="Открывавшаяся гиперссылка" xfId="7357" builtinId="9" hidden="1"/>
    <cellStyle name="Открывавшаяся гиперссылка" xfId="7359" builtinId="9" hidden="1"/>
    <cellStyle name="Открывавшаяся гиперссылка" xfId="7364" builtinId="9" hidden="1"/>
    <cellStyle name="Открывавшаяся гиперссылка" xfId="7361" builtinId="9" hidden="1"/>
    <cellStyle name="Открывавшаяся гиперссылка" xfId="7366" builtinId="9" hidden="1"/>
    <cellStyle name="Открывавшаяся гиперссылка" xfId="7368" builtinId="9" hidden="1"/>
    <cellStyle name="Открывавшаяся гиперссылка" xfId="7372" builtinId="9" hidden="1"/>
    <cellStyle name="Открывавшаяся гиперссылка" xfId="7369" builtinId="9" hidden="1"/>
    <cellStyle name="Открывавшаяся гиперссылка" xfId="7374" builtinId="9" hidden="1"/>
    <cellStyle name="Открывавшаяся гиперссылка" xfId="7376" builtinId="9" hidden="1"/>
    <cellStyle name="Открывавшаяся гиперссылка" xfId="7377" builtinId="9" hidden="1"/>
    <cellStyle name="Открывавшаяся гиперссылка" xfId="7379" builtinId="9" hidden="1"/>
    <cellStyle name="Открывавшаяся гиперссылка" xfId="7384" builtinId="9" hidden="1"/>
    <cellStyle name="Открывавшаяся гиперссылка" xfId="7381" builtinId="9" hidden="1"/>
    <cellStyle name="Открывавшаяся гиперссылка" xfId="7386" builtinId="9" hidden="1"/>
    <cellStyle name="Открывавшаяся гиперссылка" xfId="7388" builtinId="9" hidden="1"/>
    <cellStyle name="Открывавшаяся гиперссылка" xfId="7392" builtinId="9" hidden="1"/>
    <cellStyle name="Открывавшаяся гиперссылка" xfId="7389" builtinId="9" hidden="1"/>
    <cellStyle name="Открывавшаяся гиперссылка" xfId="7394" builtinId="9" hidden="1"/>
    <cellStyle name="Открывавшаяся гиперссылка" xfId="7396" builtinId="9" hidden="1"/>
    <cellStyle name="Открывавшаяся гиперссылка" xfId="7397" builtinId="9" hidden="1"/>
    <cellStyle name="Открывавшаяся гиперссылка" xfId="7399" builtinId="9" hidden="1"/>
    <cellStyle name="Открывавшаяся гиперссылка" xfId="7404" builtinId="9" hidden="1"/>
    <cellStyle name="Открывавшаяся гиперссылка" xfId="7401" builtinId="9" hidden="1"/>
    <cellStyle name="Открывавшаяся гиперссылка" xfId="7406" builtinId="9" hidden="1"/>
    <cellStyle name="Открывавшаяся гиперссылка" xfId="7408" builtinId="9" hidden="1"/>
    <cellStyle name="Открывавшаяся гиперссылка" xfId="7412" builtinId="9" hidden="1"/>
    <cellStyle name="Открывавшаяся гиперссылка" xfId="7409" builtinId="9" hidden="1"/>
    <cellStyle name="Открывавшаяся гиперссылка" xfId="4027" builtinId="9" hidden="1"/>
    <cellStyle name="Открывавшаяся гиперссылка" xfId="6491" builtinId="9" hidden="1"/>
    <cellStyle name="Открывавшаяся гиперссылка" xfId="6233" builtinId="9" hidden="1"/>
    <cellStyle name="Открывавшаяся гиперссылка" xfId="7052" builtinId="9" hidden="1"/>
    <cellStyle name="Открывавшаяся гиперссылка" xfId="5116" builtinId="9" hidden="1"/>
    <cellStyle name="Открывавшаяся гиперссылка" xfId="4115" builtinId="9" hidden="1"/>
    <cellStyle name="Открывавшаяся гиперссылка" xfId="6813" builtinId="9" hidden="1"/>
    <cellStyle name="Открывавшаяся гиперссылка" xfId="7149" builtinId="9" hidden="1"/>
    <cellStyle name="Открывавшаяся гиперссылка" xfId="6486" builtinId="9" hidden="1"/>
    <cellStyle name="Открывавшаяся гиперссылка" xfId="7035" builtinId="9" hidden="1"/>
    <cellStyle name="Открывавшаяся гиперссылка" xfId="7058" builtinId="9" hidden="1"/>
    <cellStyle name="Открывавшаяся гиперссылка" xfId="6797" builtinId="9" hidden="1"/>
    <cellStyle name="Открывавшаяся гиперссылка" xfId="5499" builtinId="9" hidden="1"/>
    <cellStyle name="Открывавшаяся гиперссылка" xfId="6926" builtinId="9" hidden="1"/>
    <cellStyle name="Открывавшаяся гиперссылка" xfId="5135" builtinId="9" hidden="1"/>
    <cellStyle name="Открывавшаяся гиперссылка" xfId="6655" builtinId="9" hidden="1"/>
    <cellStyle name="Открывавшаяся гиперссылка" xfId="5257" builtinId="9" hidden="1"/>
    <cellStyle name="Открывавшаяся гиперссылка" xfId="4468" builtinId="9" hidden="1"/>
    <cellStyle name="Открывавшаяся гиперссылка" xfId="4198" builtinId="9" hidden="1"/>
    <cellStyle name="Открывавшаяся гиперссылка" xfId="4268" builtinId="9" hidden="1"/>
    <cellStyle name="Открывавшаяся гиперссылка" xfId="4804" builtinId="9" hidden="1"/>
    <cellStyle name="Открывавшаяся гиперссылка" xfId="6246" builtinId="9" hidden="1"/>
    <cellStyle name="Открывавшаяся гиперссылка" xfId="5154" builtinId="9" hidden="1"/>
    <cellStyle name="Открывавшаяся гиперссылка" xfId="226" builtinId="9" hidden="1"/>
    <cellStyle name="Открывавшаяся гиперссылка" xfId="4272" builtinId="9" hidden="1"/>
    <cellStyle name="Открывавшаяся гиперссылка" xfId="4835" builtinId="9" hidden="1"/>
    <cellStyle name="Открывавшаяся гиперссылка" xfId="4100" builtinId="9" hidden="1"/>
    <cellStyle name="Открывавшаяся гиперссылка" xfId="4664" builtinId="9" hidden="1"/>
    <cellStyle name="Открывавшаяся гиперссылка" xfId="5627" builtinId="9" hidden="1"/>
    <cellStyle name="Открывавшаяся гиперссылка" xfId="4791" builtinId="9" hidden="1"/>
    <cellStyle name="Открывавшаяся гиперссылка" xfId="5083" builtinId="9" hidden="1"/>
    <cellStyle name="Открывавшаяся гиперссылка" xfId="6392" builtinId="9" hidden="1"/>
    <cellStyle name="Открывавшаяся гиперссылка" xfId="5145" builtinId="9" hidden="1"/>
    <cellStyle name="Открывавшаяся гиперссылка" xfId="5169" builtinId="9" hidden="1"/>
    <cellStyle name="Открывавшаяся гиперссылка" xfId="297" builtinId="9" hidden="1"/>
    <cellStyle name="Открывавшаяся гиперссылка" xfId="5647" builtinId="9" hidden="1"/>
    <cellStyle name="Открывавшаяся гиперссылка" xfId="4088" builtinId="9" hidden="1"/>
    <cellStyle name="Открывавшаяся гиперссылка" xfId="5976" builtinId="9" hidden="1"/>
    <cellStyle name="Открывавшаяся гиперссылка" xfId="4245" builtinId="9" hidden="1"/>
    <cellStyle name="Открывавшаяся гиперссылка" xfId="4736" builtinId="9" hidden="1"/>
    <cellStyle name="Открывавшаяся гиперссылка" xfId="4930" builtinId="9" hidden="1"/>
    <cellStyle name="Открывавшаяся гиперссылка" xfId="5485" builtinId="9" hidden="1"/>
    <cellStyle name="Открывавшаяся гиперссылка" xfId="4138" builtinId="9" hidden="1"/>
    <cellStyle name="Открывавшаяся гиперссылка" xfId="4400" builtinId="9" hidden="1"/>
    <cellStyle name="Открывавшаяся гиперссылка" xfId="4780" builtinId="9" hidden="1"/>
    <cellStyle name="Открывавшаяся гиперссылка" xfId="4223" builtinId="9" hidden="1"/>
    <cellStyle name="Открывавшаяся гиперссылка" xfId="4944" builtinId="9" hidden="1"/>
    <cellStyle name="Открывавшаяся гиперссылка" xfId="4768" builtinId="9" hidden="1"/>
    <cellStyle name="Открывавшаяся гиперссылка" xfId="5797" builtinId="9" hidden="1"/>
    <cellStyle name="Открывавшаяся гиперссылка" xfId="4948" builtinId="9" hidden="1"/>
    <cellStyle name="Открывавшаяся гиперссылка" xfId="281" builtinId="9" hidden="1"/>
    <cellStyle name="Открывавшаяся гиперссылка" xfId="344" builtinId="9" hidden="1"/>
    <cellStyle name="Открывавшаяся гиперссылка" xfId="6085" builtinId="9" hidden="1"/>
    <cellStyle name="Открывавшаяся гиперссылка" xfId="5860" builtinId="9" hidden="1"/>
    <cellStyle name="Открывавшаяся гиперссылка" xfId="5466" builtinId="9" hidden="1"/>
    <cellStyle name="Открывавшаяся гиперссылка" xfId="266" builtinId="9" hidden="1"/>
    <cellStyle name="Открывавшаяся гиперссылка" xfId="4184" builtinId="9" hidden="1"/>
    <cellStyle name="Открывавшаяся гиперссылка" xfId="5283" builtinId="9" hidden="1"/>
    <cellStyle name="Открывавшаяся гиперссылка" xfId="6238" builtinId="9" hidden="1"/>
    <cellStyle name="Открывавшаяся гиперссылка" xfId="4439" builtinId="9" hidden="1"/>
    <cellStyle name="Открывавшаяся гиперссылка" xfId="6951" builtinId="9" hidden="1"/>
    <cellStyle name="Открывавшаяся гиперссылка" xfId="6675" builtinId="9" hidden="1"/>
    <cellStyle name="Открывавшаяся гиперссылка" xfId="4252" builtinId="9" hidden="1"/>
    <cellStyle name="Открывавшаяся гиперссылка" xfId="7170" builtinId="9" hidden="1"/>
    <cellStyle name="Открывавшаяся гиперссылка" xfId="4023" builtinId="9" hidden="1"/>
    <cellStyle name="Открывавшаяся гиперссылка" xfId="6916" builtinId="9" hidden="1"/>
    <cellStyle name="Открывавшаяся гиперссылка" xfId="311" builtinId="9" hidden="1"/>
    <cellStyle name="Открывавшаяся гиперссылка" xfId="6104" builtinId="9" hidden="1"/>
    <cellStyle name="Открывавшаяся гиперссылка" xfId="6145" builtinId="9" hidden="1"/>
    <cellStyle name="Открывавшаяся гиперссылка" xfId="4837" builtinId="9" hidden="1"/>
    <cellStyle name="Открывавшаяся гиперссылка" xfId="4093" builtinId="9" hidden="1"/>
    <cellStyle name="Открывавшаяся гиперссылка" xfId="4711" builtinId="9" hidden="1"/>
    <cellStyle name="Открывавшаяся гиперссылка" xfId="5653" builtinId="9" hidden="1"/>
    <cellStyle name="Открывавшаяся гиперссылка" xfId="4891" builtinId="9" hidden="1"/>
    <cellStyle name="Открывавшаяся гиперссылка" xfId="6943" builtinId="9" hidden="1"/>
    <cellStyle name="Открывавшаяся гиперссылка" xfId="5146" builtinId="9" hidden="1"/>
    <cellStyle name="Открывавшаяся гиперссылка" xfId="6669" builtinId="9" hidden="1"/>
    <cellStyle name="Открывавшаяся гиперссылка" xfId="5077" builtinId="9" hidden="1"/>
    <cellStyle name="Открывавшаяся гиперссылка" xfId="6945" builtinId="9" hidden="1"/>
    <cellStyle name="Открывавшаяся гиперссылка" xfId="7285" builtinId="9" hidden="1"/>
    <cellStyle name="Открывавшаяся гиперссылка" xfId="5787" builtinId="9" hidden="1"/>
    <cellStyle name="Открывавшаяся гиперссылка" xfId="7288" builtinId="9" hidden="1"/>
    <cellStyle name="Открывавшаяся гиперссылка" xfId="6774" builtinId="9" hidden="1"/>
    <cellStyle name="Открывавшаяся гиперссылка" xfId="4200" builtinId="9" hidden="1"/>
    <cellStyle name="Открывавшаяся гиперссылка" xfId="6768" builtinId="9" hidden="1"/>
    <cellStyle name="Открывавшаяся гиперссылка" xfId="5159" builtinId="9" hidden="1"/>
    <cellStyle name="Открывавшаяся гиперссылка" xfId="6242" builtinId="9" hidden="1"/>
    <cellStyle name="Открывавшаяся гиперссылка" xfId="6271" builtinId="9" hidden="1"/>
    <cellStyle name="Открывавшаяся гиперссылка" xfId="6157" builtinId="9" hidden="1"/>
    <cellStyle name="Открывавшаяся гиперссылка" xfId="6258" builtinId="9" hidden="1"/>
    <cellStyle name="Открывавшаяся гиперссылка" xfId="5293" builtinId="9" hidden="1"/>
    <cellStyle name="Открывавшаяся гиперссылка" xfId="4453" builtinId="9" hidden="1"/>
    <cellStyle name="Открывавшаяся гиперссылка" xfId="4244" builtinId="9" hidden="1"/>
    <cellStyle name="Открывавшаяся гиперссылка" xfId="5977" builtinId="9" hidden="1"/>
    <cellStyle name="Открывавшаяся гиперссылка" xfId="4044" builtinId="9" hidden="1"/>
    <cellStyle name="Открывавшаяся гиперссылка" xfId="6843" builtinId="9" hidden="1"/>
    <cellStyle name="Открывавшаяся гиперссылка" xfId="5973" builtinId="9" hidden="1"/>
    <cellStyle name="Открывавшаяся гиперссылка" xfId="4896" builtinId="9" hidden="1"/>
    <cellStyle name="Открывавшаяся гиперссылка" xfId="4335" builtinId="9" hidden="1"/>
    <cellStyle name="Открывавшаяся гиперссылка" xfId="6022" builtinId="9" hidden="1"/>
    <cellStyle name="Открывавшаяся гиперссылка" xfId="4006" builtinId="9" hidden="1"/>
    <cellStyle name="Открывавшаяся гиперссылка" xfId="4082" builtinId="9" hidden="1"/>
    <cellStyle name="Открывавшаяся гиперссылка" xfId="6407" builtinId="9" hidden="1"/>
    <cellStyle name="Открывавшаяся гиперссылка" xfId="4832" builtinId="9" hidden="1"/>
    <cellStyle name="Открывавшаяся гиперссылка" xfId="4065" builtinId="9" hidden="1"/>
    <cellStyle name="Открывавшаяся гиперссылка" xfId="4454" builtinId="9" hidden="1"/>
    <cellStyle name="Открывавшаяся гиперссылка" xfId="5435" builtinId="9" hidden="1"/>
    <cellStyle name="Открывавшаяся гиперссылка" xfId="4595" builtinId="9" hidden="1"/>
    <cellStyle name="Открывавшаяся гиперссылка" xfId="4802" builtinId="9" hidden="1"/>
    <cellStyle name="Открывавшаяся гиперссылка" xfId="4805" builtinId="9" hidden="1"/>
    <cellStyle name="Открывавшаяся гиперссылка" xfId="6097" builtinId="9" hidden="1"/>
    <cellStyle name="Открывавшаяся гиперссылка" xfId="5616" builtinId="9" hidden="1"/>
    <cellStyle name="Открывавшаяся гиперссылка" xfId="5808" builtinId="9" hidden="1"/>
    <cellStyle name="Открывавшаяся гиперссылка" xfId="4818" builtinId="9" hidden="1"/>
    <cellStyle name="Открывавшаяся гиперссылка" xfId="4393" builtinId="9" hidden="1"/>
    <cellStyle name="Открывавшаяся гиперссылка" xfId="4725" builtinId="9" hidden="1"/>
    <cellStyle name="Открывавшаяся гиперссылка" xfId="4751" builtinId="9" hidden="1"/>
    <cellStyle name="Открывавшаяся гиперссылка" xfId="4581" builtinId="9" hidden="1"/>
    <cellStyle name="Открывавшаяся гиперссылка" xfId="4196" builtinId="9" hidden="1"/>
    <cellStyle name="Открывавшаяся гиперссылка" xfId="4669" builtinId="9" hidden="1"/>
    <cellStyle name="Открывавшаяся гиперссылка" xfId="4895" builtinId="9" hidden="1"/>
    <cellStyle name="Открывавшаяся гиперссылка" xfId="6784" builtinId="9" hidden="1"/>
    <cellStyle name="Открывавшаяся гиперссылка" xfId="4995" builtinId="9" hidden="1"/>
    <cellStyle name="Открывавшаяся гиперссылка" xfId="4095" builtinId="9" hidden="1"/>
    <cellStyle name="Открывавшаяся гиперссылка" xfId="6749" builtinId="9" hidden="1"/>
    <cellStyle name="Открывавшаяся гиперссылка" xfId="7156" builtinId="9" hidden="1"/>
    <cellStyle name="Открывавшаяся гиперссылка" xfId="214" builtinId="9" hidden="1"/>
    <cellStyle name="Открывавшаяся гиперссылка" xfId="4222" builtinId="9" hidden="1"/>
    <cellStyle name="Открывавшаяся гиперссылка" xfId="5300" builtinId="9" hidden="1"/>
    <cellStyle name="Открывавшаяся гиперссылка" xfId="6792" builtinId="9" hidden="1"/>
    <cellStyle name="Открывавшаяся гиперссылка" xfId="5296" builtinId="9" hidden="1"/>
    <cellStyle name="Открывавшаяся гиперссылка" xfId="6283" builtinId="9" hidden="1"/>
    <cellStyle name="Открывавшаяся гиперссылка" xfId="4293" builtinId="9" hidden="1"/>
    <cellStyle name="Открывавшаяся гиперссылка" xfId="7271" builtinId="9" hidden="1"/>
    <cellStyle name="Открывавшаяся гиперссылка" xfId="5834" builtinId="9" hidden="1"/>
    <cellStyle name="Открывавшаяся гиперссылка" xfId="7051" builtinId="9" hidden="1"/>
    <cellStyle name="Открывавшаяся гиперссылка" xfId="5162" builtinId="9" hidden="1"/>
    <cellStyle name="Открывавшаяся гиперссылка" xfId="4939" builtinId="9" hidden="1"/>
    <cellStyle name="Открывавшаяся гиперссылка" xfId="5954" builtinId="9" hidden="1"/>
    <cellStyle name="Открывавшаяся гиперссылка" xfId="227" builtinId="9" hidden="1"/>
    <cellStyle name="Открывавшаяся гиперссылка" xfId="5530" builtinId="9" hidden="1"/>
    <cellStyle name="Открывавшаяся гиперссылка" xfId="5786" builtinId="9" hidden="1"/>
    <cellStyle name="Открывавшаяся гиперссылка" xfId="5854" builtinId="9" hidden="1"/>
    <cellStyle name="Открывавшаяся гиперссылка" xfId="4813" builtinId="9" hidden="1"/>
    <cellStyle name="Открывавшаяся гиперссылка" xfId="4225" builtinId="9" hidden="1"/>
    <cellStyle name="Открывавшаяся гиперссылка" xfId="4443" builtinId="9" hidden="1"/>
    <cellStyle name="Открывавшаяся гиперссылка" xfId="4620" builtinId="9" hidden="1"/>
    <cellStyle name="Открывавшаяся гиперссылка" xfId="6742" builtinId="9" hidden="1"/>
    <cellStyle name="Открывавшаяся гиперссылка" xfId="4371" builtinId="9" hidden="1"/>
    <cellStyle name="Открывавшаяся гиперссылка" xfId="6001" builtinId="9" hidden="1"/>
    <cellStyle name="Открывавшаяся гиперссылка" xfId="5669" builtinId="9" hidden="1"/>
    <cellStyle name="Открывавшаяся гиперссылка" xfId="4814" builtinId="9" hidden="1"/>
    <cellStyle name="Открывавшаяся гиперссылка" xfId="6225" builtinId="9" hidden="1"/>
    <cellStyle name="Открывавшаяся гиперссылка" xfId="220" builtinId="9" hidden="1"/>
    <cellStyle name="Открывавшаяся гиперссылка" xfId="5667" builtinId="9" hidden="1"/>
    <cellStyle name="Открывавшаяся гиперссылка" xfId="5978" builtinId="9" hidden="1"/>
    <cellStyle name="Открывавшаяся гиперссылка" xfId="4121" builtinId="9" hidden="1"/>
    <cellStyle name="Открывавшаяся гиперссылка" xfId="4721" builtinId="9" hidden="1"/>
    <cellStyle name="Открывавшаяся гиперссылка" xfId="4109" builtinId="9" hidden="1"/>
    <cellStyle name="Открывавшаяся гиперссылка" xfId="4112" builtinId="9" hidden="1"/>
    <cellStyle name="Открывавшаяся гиперссылка" xfId="215" builtinId="9" hidden="1"/>
    <cellStyle name="Открывавшаяся гиперссылка" xfId="6752" builtinId="9" hidden="1"/>
    <cellStyle name="Открывавшаяся гиперссылка" xfId="4353" builtinId="9" hidden="1"/>
    <cellStyle name="Открывавшаяся гиперссылка" xfId="5522" builtinId="9" hidden="1"/>
    <cellStyle name="Открывавшаяся гиперссылка" xfId="6933" builtinId="9" hidden="1"/>
    <cellStyle name="Открывавшаяся гиперссылка" xfId="4111" builtinId="9" hidden="1"/>
    <cellStyle name="Открывавшаяся гиперссылка" xfId="4227" builtinId="9" hidden="1"/>
    <cellStyle name="Открывавшаяся гиперссылка" xfId="6765" builtinId="9" hidden="1"/>
    <cellStyle name="Открывавшаяся гиперссылка" xfId="6929" builtinId="9" hidden="1"/>
    <cellStyle name="Открывавшаяся гиперссылка" xfId="228" builtinId="9" hidden="1"/>
    <cellStyle name="Открывавшаяся гиперссылка" xfId="6919" builtinId="9" hidden="1"/>
    <cellStyle name="Открывавшаяся гиперссылка" xfId="6648" builtinId="9" hidden="1"/>
    <cellStyle name="Открывавшаяся гиперссылка" xfId="4579" builtinId="9" hidden="1"/>
    <cellStyle name="Открывавшаяся гиперссылка" xfId="4456" builtinId="9" hidden="1"/>
    <cellStyle name="Открывавшаяся гиперссылка" xfId="267" builtinId="9" hidden="1"/>
    <cellStyle name="Открывавшаяся гиперссылка" xfId="4739" builtinId="9" hidden="1"/>
    <cellStyle name="Открывавшаяся гиперссылка" xfId="4260" builtinId="9" hidden="1"/>
    <cellStyle name="Открывавшаяся гиперссылка" xfId="4498" builtinId="9" hidden="1"/>
    <cellStyle name="Открывавшаяся гиперссылка" xfId="6264" builtinId="9" hidden="1"/>
    <cellStyle name="Открывавшаяся гиперссылка" xfId="4374" builtinId="9" hidden="1"/>
    <cellStyle name="Открывавшаяся гиперссылка" xfId="5527" builtinId="9" hidden="1"/>
    <cellStyle name="Открывавшаяся гиперссылка" xfId="5967" builtinId="9" hidden="1"/>
    <cellStyle name="Открывавшаяся гиперссылка" xfId="6650" builtinId="9" hidden="1"/>
    <cellStyle name="Открывавшаяся гиперссылка" xfId="5332" builtinId="9" hidden="1"/>
    <cellStyle name="Открывавшаяся гиперссылка" xfId="4928" builtinId="9" hidden="1"/>
    <cellStyle name="Открывавшаяся гиперссылка" xfId="5814" builtinId="9" hidden="1"/>
    <cellStyle name="Открывавшаяся гиперссылка" xfId="7173" builtinId="9" hidden="1"/>
    <cellStyle name="Открывавшаяся гиперссылка" xfId="6921" builtinId="9" hidden="1"/>
    <cellStyle name="Открывавшаяся гиперссылка" xfId="5637" builtinId="9" hidden="1"/>
    <cellStyle name="Открывавшаяся гиперссылка" xfId="6796" builtinId="9" hidden="1"/>
    <cellStyle name="Открывавшаяся гиперссылка" xfId="4507" builtinId="9" hidden="1"/>
    <cellStyle name="Открывавшаяся гиперссылка" xfId="5656" builtinId="9" hidden="1"/>
    <cellStyle name="Открывавшаяся гиперссылка" xfId="6268" builtinId="9" hidden="1"/>
    <cellStyle name="Открывавшаяся гиперссылка" xfId="5258" builtinId="9" hidden="1"/>
    <cellStyle name="Открывавшаяся гиперссылка" xfId="5461" builtinId="9" hidden="1"/>
    <cellStyle name="Открывавшаяся гиперссылка" xfId="4494" builtinId="9" hidden="1"/>
    <cellStyle name="Открывавшаяся гиперссылка" xfId="5793" builtinId="9" hidden="1"/>
    <cellStyle name="Открывавшаяся гиперссылка" xfId="5949" builtinId="9" hidden="1"/>
    <cellStyle name="Открывавшаяся гиперссылка" xfId="4499" builtinId="9" hidden="1"/>
    <cellStyle name="Открывавшаяся гиперссылка" xfId="5269" builtinId="9" hidden="1"/>
    <cellStyle name="Открывавшаяся гиперссылка" xfId="4486" builtinId="9" hidden="1"/>
    <cellStyle name="Открывавшаяся гиперссылка" xfId="4172" builtinId="9" hidden="1"/>
    <cellStyle name="Открывавшаяся гиперссылка" xfId="4139" builtinId="9" hidden="1"/>
    <cellStyle name="Открывавшаяся гиперссылка" xfId="4428" builtinId="9" hidden="1"/>
    <cellStyle name="Открывавшаяся гиперссылка" xfId="5671" builtinId="9" hidden="1"/>
    <cellStyle name="Открывавшаяся гиперссылка" xfId="4207" builtinId="9" hidden="1"/>
    <cellStyle name="Открывавшаяся гиперссылка" xfId="6667" builtinId="9" hidden="1"/>
    <cellStyle name="Открывавшаяся гиперссылка" xfId="5867" builtinId="9" hidden="1"/>
    <cellStyle name="Открывавшаяся гиперссылка" xfId="5316" builtinId="9" hidden="1"/>
    <cellStyle name="Открывавшаяся гиперссылка" xfId="268" builtinId="9" hidden="1"/>
    <cellStyle name="Открывавшаяся гиперссылка" xfId="7105" builtinId="9" hidden="1"/>
    <cellStyle name="Открывавшаяся гиперссылка" xfId="6844" builtinId="9" hidden="1"/>
    <cellStyle name="Открывавшаяся гиперссылка" xfId="6096" builtinId="9" hidden="1"/>
    <cellStyle name="Открывавшаяся гиперссылка" xfId="4072" builtinId="9" hidden="1"/>
    <cellStyle name="Открывавшаяся гиперссылка" xfId="6400" builtinId="9" hidden="1"/>
    <cellStyle name="Открывавшаяся гиперссылка" xfId="4350" builtinId="9" hidden="1"/>
    <cellStyle name="Открывавшаяся гиперссылка" xfId="4608" builtinId="9" hidden="1"/>
    <cellStyle name="Открывавшаяся гиперссылка" xfId="4720" builtinId="9" hidden="1"/>
    <cellStyle name="Открывавшаяся гиперссылка" xfId="5624" builtinId="9" hidden="1"/>
    <cellStyle name="Открывавшаяся гиперссылка" xfId="5765" builtinId="9" hidden="1"/>
    <cellStyle name="Открывавшаяся гиперссылка" xfId="5763" builtinId="9" hidden="1"/>
    <cellStyle name="Открывавшаяся гиперссылка" xfId="4911" builtinId="9" hidden="1"/>
    <cellStyle name="Открывавшаяся гиперссылка" xfId="4799" builtinId="9" hidden="1"/>
    <cellStyle name="Открывавшаяся гиперссылка" xfId="4178" builtinId="9" hidden="1"/>
    <cellStyle name="Открывавшаяся гиперссылка" xfId="5136" builtinId="9" hidden="1"/>
    <cellStyle name="Открывавшаяся гиперссылка" xfId="6761" builtinId="9" hidden="1"/>
    <cellStyle name="Открывавшаяся гиперссылка" xfId="4170" builtinId="9" hidden="1"/>
    <cellStyle name="Открывавшаяся гиперссылка" xfId="7176" builtinId="9" hidden="1"/>
    <cellStyle name="Открывавшаяся гиперссылка" xfId="6653" builtinId="9" hidden="1"/>
    <cellStyle name="Открывавшаяся гиперссылка" xfId="7060" builtinId="9" hidden="1"/>
    <cellStyle name="Открывавшаяся гиперссылка" xfId="5502" builtinId="9" hidden="1"/>
    <cellStyle name="Открывавшаяся гиперссылка" xfId="4467" builtinId="9" hidden="1"/>
    <cellStyle name="Открывавшаяся гиперссылка" xfId="4309" builtinId="9" hidden="1"/>
    <cellStyle name="Открывавшаяся гиперссылка" xfId="5306" builtinId="9" hidden="1"/>
    <cellStyle name="Открывавшаяся гиперссылка" xfId="4056" builtinId="9" hidden="1"/>
    <cellStyle name="Открывавшаяся гиперссылка" xfId="6094" builtinId="9" hidden="1"/>
    <cellStyle name="Открывавшаяся гиперссылка" xfId="4863" builtinId="9" hidden="1"/>
    <cellStyle name="Открывавшаяся гиперссылка" xfId="4976" builtinId="9" hidden="1"/>
    <cellStyle name="Открывавшаяся гиперссылка" xfId="6936" builtinId="9" hidden="1"/>
    <cellStyle name="Открывавшаяся гиперссылка" xfId="5987" builtinId="9" hidden="1"/>
    <cellStyle name="Открывавшаяся гиперссылка" xfId="4685" builtinId="9" hidden="1"/>
    <cellStyle name="Открывавшаяся гиперссылка" xfId="328" builtinId="9" hidden="1"/>
    <cellStyle name="Открывавшаяся гиперссылка" xfId="6652" builtinId="9" hidden="1"/>
    <cellStyle name="Открывавшаяся гиперссылка" xfId="7047" builtinId="9" hidden="1"/>
    <cellStyle name="Открывавшаяся гиперссылка" xfId="6802" builtinId="9" hidden="1"/>
    <cellStyle name="Открывавшаяся гиперссылка" xfId="5462" builtinId="9" hidden="1"/>
    <cellStyle name="Открывавшаяся гиперссылка" xfId="4878" builtinId="9" hidden="1"/>
    <cellStyle name="Открывавшаяся гиперссылка" xfId="6285" builtinId="9" hidden="1"/>
    <cellStyle name="Открывавшаяся гиперссылка" xfId="7432" builtinId="9" hidden="1"/>
    <cellStyle name="Открывавшаяся гиперссылка" xfId="7427" builtinId="9" hidden="1"/>
    <cellStyle name="Открывавшаяся гиперссылка" xfId="7445" builtinId="9" hidden="1"/>
    <cellStyle name="Открывавшаяся гиперссылка" xfId="7447" builtinId="9" hidden="1"/>
    <cellStyle name="Открывавшаяся гиперссылка" xfId="7448" builtinId="9" hidden="1"/>
    <cellStyle name="Открывавшаяся гиперссылка" xfId="7450" builtinId="9" hidden="1"/>
    <cellStyle name="Открывавшаяся гиперссылка" xfId="7455" builtinId="9" hidden="1"/>
    <cellStyle name="Открывавшаяся гиперссылка" xfId="7452" builtinId="9" hidden="1"/>
    <cellStyle name="Открывавшаяся гиперссылка" xfId="7457" builtinId="9" hidden="1"/>
    <cellStyle name="Открывавшаяся гиперссылка" xfId="7459" builtinId="9" hidden="1"/>
    <cellStyle name="Открывавшаяся гиперссылка" xfId="7463" builtinId="9" hidden="1"/>
    <cellStyle name="Открывавшаяся гиперссылка" xfId="7460" builtinId="9" hidden="1"/>
    <cellStyle name="Открывавшаяся гиперссылка" xfId="7467" builtinId="9" hidden="1"/>
    <cellStyle name="Открывавшаяся гиперссылка" xfId="7469" builtinId="9" hidden="1"/>
    <cellStyle name="Открывавшаяся гиперссылка" xfId="7470" builtinId="9" hidden="1"/>
    <cellStyle name="Открывавшаяся гиперссылка" xfId="7472" builtinId="9" hidden="1"/>
    <cellStyle name="Открывавшаяся гиперссылка" xfId="7477" builtinId="9" hidden="1"/>
    <cellStyle name="Открывавшаяся гиперссылка" xfId="7474" builtinId="9" hidden="1"/>
    <cellStyle name="Открывавшаяся гиперссылка" xfId="7479" builtinId="9" hidden="1"/>
    <cellStyle name="Открывавшаяся гиперссылка" xfId="7481" builtinId="9" hidden="1"/>
    <cellStyle name="Открывавшаяся гиперссылка" xfId="7485" builtinId="9" hidden="1"/>
    <cellStyle name="Открывавшаяся гиперссылка" xfId="7482" builtinId="9" hidden="1"/>
    <cellStyle name="Открывавшаяся гиперссылка" xfId="7487" builtinId="9" hidden="1"/>
    <cellStyle name="Открывавшаяся гиперссылка" xfId="7489" builtinId="9" hidden="1"/>
    <cellStyle name="Открывавшаяся гиперссылка" xfId="7490" builtinId="9" hidden="1"/>
    <cellStyle name="Открывавшаяся гиперссылка" xfId="7492" builtinId="9" hidden="1"/>
    <cellStyle name="Открывавшаяся гиперссылка" xfId="7497" builtinId="9" hidden="1"/>
    <cellStyle name="Открывавшаяся гиперссылка" xfId="7494" builtinId="9" hidden="1"/>
    <cellStyle name="Открывавшаяся гиперссылка" xfId="7499" builtinId="9" hidden="1"/>
    <cellStyle name="Открывавшаяся гиперссылка" xfId="7501" builtinId="9" hidden="1"/>
    <cellStyle name="Открывавшаяся гиперссылка" xfId="7505" builtinId="9" hidden="1"/>
    <cellStyle name="Открывавшаяся гиперссылка" xfId="7502" builtinId="9" hidden="1"/>
    <cellStyle name="Открывавшаяся гиперссылка" xfId="4320" builtinId="9" hidden="1"/>
    <cellStyle name="Открывавшаяся гиперссылка" xfId="4370" builtinId="9" hidden="1"/>
    <cellStyle name="Открывавшаяся гиперссылка" xfId="5663" builtinId="9" hidden="1"/>
    <cellStyle name="Открывавшаяся гиперссылка" xfId="4128" builtinId="9" hidden="1"/>
    <cellStyle name="Открывавшаяся гиперссылка" xfId="253" builtinId="9" hidden="1"/>
    <cellStyle name="Открывавшаяся гиперссылка" xfId="4881" builtinId="9" hidden="1"/>
    <cellStyle name="Открывавшаяся гиперссылка" xfId="6776" builtinId="9" hidden="1"/>
    <cellStyle name="Открывавшаяся гиперссылка" xfId="4853" builtinId="9" hidden="1"/>
    <cellStyle name="Открывавшаяся гиперссылка" xfId="7559" builtinId="9" hidden="1"/>
    <cellStyle name="Открывавшаяся гиперссылка" xfId="7555" builtinId="9" hidden="1"/>
    <cellStyle name="Открывавшаяся гиперссылка" xfId="7571" builtinId="9" hidden="1"/>
    <cellStyle name="Открывавшаяся гиперссылка" xfId="7573" builtinId="9" hidden="1"/>
    <cellStyle name="Открывавшаяся гиперссылка" xfId="7574" builtinId="9" hidden="1"/>
    <cellStyle name="Открывавшаяся гиперссылка" xfId="7576" builtinId="9" hidden="1"/>
    <cellStyle name="Открывавшаяся гиперссылка" xfId="7581" builtinId="9" hidden="1"/>
    <cellStyle name="Открывавшаяся гиперссылка" xfId="7578" builtinId="9" hidden="1"/>
    <cellStyle name="Открывавшаяся гиперссылка" xfId="7583" builtinId="9" hidden="1"/>
    <cellStyle name="Открывавшаяся гиперссылка" xfId="7585" builtinId="9" hidden="1"/>
    <cellStyle name="Открывавшаяся гиперссылка" xfId="7589" builtinId="9" hidden="1"/>
    <cellStyle name="Открывавшаяся гиперссылка" xfId="7586" builtinId="9" hidden="1"/>
    <cellStyle name="Открывавшаяся гиперссылка" xfId="7593" builtinId="9" hidden="1"/>
    <cellStyle name="Открывавшаяся гиперссылка" xfId="7595" builtinId="9" hidden="1"/>
    <cellStyle name="Открывавшаяся гиперссылка" xfId="7596" builtinId="9" hidden="1"/>
    <cellStyle name="Открывавшаяся гиперссылка" xfId="7598" builtinId="9" hidden="1"/>
    <cellStyle name="Открывавшаяся гиперссылка" xfId="7603" builtinId="9" hidden="1"/>
    <cellStyle name="Открывавшаяся гиперссылка" xfId="7600" builtinId="9" hidden="1"/>
    <cellStyle name="Открывавшаяся гиперссылка" xfId="7605" builtinId="9" hidden="1"/>
    <cellStyle name="Открывавшаяся гиперссылка" xfId="7607" builtinId="9" hidden="1"/>
    <cellStyle name="Открывавшаяся гиперссылка" xfId="7611" builtinId="9" hidden="1"/>
    <cellStyle name="Открывавшаяся гиперссылка" xfId="7608" builtinId="9" hidden="1"/>
    <cellStyle name="Открывавшаяся гиперссылка" xfId="7613" builtinId="9" hidden="1"/>
    <cellStyle name="Открывавшаяся гиперссылка" xfId="7615" builtinId="9" hidden="1"/>
    <cellStyle name="Открывавшаяся гиперссылка" xfId="7616" builtinId="9" hidden="1"/>
    <cellStyle name="Открывавшаяся гиперссылка" xfId="7618" builtinId="9" hidden="1"/>
    <cellStyle name="Открывавшаяся гиперссылка" xfId="7623" builtinId="9" hidden="1"/>
    <cellStyle name="Открывавшаяся гиперссылка" xfId="7620" builtinId="9" hidden="1"/>
    <cellStyle name="Открывавшаяся гиперссылка" xfId="7625" builtinId="9" hidden="1"/>
    <cellStyle name="Открывавшаяся гиперссылка" xfId="7627" builtinId="9" hidden="1"/>
    <cellStyle name="Открывавшаяся гиперссылка" xfId="7631" builtinId="9" hidden="1"/>
    <cellStyle name="Открывавшаяся гиперссылка" xfId="7628" builtinId="9" hidden="1"/>
    <cellStyle name="Открывавшаяся гиперссылка" xfId="4290" builtinId="9" hidden="1"/>
    <cellStyle name="Открывавшаяся гиперссылка" xfId="4267" builtinId="9" hidden="1"/>
    <cellStyle name="Открывавшаяся гиперссылка" xfId="6918" builtinId="9" hidden="1"/>
    <cellStyle name="Открывавшаяся гиперссылка" xfId="4024" builtinId="9" hidden="1"/>
    <cellStyle name="Открывавшаяся гиперссылка" xfId="6276" builtinId="9" hidden="1"/>
    <cellStyle name="Открывавшаяся гиперссылка" xfId="4956" builtinId="9" hidden="1"/>
    <cellStyle name="Открывавшаяся гиперссылка" xfId="7509" builtinId="9" hidden="1"/>
    <cellStyle name="Открывавшаяся гиперссылка" xfId="4203" builtinId="9" hidden="1"/>
    <cellStyle name="Открывавшаяся гиперссылка" xfId="7675" builtinId="9" hidden="1"/>
    <cellStyle name="Открывавшаяся гиперссылка" xfId="7669" builtinId="9" hidden="1"/>
    <cellStyle name="Открывавшаяся гиперссылка" xfId="7687" builtinId="9" hidden="1"/>
    <cellStyle name="Открывавшаяся гиперссылка" xfId="7689" builtinId="9" hidden="1"/>
    <cellStyle name="Открывавшаяся гиперссылка" xfId="7690" builtinId="9" hidden="1"/>
    <cellStyle name="Открывавшаяся гиперссылка" xfId="7692" builtinId="9" hidden="1"/>
    <cellStyle name="Открывавшаяся гиперссылка" xfId="7697" builtinId="9" hidden="1"/>
    <cellStyle name="Открывавшаяся гиперссылка" xfId="7694" builtinId="9" hidden="1"/>
    <cellStyle name="Открывавшаяся гиперссылка" xfId="7699" builtinId="9" hidden="1"/>
    <cellStyle name="Открывавшаяся гиперссылка" xfId="7701" builtinId="9" hidden="1"/>
    <cellStyle name="Открывавшаяся гиперссылка" xfId="7705" builtinId="9" hidden="1"/>
    <cellStyle name="Открывавшаяся гиперссылка" xfId="7702" builtinId="9" hidden="1"/>
    <cellStyle name="Открывавшаяся гиперссылка" xfId="7709" builtinId="9" hidden="1"/>
    <cellStyle name="Открывавшаяся гиперссылка" xfId="7711" builtinId="9" hidden="1"/>
    <cellStyle name="Открывавшаяся гиперссылка" xfId="7712" builtinId="9" hidden="1"/>
    <cellStyle name="Открывавшаяся гиперссылка" xfId="7714" builtinId="9" hidden="1"/>
    <cellStyle name="Открывавшаяся гиперссылка" xfId="7719" builtinId="9" hidden="1"/>
    <cellStyle name="Открывавшаяся гиперссылка" xfId="7716" builtinId="9" hidden="1"/>
    <cellStyle name="Открывавшаяся гиперссылка" xfId="7721" builtinId="9" hidden="1"/>
    <cellStyle name="Открывавшаяся гиперссылка" xfId="7723" builtinId="9" hidden="1"/>
    <cellStyle name="Открывавшаяся гиперссылка" xfId="7727" builtinId="9" hidden="1"/>
    <cellStyle name="Открывавшаяся гиперссылка" xfId="7724" builtinId="9" hidden="1"/>
    <cellStyle name="Открывавшаяся гиперссылка" xfId="7729" builtinId="9" hidden="1"/>
    <cellStyle name="Открывавшаяся гиперссылка" xfId="7731" builtinId="9" hidden="1"/>
    <cellStyle name="Открывавшаяся гиперссылка" xfId="7732" builtinId="9" hidden="1"/>
    <cellStyle name="Открывавшаяся гиперссылка" xfId="7734" builtinId="9" hidden="1"/>
    <cellStyle name="Открывавшаяся гиперссылка" xfId="7739" builtinId="9" hidden="1"/>
    <cellStyle name="Открывавшаяся гиперссылка" xfId="7736" builtinId="9" hidden="1"/>
    <cellStyle name="Открывавшаяся гиперссылка" xfId="7741" builtinId="9" hidden="1"/>
    <cellStyle name="Открывавшаяся гиперссылка" xfId="7743" builtinId="9" hidden="1"/>
    <cellStyle name="Открывавшаяся гиперссылка" xfId="7747" builtinId="9" hidden="1"/>
    <cellStyle name="Открывавшаяся гиперссылка" xfId="7744" builtinId="9" hidden="1"/>
    <cellStyle name="Открывавшаяся гиперссылка" xfId="7535" builtinId="9" hidden="1"/>
    <cellStyle name="Открывавшаяся гиперссылка" xfId="7533" builtinId="9" hidden="1"/>
    <cellStyle name="Открывавшаяся гиперссылка" xfId="233" builtinId="9" hidden="1"/>
    <cellStyle name="Открывавшаяся гиперссылка" xfId="7540" builtinId="9" hidden="1"/>
    <cellStyle name="Открывавшаяся гиперссылка" xfId="6405" builtinId="9" hidden="1"/>
    <cellStyle name="Открывавшаяся гиперссылка" xfId="4935" builtinId="9" hidden="1"/>
    <cellStyle name="Открывавшаяся гиперссылка" xfId="7635" builtinId="9" hidden="1"/>
    <cellStyle name="Открывавшаяся гиперссылка" xfId="7517" builtinId="9" hidden="1"/>
    <cellStyle name="Открывавшаяся гиперссылка" xfId="7787" builtinId="9" hidden="1"/>
    <cellStyle name="Открывавшаяся гиперссылка" xfId="7784" builtinId="9" hidden="1"/>
    <cellStyle name="Открывавшаяся гиперссылка" xfId="7797" builtinId="9" hidden="1"/>
    <cellStyle name="Открывавшаяся гиперссылка" xfId="7799" builtinId="9" hidden="1"/>
    <cellStyle name="Открывавшаяся гиперссылка" xfId="7801" builtinId="9" hidden="1"/>
    <cellStyle name="Открывавшаяся гиперссылка" xfId="7803" builtinId="9" hidden="1"/>
    <cellStyle name="Открывавшаяся гиперссылка" xfId="7808" builtinId="9" hidden="1"/>
    <cellStyle name="Открывавшаяся гиперссылка" xfId="7805" builtinId="9" hidden="1"/>
    <cellStyle name="Открывавшаяся гиперссылка" xfId="7810" builtinId="9" hidden="1"/>
    <cellStyle name="Открывавшаяся гиперссылка" xfId="7812" builtinId="9" hidden="1"/>
    <cellStyle name="Открывавшаяся гиперссылка" xfId="7816" builtinId="9" hidden="1"/>
    <cellStyle name="Открывавшаяся гиперссылка" xfId="7813" builtinId="9" hidden="1"/>
    <cellStyle name="Открывавшаяся гиперссылка" xfId="7819" builtinId="9" hidden="1"/>
    <cellStyle name="Открывавшаяся гиперссылка" xfId="7821" builtinId="9" hidden="1"/>
    <cellStyle name="Открывавшаяся гиперссылка" xfId="7822" builtinId="9" hidden="1"/>
    <cellStyle name="Открывавшаяся гиперссылка" xfId="7824" builtinId="9" hidden="1"/>
    <cellStyle name="Открывавшаяся гиперссылка" xfId="7829" builtinId="9" hidden="1"/>
    <cellStyle name="Открывавшаяся гиперссылка" xfId="7826" builtinId="9" hidden="1"/>
    <cellStyle name="Открывавшаяся гиперссылка" xfId="7831" builtinId="9" hidden="1"/>
    <cellStyle name="Открывавшаяся гиперссылка" xfId="7833" builtinId="9" hidden="1"/>
    <cellStyle name="Открывавшаяся гиперссылка" xfId="7837" builtinId="9" hidden="1"/>
    <cellStyle name="Открывавшаяся гиперссылка" xfId="7834" builtinId="9" hidden="1"/>
    <cellStyle name="Открывавшаяся гиперссылка" xfId="7839" builtinId="9" hidden="1"/>
    <cellStyle name="Открывавшаяся гиперссылка" xfId="7841" builtinId="9" hidden="1"/>
    <cellStyle name="Открывавшаяся гиперссылка" xfId="7842" builtinId="9" hidden="1"/>
    <cellStyle name="Открывавшаяся гиперссылка" xfId="7844" builtinId="9" hidden="1"/>
    <cellStyle name="Открывавшаяся гиперссылка" xfId="7849" builtinId="9" hidden="1"/>
    <cellStyle name="Открывавшаяся гиперссылка" xfId="7846" builtinId="9" hidden="1"/>
    <cellStyle name="Открывавшаяся гиперссылка" xfId="7851" builtinId="9" hidden="1"/>
    <cellStyle name="Открывавшаяся гиперссылка" xfId="7853" builtinId="9" hidden="1"/>
    <cellStyle name="Открывавшаяся гиперссылка" xfId="7857" builtinId="9" hidden="1"/>
    <cellStyle name="Открывавшаяся гиперссылка" xfId="7854" builtinId="9" hidden="1"/>
    <cellStyle name="Открывавшаяся гиперссылка" xfId="7650" builtinId="9" hidden="1"/>
    <cellStyle name="Открывавшаяся гиперссылка" xfId="7648" builtinId="9" hidden="1"/>
    <cellStyle name="Открывавшаяся гиперссылка" xfId="309" builtinId="9" hidden="1"/>
    <cellStyle name="Открывавшаяся гиперссылка" xfId="7652" builtinId="9" hidden="1"/>
    <cellStyle name="Открывавшаяся гиперссылка" xfId="5981" builtinId="9" hidden="1"/>
    <cellStyle name="Открывавшаяся гиперссылка" xfId="6490" builtinId="9" hidden="1"/>
    <cellStyle name="Открывавшаяся гиперссылка" xfId="7749" builtinId="9" hidden="1"/>
    <cellStyle name="Открывавшаяся гиперссылка" xfId="7642" builtinId="9" hidden="1"/>
    <cellStyle name="Открывавшаяся гиперссылка" xfId="7889" builtinId="9" hidden="1"/>
    <cellStyle name="Открывавшаяся гиперссылка" xfId="7886" builtinId="9" hidden="1"/>
    <cellStyle name="Открывавшаяся гиперссылка" xfId="7899" builtinId="9" hidden="1"/>
    <cellStyle name="Открывавшаяся гиперссылка" xfId="7901" builtinId="9" hidden="1"/>
    <cellStyle name="Открывавшаяся гиперссылка" xfId="7902" builtinId="9" hidden="1"/>
    <cellStyle name="Открывавшаяся гиперссылка" xfId="7904" builtinId="9" hidden="1"/>
    <cellStyle name="Открывавшаяся гиперссылка" xfId="7909" builtinId="9" hidden="1"/>
    <cellStyle name="Открывавшаяся гиперссылка" xfId="7906" builtinId="9" hidden="1"/>
    <cellStyle name="Открывавшаяся гиперссылка" xfId="7911" builtinId="9" hidden="1"/>
    <cellStyle name="Открывавшаяся гиперссылка" xfId="7913" builtinId="9" hidden="1"/>
    <cellStyle name="Открывавшаяся гиперссылка" xfId="7917" builtinId="9" hidden="1"/>
    <cellStyle name="Открывавшаяся гиперссылка" xfId="7914" builtinId="9" hidden="1"/>
    <cellStyle name="Открывавшаяся гиперссылка" xfId="7920" builtinId="9" hidden="1"/>
    <cellStyle name="Открывавшаяся гиперссылка" xfId="7922" builtinId="9" hidden="1"/>
    <cellStyle name="Открывавшаяся гиперссылка" xfId="7923" builtinId="9" hidden="1"/>
    <cellStyle name="Открывавшаяся гиперссылка" xfId="7925" builtinId="9" hidden="1"/>
    <cellStyle name="Открывавшаяся гиперссылка" xfId="7930" builtinId="9" hidden="1"/>
    <cellStyle name="Открывавшаяся гиперссылка" xfId="7927" builtinId="9" hidden="1"/>
    <cellStyle name="Открывавшаяся гиперссылка" xfId="7932" builtinId="9" hidden="1"/>
    <cellStyle name="Открывавшаяся гиперссылка" xfId="7934" builtinId="9" hidden="1"/>
    <cellStyle name="Открывавшаяся гиперссылка" xfId="7938" builtinId="9" hidden="1"/>
    <cellStyle name="Открывавшаяся гиперссылка" xfId="7935" builtinId="9" hidden="1"/>
    <cellStyle name="Открывавшаяся гиперссылка" xfId="7940" builtinId="9" hidden="1"/>
    <cellStyle name="Открывавшаяся гиперссылка" xfId="7942" builtinId="9" hidden="1"/>
    <cellStyle name="Открывавшаяся гиперссылка" xfId="7943" builtinId="9" hidden="1"/>
    <cellStyle name="Открывавшаяся гиперссылка" xfId="7945" builtinId="9" hidden="1"/>
    <cellStyle name="Открывавшаяся гиперссылка" xfId="7950" builtinId="9" hidden="1"/>
    <cellStyle name="Открывавшаяся гиперссылка" xfId="7947" builtinId="9" hidden="1"/>
    <cellStyle name="Открывавшаяся гиперссылка" xfId="7952" builtinId="9" hidden="1"/>
    <cellStyle name="Открывавшаяся гиперссылка" xfId="7954" builtinId="9" hidden="1"/>
    <cellStyle name="Открывавшаяся гиперссылка" xfId="7958" builtinId="9" hidden="1"/>
    <cellStyle name="Открывавшаяся гиперссылка" xfId="7955" builtinId="9" hidden="1"/>
    <cellStyle name="Открывавшаяся гиперссылка" xfId="7764" builtinId="9" hidden="1"/>
    <cellStyle name="Открывавшаяся гиперссылка" xfId="7761" builtinId="9" hidden="1"/>
    <cellStyle name="Открывавшаяся гиперссылка" xfId="6480" builtinId="9" hidden="1"/>
    <cellStyle name="Открывавшаяся гиперссылка" xfId="7770" builtinId="9" hidden="1"/>
    <cellStyle name="Открывавшаяся гиперссылка" xfId="6415" builtinId="9" hidden="1"/>
    <cellStyle name="Открывавшаяся гиперссылка" xfId="4348" builtinId="9" hidden="1"/>
    <cellStyle name="Открывавшаяся гиперссылка" xfId="7860" builtinId="9" hidden="1"/>
    <cellStyle name="Открывавшаяся гиперссылка" xfId="7754" builtinId="9" hidden="1"/>
    <cellStyle name="Открывавшаяся гиперссылка" xfId="7981" builtinId="9" hidden="1"/>
    <cellStyle name="Открывавшаяся гиперссылка" xfId="7978" builtinId="9" hidden="1"/>
    <cellStyle name="Открывавшаяся гиперссылка" xfId="7991" builtinId="9" hidden="1"/>
    <cellStyle name="Открывавшаяся гиперссылка" xfId="7993" builtinId="9" hidden="1"/>
    <cellStyle name="Открывавшаяся гиперссылка" xfId="7994" builtinId="9" hidden="1"/>
    <cellStyle name="Открывавшаяся гиперссылка" xfId="7996" builtinId="9" hidden="1"/>
    <cellStyle name="Открывавшаяся гиперссылка" xfId="8001" builtinId="9" hidden="1"/>
    <cellStyle name="Открывавшаяся гиперссылка" xfId="7998" builtinId="9" hidden="1"/>
    <cellStyle name="Открывавшаяся гиперссылка" xfId="8003" builtinId="9" hidden="1"/>
    <cellStyle name="Открывавшаяся гиперссылка" xfId="8005" builtinId="9" hidden="1"/>
    <cellStyle name="Открывавшаяся гиперссылка" xfId="8009" builtinId="9" hidden="1"/>
    <cellStyle name="Открывавшаяся гиперссылка" xfId="8006" builtinId="9" hidden="1"/>
    <cellStyle name="Открывавшаяся гиперссылка" xfId="8011" builtinId="9" hidden="1"/>
    <cellStyle name="Открывавшаяся гиперссылка" xfId="8013" builtinId="9" hidden="1"/>
    <cellStyle name="Открывавшаяся гиперссылка" xfId="8014" builtinId="9" hidden="1"/>
    <cellStyle name="Открывавшаяся гиперссылка" xfId="8016" builtinId="9" hidden="1"/>
    <cellStyle name="Открывавшаяся гиперссылка" xfId="8021" builtinId="9" hidden="1"/>
    <cellStyle name="Открывавшаяся гиперссылка" xfId="8018" builtinId="9" hidden="1"/>
    <cellStyle name="Открывавшаяся гиперссылка" xfId="8023" builtinId="9" hidden="1"/>
    <cellStyle name="Открывавшаяся гиперссылка" xfId="8025" builtinId="9" hidden="1"/>
    <cellStyle name="Открывавшаяся гиперссылка" xfId="8029" builtinId="9" hidden="1"/>
    <cellStyle name="Открывавшаяся гиперссылка" xfId="8026" builtinId="9" hidden="1"/>
    <cellStyle name="Открывавшаяся гиперссылка" xfId="8031" builtinId="9" hidden="1"/>
    <cellStyle name="Открывавшаяся гиперссылка" xfId="8033" builtinId="9" hidden="1"/>
    <cellStyle name="Открывавшаяся гиперссылка" xfId="8034" builtinId="9" hidden="1"/>
    <cellStyle name="Открывавшаяся гиперссылка" xfId="8036" builtinId="9" hidden="1"/>
    <cellStyle name="Открывавшаяся гиперссылка" xfId="8041" builtinId="9" hidden="1"/>
    <cellStyle name="Открывавшаяся гиперссылка" xfId="8038" builtinId="9" hidden="1"/>
    <cellStyle name="Открывавшаяся гиперссылка" xfId="8043" builtinId="9" hidden="1"/>
    <cellStyle name="Открывавшаяся гиперссылка" xfId="8045" builtinId="9" hidden="1"/>
    <cellStyle name="Открывавшаяся гиперссылка" xfId="8049" builtinId="9" hidden="1"/>
    <cellStyle name="Открывавшаяся гиперссылка" xfId="8046" builtinId="9" hidden="1"/>
    <cellStyle name="Открывавшаяся гиперссылка" xfId="7870" builtinId="9" hidden="1"/>
    <cellStyle name="Открывавшаяся гиперссылка" xfId="7868" builtinId="9" hidden="1"/>
    <cellStyle name="Открывавшаяся гиперссылка" xfId="4034" builtinId="9" hidden="1"/>
    <cellStyle name="Открывавшаяся гиперссылка" xfId="7876" builtinId="9" hidden="1"/>
    <cellStyle name="Открывавшаяся гиперссылка" xfId="6504" builtinId="9" hidden="1"/>
    <cellStyle name="Открывавшаяся гиперссылка" xfId="6273" builtinId="9" hidden="1"/>
    <cellStyle name="Открывавшаяся гиперссылка" xfId="7959" builtinId="9" hidden="1"/>
    <cellStyle name="Открывавшаяся гиперссылка" xfId="7864" builtinId="9" hidden="1"/>
    <cellStyle name="Открывавшаяся гиперссылка" xfId="8053" builtinId="9" hidden="1"/>
    <cellStyle name="Открывавшаяся гиперссылка" xfId="8050" builtinId="9" hidden="1"/>
    <cellStyle name="Открывавшаяся гиперссылка" xfId="8055" builtinId="9" hidden="1"/>
    <cellStyle name="Открывавшаяся гиперссылка" xfId="8057" builtinId="9" hidden="1"/>
    <cellStyle name="Открывавшаяся гиперссылка" xfId="8058" builtinId="9" hidden="1"/>
    <cellStyle name="Открывавшаяся гиперссылка" xfId="8060" builtinId="9" hidden="1"/>
    <cellStyle name="Открывавшаяся гиперссылка" xfId="8065" builtinId="9" hidden="1"/>
    <cellStyle name="Открывавшаяся гиперссылка" xfId="8062" builtinId="9" hidden="1"/>
    <cellStyle name="Открывавшаяся гиперссылка" xfId="8067" builtinId="9" hidden="1"/>
    <cellStyle name="Открывавшаяся гиперссылка" xfId="8069" builtinId="9" hidden="1"/>
    <cellStyle name="Открывавшаяся гиперссылка" xfId="8073" builtinId="9" hidden="1"/>
    <cellStyle name="Открывавшаяся гиперссылка" xfId="8070" builtinId="9" hidden="1"/>
    <cellStyle name="Открывавшаяся гиперссылка" xfId="8075" builtinId="9" hidden="1"/>
    <cellStyle name="Открывавшаяся гиперссылка" xfId="8077" builtinId="9" hidden="1"/>
    <cellStyle name="Открывавшаяся гиперссылка" xfId="8078" builtinId="9" hidden="1"/>
    <cellStyle name="Открывавшаяся гиперссылка" xfId="8080" builtinId="9" hidden="1"/>
    <cellStyle name="Открывавшаяся гиперссылка" xfId="8085" builtinId="9" hidden="1"/>
    <cellStyle name="Открывавшаяся гиперссылка" xfId="8082" builtinId="9" hidden="1"/>
    <cellStyle name="Открывавшаяся гиперссылка" xfId="8087" builtinId="9" hidden="1"/>
    <cellStyle name="Открывавшаяся гиперссылка" xfId="8089" builtinId="9" hidden="1"/>
    <cellStyle name="Открывавшаяся гиперссылка" xfId="8093" builtinId="9" hidden="1"/>
    <cellStyle name="Открывавшаяся гиперссылка" xfId="8090" builtinId="9" hidden="1"/>
    <cellStyle name="Открывавшаяся гиперссылка" xfId="8095" builtinId="9" hidden="1"/>
    <cellStyle name="Открывавшаяся гиперссылка" xfId="8097" builtinId="9" hidden="1"/>
    <cellStyle name="Открывавшаяся гиперссылка" xfId="8098" builtinId="9" hidden="1"/>
    <cellStyle name="Открывавшаяся гиперссылка" xfId="8100" builtinId="9" hidden="1"/>
    <cellStyle name="Открывавшаяся гиперссылка" xfId="8105" builtinId="9" hidden="1"/>
    <cellStyle name="Открывавшаяся гиперссылка" xfId="8102" builtinId="9" hidden="1"/>
    <cellStyle name="Открывавшаяся гиперссылка" xfId="8107" builtinId="9" hidden="1"/>
    <cellStyle name="Открывавшаяся гиперссылка" xfId="8109" builtinId="9" hidden="1"/>
    <cellStyle name="Открывавшаяся гиперссылка" xfId="8113" builtinId="9" hidden="1"/>
    <cellStyle name="Открывавшаяся гиперссылка" xfId="8110" builtinId="9" hidden="1"/>
    <cellStyle name="Открывавшаяся гиперссылка" xfId="271" builtinId="9" hidden="1"/>
    <cellStyle name="Открывавшаяся гиперссылка" xfId="7269" builtinId="9" hidden="1"/>
    <cellStyle name="Открывавшаяся гиперссылка" xfId="7027" builtinId="9" hidden="1"/>
    <cellStyle name="Открывавшаяся гиперссылка" xfId="7772" builtinId="9" hidden="1"/>
    <cellStyle name="Открывавшаяся гиперссылка" xfId="6289" builtinId="9" hidden="1"/>
    <cellStyle name="Открывавшаяся гиперссылка" xfId="5425" builtinId="9" hidden="1"/>
    <cellStyle name="Открывавшаяся гиперссылка" xfId="7561" builtinId="9" hidden="1"/>
    <cellStyle name="Открывавшаяся гиперссылка" xfId="7863" builtinId="9" hidden="1"/>
    <cellStyle name="Открывавшаяся гиперссылка" xfId="7264" builtinId="9" hidden="1"/>
    <cellStyle name="Открывавшаяся гиперссылка" xfId="7759" builtinId="9" hidden="1"/>
    <cellStyle name="Открывавшаяся гиперссылка" xfId="7778" builtinId="9" hidden="1"/>
    <cellStyle name="Открывавшаяся гиперссылка" xfId="7549" builtinId="9" hidden="1"/>
    <cellStyle name="Открывавшаяся гиперссылка" xfId="4997" builtinId="9" hidden="1"/>
    <cellStyle name="Открывавшаяся гиперссылка" xfId="7665" builtinId="9" hidden="1"/>
    <cellStyle name="Открывавшаяся гиперссылка" xfId="5692" builtinId="9" hidden="1"/>
    <cellStyle name="Открывавшаяся гиперссылка" xfId="7426" builtinId="9" hidden="1"/>
    <cellStyle name="Открывавшаяся гиперссылка" xfId="255" builtinId="9" hidden="1"/>
    <cellStyle name="Открывавшаяся гиперссылка" xfId="4823" builtinId="9" hidden="1"/>
    <cellStyle name="Открывавшаяся гиперссылка" xfId="270" builtinId="9" hidden="1"/>
    <cellStyle name="Открывавшаяся гиперссылка" xfId="5336" builtinId="9" hidden="1"/>
    <cellStyle name="Открывавшаяся гиперссылка" xfId="6361" builtinId="9" hidden="1"/>
    <cellStyle name="Открывавшаяся гиперссылка" xfId="7042" builtinId="9" hidden="1"/>
    <cellStyle name="Открывавшаяся гиперссылка" xfId="5496" builtinId="9" hidden="1"/>
    <cellStyle name="Открывавшаяся гиперссылка" xfId="4834" builtinId="9" hidden="1"/>
    <cellStyle name="Открывавшаяся гиперссылка" xfId="4590" builtinId="9" hidden="1"/>
    <cellStyle name="Открывавшаяся гиперссылка" xfId="4450" builtinId="9" hidden="1"/>
    <cellStyle name="Открывавшаяся гиперссылка" xfId="4848" builtinId="9" hidden="1"/>
    <cellStyle name="Открывавшаяся гиперссылка" xfId="5439" builtinId="9" hidden="1"/>
    <cellStyle name="Открывавшаяся гиперссылка" xfId="6012" builtinId="9" hidden="1"/>
    <cellStyle name="Открывавшаяся гиперссылка" xfId="246" builtinId="9" hidden="1"/>
    <cellStyle name="Открывавшаяся гиперссылка" xfId="4651" builtinId="9" hidden="1"/>
    <cellStyle name="Открывавшаяся гиперссылка" xfId="7174" builtinId="9" hidden="1"/>
    <cellStyle name="Открывавшаяся гиперссылка" xfId="5478" builtinId="9" hidden="1"/>
    <cellStyle name="Открывавшаяся гиперссылка" xfId="4854" builtinId="9" hidden="1"/>
    <cellStyle name="Открывавшаяся гиперссылка" xfId="5699" builtinId="9" hidden="1"/>
    <cellStyle name="Открывавшаяся гиперссылка" xfId="6292" builtinId="9" hidden="1"/>
    <cellStyle name="Открывавшаяся гиперссылка" xfId="4755" builtinId="9" hidden="1"/>
    <cellStyle name="Открывавшаяся гиперссылка" xfId="6788" builtinId="9" hidden="1"/>
    <cellStyle name="Открывавшаяся гиперссылка" xfId="4708" builtinId="9" hidden="1"/>
    <cellStyle name="Открывавшаяся гиперссылка" xfId="5443" builtinId="9" hidden="1"/>
    <cellStyle name="Открывавшаяся гиперссылка" xfId="4990" builtinId="9" hidden="1"/>
    <cellStyle name="Открывавшаяся гиперссылка" xfId="4753" builtinId="9" hidden="1"/>
    <cellStyle name="Открывавшаяся гиперссылка" xfId="4612" builtinId="9" hidden="1"/>
    <cellStyle name="Открывавшаяся гиперссылка" xfId="6368" builtinId="9" hidden="1"/>
    <cellStyle name="Открывавшаяся гиперссылка" xfId="4250" builtinId="9" hidden="1"/>
    <cellStyle name="Открывавшаяся гиперссылка" xfId="5286" builtinId="9" hidden="1"/>
    <cellStyle name="Открывавшаяся гиперссылка" xfId="5138" builtinId="9" hidden="1"/>
    <cellStyle name="Открывавшаяся гиперссылка" xfId="5829" builtinId="9" hidden="1"/>
    <cellStyle name="Открывавшаяся гиперссылка" xfId="283" builtinId="9" hidden="1"/>
    <cellStyle name="Открывавшаяся гиперссылка" xfId="6004" builtinId="9" hidden="1"/>
    <cellStyle name="Открывавшаяся гиперссылка" xfId="4113" builtinId="9" hidden="1"/>
    <cellStyle name="Открывавшаяся гиперссылка" xfId="5534" builtinId="9" hidden="1"/>
    <cellStyle name="Открывавшаяся гиперссылка" xfId="6887" builtinId="9" hidden="1"/>
    <cellStyle name="Открывавшаяся гиперссылка" xfId="6678" builtinId="9" hidden="1"/>
    <cellStyle name="Открывавшаяся гиперссылка" xfId="4959" builtinId="9" hidden="1"/>
    <cellStyle name="Открывавшаяся гиперссылка" xfId="4247" builtinId="9" hidden="1"/>
    <cellStyle name="Открывавшаяся гиперссылка" xfId="4316" builtinId="9" hidden="1"/>
    <cellStyle name="Открывавшаяся гиперссылка" xfId="5785" builtinId="9" hidden="1"/>
    <cellStyle name="Открывавшаяся гиперссылка" xfId="7031" builtinId="9" hidden="1"/>
    <cellStyle name="Открывавшаяся гиперссылка" xfId="4045" builtinId="9" hidden="1"/>
    <cellStyle name="Открывавшаяся гиперссылка" xfId="7682" builtinId="9" hidden="1"/>
    <cellStyle name="Открывавшаяся гиперссылка" xfId="7441" builtinId="9" hidden="1"/>
    <cellStyle name="Открывавшаяся гиперссылка" xfId="4440" builtinId="9" hidden="1"/>
    <cellStyle name="Открывавшаяся гиперссылка" xfId="7878" builtinId="9" hidden="1"/>
    <cellStyle name="Открывавшаяся гиперссылка" xfId="5837" builtinId="9" hidden="1"/>
    <cellStyle name="Открывавшаяся гиперссылка" xfId="7657" builtinId="9" hidden="1"/>
    <cellStyle name="Открывавшаяся гиперссылка" xfId="6517" builtinId="9" hidden="1"/>
    <cellStyle name="Открывавшаяся гиперссылка" xfId="6904" builtinId="9" hidden="1"/>
    <cellStyle name="Открывавшаяся гиперссылка" xfId="6942" builtinId="9" hidden="1"/>
    <cellStyle name="Открывавшаяся гиперссылка" xfId="5791" builtinId="9" hidden="1"/>
    <cellStyle name="Открывавшаяся гиперссылка" xfId="5434" builtinId="9" hidden="1"/>
    <cellStyle name="Открывавшаяся гиперссылка" xfId="4108" builtinId="9" hidden="1"/>
    <cellStyle name="Открывавшаяся гиперссылка" xfId="4806" builtinId="9" hidden="1"/>
    <cellStyle name="Открывавшаяся гиперссылка" xfId="4357" builtinId="9" hidden="1"/>
    <cellStyle name="Открывавшаяся гиперссылка" xfId="7678" builtinId="9" hidden="1"/>
    <cellStyle name="Открывавшаяся гиперссылка" xfId="4951" builtinId="9" hidden="1"/>
    <cellStyle name="Открывавшаяся гиперссылка" xfId="7437" builtinId="9" hidden="1"/>
    <cellStyle name="Открывавшаяся гиперссылка" xfId="4253" builtinId="9" hidden="1"/>
    <cellStyle name="Открывавшаяся гиперссылка" xfId="7679" builtinId="9" hidden="1"/>
    <cellStyle name="Открывавшаяся гиперссылка" xfId="7984" builtinId="9" hidden="1"/>
    <cellStyle name="Открывавшаяся гиперссылка" xfId="6156" builtinId="9" hidden="1"/>
    <cellStyle name="Открывавшаяся гиперссылка" xfId="7988" builtinId="9" hidden="1"/>
    <cellStyle name="Открывавшаяся гиперссылка" xfId="7536" builtinId="9" hidden="1"/>
    <cellStyle name="Открывавшаяся гиперссылка" xfId="4492" builtinId="9" hidden="1"/>
    <cellStyle name="Открывавшаяся гиперссылка" xfId="7532" builtinId="9" hidden="1"/>
    <cellStyle name="Открывавшаяся гиперссылка" xfId="4603" builtinId="9" hidden="1"/>
    <cellStyle name="Открывавшаяся гиперссылка" xfId="7036" builtinId="9" hidden="1"/>
    <cellStyle name="Открывавшаяся гиперссылка" xfId="7063" builtinId="9" hidden="1"/>
    <cellStyle name="Открывавшаяся гиперссылка" xfId="6954" builtinId="9" hidden="1"/>
    <cellStyle name="Открывавшаяся гиперссылка" xfId="7053" builtinId="9" hidden="1"/>
    <cellStyle name="Открывавшаяся гиперссылка" xfId="4125" builtinId="9" hidden="1"/>
    <cellStyle name="Открывавшаяся гиперссылка" xfId="6265" builtinId="9" hidden="1"/>
    <cellStyle name="Открывавшаяся гиперссылка" xfId="5623" builtinId="9" hidden="1"/>
    <cellStyle name="Открывавшаяся гиперссылка" xfId="6789" builtinId="9" hidden="1"/>
    <cellStyle name="Открывавшаяся гиперссылка" xfId="4920" builtinId="9" hidden="1"/>
    <cellStyle name="Открывавшаяся гиперссылка" xfId="7590" builtinId="9" hidden="1"/>
    <cellStyle name="Открывавшаяся гиперссылка" xfId="6785" builtinId="9" hidden="1"/>
    <cellStyle name="Открывавшаяся гиперссылка" xfId="4640" builtinId="9" hidden="1"/>
    <cellStyle name="Открывавшаяся гиперссылка" xfId="4732" builtinId="9" hidden="1"/>
    <cellStyle name="Открывавшаяся гиперссылка" xfId="6826" builtinId="9" hidden="1"/>
    <cellStyle name="Открывавшаяся гиперссылка" xfId="4821" builtinId="9" hidden="1"/>
    <cellStyle name="Открывавшаяся гиперссылка" xfId="5426" builtinId="9" hidden="1"/>
    <cellStyle name="Открывавшаяся гиперссылка" xfId="7188" builtinId="9" hidden="1"/>
    <cellStyle name="Открывавшаяся гиперссылка" xfId="5120" builtinId="9" hidden="1"/>
    <cellStyle name="Открывавшаяся гиперссылка" xfId="5992" builtinId="9" hidden="1"/>
    <cellStyle name="Открывавшаяся гиперссылка" xfId="6123" builtinId="9" hidden="1"/>
    <cellStyle name="Открывавшаяся гиперссылка" xfId="4106" builtinId="9" hidden="1"/>
    <cellStyle name="Открывавшаяся гиперссылка" xfId="5783" builtinId="9" hidden="1"/>
    <cellStyle name="Открывавшаяся гиперссылка" xfId="6099" builtinId="9" hidden="1"/>
    <cellStyle name="Открывавшаяся гиперссылка" xfId="6228" builtinId="9" hidden="1"/>
    <cellStyle name="Открывавшаяся гиперссылка" xfId="6899" builtinId="9" hidden="1"/>
    <cellStyle name="Открывавшаяся гиперссылка" xfId="4654" builtinId="9" hidden="1"/>
    <cellStyle name="Открывавшаяся гиперссылка" xfId="218" builtinId="9" hidden="1"/>
    <cellStyle name="Открывавшаяся гиперссылка" xfId="5789" builtinId="9" hidden="1"/>
    <cellStyle name="Открывавшаяся гиперссылка" xfId="5811" builtinId="9" hidden="1"/>
    <cellStyle name="Открывавшаяся гиперссылка" xfId="6266" builtinId="9" hidden="1"/>
    <cellStyle name="Открывавшаяся гиперссылка" xfId="5454" builtinId="9" hidden="1"/>
    <cellStyle name="Открывавшаяся гиперссылка" xfId="245" builtinId="9" hidden="1"/>
    <cellStyle name="Открывавшаяся гиперссылка" xfId="4641" builtinId="9" hidden="1"/>
    <cellStyle name="Открывавшаяся гиперссылка" xfId="4042" builtinId="9" hidden="1"/>
    <cellStyle name="Открывавшаяся гиперссылка" xfId="4673" builtinId="9" hidden="1"/>
    <cellStyle name="Открывавшаяся гиперссылка" xfId="7542" builtinId="9" hidden="1"/>
    <cellStyle name="Открывавшаяся гиперссылка" xfId="4437" builtinId="9" hidden="1"/>
    <cellStyle name="Открывавшаяся гиперссылка" xfId="5090" builtinId="9" hidden="1"/>
    <cellStyle name="Открывавшаяся гиперссылка" xfId="7511" builtinId="9" hidden="1"/>
    <cellStyle name="Открывавшаяся гиперссылка" xfId="7866" builtinId="9" hidden="1"/>
    <cellStyle name="Открывавшаяся гиперссылка" xfId="6409" builtinId="9" hidden="1"/>
    <cellStyle name="Открывавшаяся гиперссылка" xfId="5635" builtinId="9" hidden="1"/>
    <cellStyle name="Открывавшаяся гиперссылка" xfId="4012" builtinId="9" hidden="1"/>
    <cellStyle name="Открывавшаяся гиперссылка" xfId="7546" builtinId="9" hidden="1"/>
    <cellStyle name="Открывавшаяся гиперссылка" xfId="4372" builtinId="9" hidden="1"/>
    <cellStyle name="Открывавшаяся гиперссылка" xfId="7073" builtinId="9" hidden="1"/>
    <cellStyle name="Открывавшаяся гиперссылка" xfId="4305" builtinId="9" hidden="1"/>
    <cellStyle name="Открывавшаяся гиперссылка" xfId="7968" builtinId="9" hidden="1"/>
    <cellStyle name="Открывавшаяся гиперссылка" xfId="6658" builtinId="9" hidden="1"/>
    <cellStyle name="Открывавшаяся гиперссылка" xfId="7771" builtinId="9" hidden="1"/>
    <cellStyle name="Открывавшаяся гиперссылка" xfId="4038" builtinId="9" hidden="1"/>
    <cellStyle name="Открывавшаяся гиперссылка" xfId="4638" builtinId="9" hidden="1"/>
    <cellStyle name="Открывавшаяся гиперссылка" xfId="6767" builtinId="9" hidden="1"/>
    <cellStyle name="Открывавшаяся гиперссылка" xfId="4469" builtinId="9" hidden="1"/>
    <cellStyle name="Открывавшаяся гиперссылка" xfId="5117" builtinId="9" hidden="1"/>
    <cellStyle name="Открывавшаяся гиперссылка" xfId="6296" builtinId="9" hidden="1"/>
    <cellStyle name="Открывавшаяся гиперссылка" xfId="6671" builtinId="9" hidden="1"/>
    <cellStyle name="Открывавшаяся гиперссылка" xfId="4610" builtinId="9" hidden="1"/>
    <cellStyle name="Открывавшаяся гиперссылка" xfId="4238" builtinId="9" hidden="1"/>
    <cellStyle name="Открывавшаяся гиперссылка" xfId="4789" builtinId="9" hidden="1"/>
    <cellStyle name="Открывавшаяся гиперссылка" xfId="4186" builtinId="9" hidden="1"/>
    <cellStyle name="Открывавшаяся гиперссылка" xfId="7506" builtinId="9" hidden="1"/>
    <cellStyle name="Открывавшаяся гиперссылка" xfId="4410" builtinId="9" hidden="1"/>
    <cellStyle name="Открывавшаяся гиперссылка" xfId="6811" builtinId="9" hidden="1"/>
    <cellStyle name="Открывавшаяся гиперссылка" xfId="4938" builtinId="9" hidden="1"/>
    <cellStyle name="Открывавшаяся гиперссылка" xfId="4493" builtinId="9" hidden="1"/>
    <cellStyle name="Открывавшаяся гиперссылка" xfId="7021" builtinId="9" hidden="1"/>
    <cellStyle name="Открывавшаяся гиперссылка" xfId="4334" builtinId="9" hidden="1"/>
    <cellStyle name="Открывавшаяся гиперссылка" xfId="5641" builtinId="9" hidden="1"/>
    <cellStyle name="Открывавшаяся гиперссылка" xfId="6790" builtinId="9" hidden="1"/>
    <cellStyle name="Открывавшаяся гиперссылка" xfId="4337" builtinId="9" hidden="1"/>
    <cellStyle name="Открывавшаяся гиперссылка" xfId="6081" builtinId="9" hidden="1"/>
    <cellStyle name="Открывавшаяся гиперссылка" xfId="4249" builtinId="9" hidden="1"/>
    <cellStyle name="Открывавшаяся гиперссылка" xfId="4118" builtinId="9" hidden="1"/>
    <cellStyle name="Открывавшаяся гиперссылка" xfId="4175" builtinId="9" hidden="1"/>
    <cellStyle name="Открывавшаяся гиперссылка" xfId="7515" builtinId="9" hidden="1"/>
    <cellStyle name="Открывавшаяся гиперссылка" xfId="4209" builtinId="9" hidden="1"/>
    <cellStyle name="Открывавшаяся гиперссылка" xfId="4070" builtinId="9" hidden="1"/>
    <cellStyle name="Открывавшаяся гиперссылка" xfId="7671" builtinId="9" hidden="1"/>
    <cellStyle name="Открывавшаяся гиперссылка" xfId="5816" builtinId="9" hidden="1"/>
    <cellStyle name="Открывавшаяся гиперссылка" xfId="6106" builtinId="9" hidden="1"/>
    <cellStyle name="Открывавшаяся гиперссылка" xfId="7526" builtinId="9" hidden="1"/>
    <cellStyle name="Открывавшаяся гиперссылка" xfId="7668" builtinId="9" hidden="1"/>
    <cellStyle name="Открывавшаяся гиперссылка" xfId="6420" builtinId="9" hidden="1"/>
    <cellStyle name="Открывавшаяся гиперссылка" xfId="7659" builtinId="9" hidden="1"/>
    <cellStyle name="Открывавшаяся гиперссылка" xfId="7419" builtinId="9" hidden="1"/>
    <cellStyle name="Открывавшаяся гиперссылка" xfId="216" builtinId="9" hidden="1"/>
    <cellStyle name="Открывавшаяся гиперссылка" xfId="5492" builtinId="9" hidden="1"/>
    <cellStyle name="Открывавшаяся гиперссылка" xfId="5858" builtinId="9" hidden="1"/>
    <cellStyle name="Открывавшаяся гиперссылка" xfId="4917" builtinId="9" hidden="1"/>
    <cellStyle name="Открывавшаяся гиперссылка" xfId="4743" builtinId="9" hidden="1"/>
    <cellStyle name="Открывавшаяся гиперссылка" xfId="5861" builtinId="9" hidden="1"/>
    <cellStyle name="Открывавшаяся гиперссылка" xfId="7059" builtinId="9" hidden="1"/>
    <cellStyle name="Открывавшаяся гиперссылка" xfId="5846" builtinId="9" hidden="1"/>
    <cellStyle name="Открывавшаяся гиперссылка" xfId="5799" builtinId="9" hidden="1"/>
    <cellStyle name="Открывавшаяся гиперссылка" xfId="6780" builtinId="9" hidden="1"/>
    <cellStyle name="Открывавшаяся гиперссылка" xfId="7422" builtinId="9" hidden="1"/>
    <cellStyle name="Открывавшаяся гиперссылка" xfId="4824" builtinId="9" hidden="1"/>
    <cellStyle name="Открывавшаяся гиперссылка" xfId="5473" builtinId="9" hidden="1"/>
    <cellStyle name="Открывавшаяся гиперссылка" xfId="6642" builtinId="9" hidden="1"/>
    <cellStyle name="Открывавшаяся гиперссылка" xfId="7880" builtinId="9" hidden="1"/>
    <cellStyle name="Открывавшаяся гиперссылка" xfId="7660" builtinId="9" hidden="1"/>
    <cellStyle name="Открывавшаяся гиперссылка" xfId="4436" builtinId="9" hidden="1"/>
    <cellStyle name="Открывавшаяся гиперссылка" xfId="7548" builtinId="9" hidden="1"/>
    <cellStyle name="Открывавшаяся гиперссылка" xfId="4397" builtinId="9" hidden="1"/>
    <cellStyle name="Открывавшаяся гиперссылка" xfId="5438" builtinId="9" hidden="1"/>
    <cellStyle name="Открывавшаяся гиперссылка" xfId="7061" builtinId="9" hidden="1"/>
    <cellStyle name="Открывавшаяся гиперссылка" xfId="219" builtinId="9" hidden="1"/>
    <cellStyle name="Открывавшаяся гиперссылка" xfId="4861" builtinId="9" hidden="1"/>
    <cellStyle name="Открывавшаяся гиперссылка" xfId="4797" builtinId="9" hidden="1"/>
    <cellStyle name="Открывавшаяся гиперссылка" xfId="321" builtinId="9" hidden="1"/>
    <cellStyle name="Открывавшаяся гиперссылка" xfId="6763" builtinId="9" hidden="1"/>
    <cellStyle name="Открывавшаяся гиперссылка" xfId="5693" builtinId="9" hidden="1"/>
    <cellStyle name="Открывавшаяся гиперссылка" xfId="4216" builtinId="9" hidden="1"/>
    <cellStyle name="Открывавшаяся гиперссылка" xfId="4324" builtinId="9" hidden="1"/>
    <cellStyle name="Открывавшаяся гиперссылка" xfId="5975" builtinId="9" hidden="1"/>
    <cellStyle name="Открывавшаяся гиперссылка" xfId="4321" builtinId="9" hidden="1"/>
    <cellStyle name="Открывавшаяся гиперссылка" xfId="5171" builtinId="9" hidden="1"/>
    <cellStyle name="Открывавшаяся гиперссылка" xfId="4031" builtinId="9" hidden="1"/>
    <cellStyle name="Открывавшаяся гиперссылка" xfId="4746" builtinId="9" hidden="1"/>
    <cellStyle name="Открывавшаяся гиперссылка" xfId="7433" builtinId="9" hidden="1"/>
    <cellStyle name="Открывавшаяся гиперссылка" xfId="6684" builtinId="9" hidden="1"/>
    <cellStyle name="Открывавшаяся гиперссылка" xfId="4318" builtinId="9" hidden="1"/>
    <cellStyle name="Открывавшаяся гиперссылка" xfId="5777" builtinId="9" hidden="1"/>
    <cellStyle name="Открывавшаяся гиперссылка" xfId="7817" builtinId="9" hidden="1"/>
    <cellStyle name="Открывавшаяся гиперссылка" xfId="7591" builtinId="9" hidden="1"/>
    <cellStyle name="Открывавшаяся гиперссылка" xfId="6898" builtinId="9" hidden="1"/>
    <cellStyle name="Открывавшаяся гиперссылка" xfId="5678" builtinId="9" hidden="1"/>
    <cellStyle name="Открывавшаяся гиперссылка" xfId="7181" builtinId="9" hidden="1"/>
    <cellStyle name="Открывавшаяся гиперссылка" xfId="4578" builtinId="9" hidden="1"/>
    <cellStyle name="Открывавшаяся гиперссылка" xfId="5151" builtinId="9" hidden="1"/>
    <cellStyle name="Открывавшаяся гиперссылка" xfId="6222" builtinId="9" hidden="1"/>
    <cellStyle name="Открывавшаяся гиперссылка" xfId="4704" builtinId="9" hidden="1"/>
    <cellStyle name="Открывавшаяся гиперссылка" xfId="5639" builtinId="9" hidden="1"/>
    <cellStyle name="Открывавшаяся гиперссылка" xfId="6379" builtinId="9" hidden="1"/>
    <cellStyle name="Открывавшаяся гиперссылка" xfId="4947" builtinId="9" hidden="1"/>
    <cellStyle name="Открывавшаяся гиперссылка" xfId="4248" builtinId="9" hidden="1"/>
    <cellStyle name="Открывавшаяся гиперссылка" xfId="251" builtinId="9" hidden="1"/>
    <cellStyle name="Открывавшаяся гиперссылка" xfId="5538" builtinId="9" hidden="1"/>
    <cellStyle name="Открывавшаяся гиперссылка" xfId="7520" builtinId="9" hidden="1"/>
    <cellStyle name="Открывавшаяся гиперссылка" xfId="4114" builtinId="9" hidden="1"/>
    <cellStyle name="Открывавшаяся гиперссылка" xfId="7883" builtinId="9" hidden="1"/>
    <cellStyle name="Открывавшаяся гиперссылка" xfId="7425" builtinId="9" hidden="1"/>
    <cellStyle name="Открывавшаяся гиперссылка" xfId="7781" builtinId="9" hidden="1"/>
    <cellStyle name="Открывавшаяся гиперссылка" xfId="4406" builtinId="9" hidden="1"/>
    <cellStyle name="Открывавшаяся гиперссылка" xfId="4122" builtinId="9" hidden="1"/>
    <cellStyle name="Открывавшаяся гиперссылка" xfId="4408" builtinId="9" hidden="1"/>
    <cellStyle name="Открывавшаяся гиперссылка" xfId="288" builtinId="9" hidden="1"/>
    <cellStyle name="Открывавшаяся гиперссылка" xfId="4461" builtinId="9" hidden="1"/>
    <cellStyle name="Открывавшаяся гиперссылка" xfId="6896" builtinId="9" hidden="1"/>
    <cellStyle name="Открывавшаяся гиперссылка" xfId="6275" builtinId="9" hidden="1"/>
    <cellStyle name="Открывавшаяся гиперссылка" xfId="4120" builtinId="9" hidden="1"/>
    <cellStyle name="Открывавшаяся гиперссылка" xfId="7674" builtinId="9" hidden="1"/>
    <cellStyle name="Открывавшаяся гиперссылка" xfId="6800" builtinId="9" hidden="1"/>
    <cellStyle name="Открывавшаяся гиперссылка" xfId="4622" builtinId="9" hidden="1"/>
    <cellStyle name="Открывавшаяся гиперссылка" xfId="4255" builtinId="9" hidden="1"/>
    <cellStyle name="Открывавшаяся гиперссылка" xfId="7424" builtinId="9" hidden="1"/>
    <cellStyle name="Открывавшаяся гиперссылка" xfId="7769" builtinId="9" hidden="1"/>
    <cellStyle name="Открывавшаяся гиперссылка" xfId="7551" builtinId="9" hidden="1"/>
    <cellStyle name="Открывавшаяся гиперссылка" xfId="4668" builtinId="9" hidden="1"/>
    <cellStyle name="Открывавшаяся гиперссылка" xfId="4982" builtinId="9" hidden="1"/>
    <cellStyle name="Открывавшаяся гиперссылка" xfId="7075" builtinId="9" hidden="1"/>
    <cellStyle name="Открывавшаяся гиперссылка" xfId="8126" builtinId="9" hidden="1"/>
    <cellStyle name="Открывавшаяся гиперссылка" xfId="8121" builtinId="9" hidden="1"/>
    <cellStyle name="Открывавшаяся гиперссылка" xfId="8139" builtinId="9" hidden="1"/>
    <cellStyle name="Открывавшаяся гиперссылка" xfId="8141" builtinId="9" hidden="1"/>
    <cellStyle name="Открывавшаяся гиперссылка" xfId="8143" builtinId="9" hidden="1"/>
    <cellStyle name="Открывавшаяся гиперссылка" xfId="8145" builtinId="9" hidden="1"/>
    <cellStyle name="Открывавшаяся гиперссылка" xfId="8150" builtinId="9" hidden="1"/>
    <cellStyle name="Открывавшаяся гиперссылка" xfId="8147" builtinId="9" hidden="1"/>
    <cellStyle name="Открывавшаяся гиперссылка" xfId="8152" builtinId="9" hidden="1"/>
    <cellStyle name="Открывавшаяся гиперссылка" xfId="8154" builtinId="9" hidden="1"/>
    <cellStyle name="Открывавшаяся гиперссылка" xfId="8158" builtinId="9" hidden="1"/>
    <cellStyle name="Открывавшаяся гиперссылка" xfId="8155" builtinId="9" hidden="1"/>
    <cellStyle name="Открывавшаяся гиперссылка" xfId="8160" builtinId="9" hidden="1"/>
    <cellStyle name="Открывавшаяся гиперссылка" xfId="8162" builtinId="9" hidden="1"/>
    <cellStyle name="Открывавшаяся гиперссылка" xfId="8163" builtinId="9" hidden="1"/>
    <cellStyle name="Открывавшаяся гиперссылка" xfId="8165" builtinId="9" hidden="1"/>
    <cellStyle name="Открывавшаяся гиперссылка" xfId="8170" builtinId="9" hidden="1"/>
    <cellStyle name="Открывавшаяся гиперссылка" xfId="8167" builtinId="9" hidden="1"/>
    <cellStyle name="Открывавшаяся гиперссылка" xfId="8172" builtinId="9" hidden="1"/>
    <cellStyle name="Открывавшаяся гиперссылка" xfId="8174" builtinId="9" hidden="1"/>
    <cellStyle name="Открывавшаяся гиперссылка" xfId="8178" builtinId="9" hidden="1"/>
    <cellStyle name="Открывавшаяся гиперссылка" xfId="8175" builtinId="9" hidden="1"/>
    <cellStyle name="Открывавшаяся гиперссылка" xfId="8180" builtinId="9" hidden="1"/>
    <cellStyle name="Открывавшаяся гиперссылка" xfId="8182" builtinId="9" hidden="1"/>
    <cellStyle name="Открывавшаяся гиперссылка" xfId="8183" builtinId="9" hidden="1"/>
    <cellStyle name="Открывавшаяся гиперссылка" xfId="8185" builtinId="9" hidden="1"/>
    <cellStyle name="Открывавшаяся гиперссылка" xfId="8190" builtinId="9" hidden="1"/>
    <cellStyle name="Открывавшаяся гиперссылка" xfId="8187" builtinId="9" hidden="1"/>
    <cellStyle name="Открывавшаяся гиперссылка" xfId="8192" builtinId="9" hidden="1"/>
    <cellStyle name="Открывавшаяся гиперссылка" xfId="8194" builtinId="9" hidden="1"/>
    <cellStyle name="Открывавшаяся гиперссылка" xfId="8198" builtinId="9" hidden="1"/>
    <cellStyle name="Открывавшаяся гиперссылка" xfId="8195" builtinId="9" hidden="1"/>
    <cellStyle name="Открывавшаяся гиперссылка" xfId="6090" builtinId="9" hidden="1"/>
    <cellStyle name="Открывавшаяся гиперссылка" xfId="4287" builtinId="9" hidden="1"/>
    <cellStyle name="Открывавшаяся гиперссылка" xfId="5943" builtinId="9" hidden="1"/>
    <cellStyle name="Открывавшаяся гиперссылка" xfId="5996" builtinId="9" hidden="1"/>
    <cellStyle name="Открывавшаяся гиперссылка" xfId="5253" builtinId="9" hidden="1"/>
    <cellStyle name="Открывавшаяся гиперссылка" xfId="6279" builtinId="9" hidden="1"/>
    <cellStyle name="Открывавшаяся гиперссылка" xfId="7537" builtinId="9" hidden="1"/>
    <cellStyle name="Открывавшаяся гиперссылка" xfId="4446" builtinId="9" hidden="1"/>
    <cellStyle name="Открывавшаяся гиперссылка" xfId="8238" builtinId="9" hidden="1"/>
    <cellStyle name="Открывавшаяся гиперссылка" xfId="8233" builtinId="9" hidden="1"/>
    <cellStyle name="Открывавшаяся гиперссылка" xfId="8248" builtinId="9" hidden="1"/>
    <cellStyle name="Открывавшаяся гиперссылка" xfId="8250" builtinId="9" hidden="1"/>
    <cellStyle name="Открывавшаяся гиперссылка" xfId="8252" builtinId="9" hidden="1"/>
    <cellStyle name="Открывавшаяся гиперссылка" xfId="8254" builtinId="9" hidden="1"/>
    <cellStyle name="Открывавшаяся гиперссылка" xfId="8259" builtinId="9" hidden="1"/>
    <cellStyle name="Открывавшаяся гиперссылка" xfId="8256" builtinId="9" hidden="1"/>
    <cellStyle name="Открывавшаяся гиперссылка" xfId="8261" builtinId="9" hidden="1"/>
    <cellStyle name="Открывавшаяся гиперссылка" xfId="8263" builtinId="9" hidden="1"/>
    <cellStyle name="Открывавшаяся гиперссылка" xfId="8267" builtinId="9" hidden="1"/>
    <cellStyle name="Открывавшаяся гиперссылка" xfId="8264" builtinId="9" hidden="1"/>
    <cellStyle name="Открывавшаяся гиперссылка" xfId="8269" builtinId="9" hidden="1"/>
    <cellStyle name="Открывавшаяся гиперссылка" xfId="8271" builtinId="9" hidden="1"/>
    <cellStyle name="Открывавшаяся гиперссылка" xfId="8272" builtinId="9" hidden="1"/>
    <cellStyle name="Открывавшаяся гиперссылка" xfId="8274" builtinId="9" hidden="1"/>
    <cellStyle name="Открывавшаяся гиперссылка" xfId="8279" builtinId="9" hidden="1"/>
    <cellStyle name="Открывавшаяся гиперссылка" xfId="8276" builtinId="9" hidden="1"/>
    <cellStyle name="Открывавшаяся гиперссылка" xfId="8281" builtinId="9" hidden="1"/>
    <cellStyle name="Открывавшаяся гиперссылка" xfId="8283" builtinId="9" hidden="1"/>
    <cellStyle name="Открывавшаяся гиперссылка" xfId="8287" builtinId="9" hidden="1"/>
    <cellStyle name="Открывавшаяся гиперссылка" xfId="8284" builtinId="9" hidden="1"/>
    <cellStyle name="Открывавшаяся гиперссылка" xfId="8289" builtinId="9" hidden="1"/>
    <cellStyle name="Открывавшаяся гиперссылка" xfId="8291" builtinId="9" hidden="1"/>
    <cellStyle name="Открывавшаяся гиперссылка" xfId="8292" builtinId="9" hidden="1"/>
    <cellStyle name="Открывавшаяся гиперссылка" xfId="8294" builtinId="9" hidden="1"/>
    <cellStyle name="Открывавшаяся гиперссылка" xfId="8299" builtinId="9" hidden="1"/>
    <cellStyle name="Открывавшаяся гиперссылка" xfId="8296" builtinId="9" hidden="1"/>
    <cellStyle name="Открывавшаяся гиперссылка" xfId="8301" builtinId="9" hidden="1"/>
    <cellStyle name="Открывавшаяся гиперссылка" xfId="8303" builtinId="9" hidden="1"/>
    <cellStyle name="Открывавшаяся гиперссылка" xfId="8307" builtinId="9" hidden="1"/>
    <cellStyle name="Открывавшаяся гиперссылка" xfId="8304" builtinId="9" hidden="1"/>
    <cellStyle name="Открывавшаяся гиперссылка" xfId="4403" builtinId="9" hidden="1"/>
    <cellStyle name="Открывавшаяся гиперссылка" xfId="5510" builtinId="9" hidden="1"/>
    <cellStyle name="Открывавшаяся гиперссылка" xfId="7658" builtinId="9" hidden="1"/>
    <cellStyle name="Открывавшаяся гиперссылка" xfId="5672" builtinId="9" hidden="1"/>
    <cellStyle name="Открывавшаяся гиперссылка" xfId="7067" builtinId="9" hidden="1"/>
    <cellStyle name="Открывавшаяся гиперссылка" xfId="5344" builtinId="9" hidden="1"/>
    <cellStyle name="Открывавшаяся гиперссылка" xfId="8199" builtinId="9" hidden="1"/>
    <cellStyle name="Открывавшаяся гиперссылка" xfId="5458" builtinId="9" hidden="1"/>
    <cellStyle name="Открывавшаяся гиперссылка" xfId="8349" builtinId="9" hidden="1"/>
    <cellStyle name="Открывавшаяся гиперссылка" xfId="8344" builtinId="9" hidden="1"/>
    <cellStyle name="Открывавшаяся гиперссылка" xfId="8357" builtinId="9" hidden="1"/>
    <cellStyle name="Открывавшаяся гиперссылка" xfId="8359" builtinId="9" hidden="1"/>
    <cellStyle name="Открывавшаяся гиперссылка" xfId="8361" builtinId="9" hidden="1"/>
    <cellStyle name="Открывавшаяся гиперссылка" xfId="8363" builtinId="9" hidden="1"/>
    <cellStyle name="Открывавшаяся гиперссылка" xfId="8368" builtinId="9" hidden="1"/>
    <cellStyle name="Открывавшаяся гиперссылка" xfId="8365" builtinId="9" hidden="1"/>
    <cellStyle name="Открывавшаяся гиперссылка" xfId="8370" builtinId="9" hidden="1"/>
    <cellStyle name="Открывавшаяся гиперссылка" xfId="8372" builtinId="9" hidden="1"/>
    <cellStyle name="Открывавшаяся гиперссылка" xfId="8376" builtinId="9" hidden="1"/>
    <cellStyle name="Открывавшаяся гиперссылка" xfId="8373" builtinId="9" hidden="1"/>
    <cellStyle name="Открывавшаяся гиперссылка" xfId="8378" builtinId="9" hidden="1"/>
    <cellStyle name="Открывавшаяся гиперссылка" xfId="8380" builtinId="9" hidden="1"/>
    <cellStyle name="Открывавшаяся гиперссылка" xfId="8381" builtinId="9" hidden="1"/>
    <cellStyle name="Открывавшаяся гиперссылка" xfId="8383" builtinId="9" hidden="1"/>
    <cellStyle name="Открывавшаяся гиперссылка" xfId="8388" builtinId="9" hidden="1"/>
    <cellStyle name="Открывавшаяся гиперссылка" xfId="8385" builtinId="9" hidden="1"/>
    <cellStyle name="Открывавшаяся гиперссылка" xfId="8390" builtinId="9" hidden="1"/>
    <cellStyle name="Открывавшаяся гиперссылка" xfId="8392" builtinId="9" hidden="1"/>
    <cellStyle name="Открывавшаяся гиперссылка" xfId="8396" builtinId="9" hidden="1"/>
    <cellStyle name="Открывавшаяся гиперссылка" xfId="8393" builtinId="9" hidden="1"/>
    <cellStyle name="Открывавшаяся гиперссылка" xfId="8398" builtinId="9" hidden="1"/>
    <cellStyle name="Открывавшаяся гиперссылка" xfId="8400" builtinId="9" hidden="1"/>
    <cellStyle name="Открывавшаяся гиперссылка" xfId="8401" builtinId="9" hidden="1"/>
    <cellStyle name="Открывавшаяся гиперссылка" xfId="8403" builtinId="9" hidden="1"/>
    <cellStyle name="Открывавшаяся гиперссылка" xfId="8408" builtinId="9" hidden="1"/>
    <cellStyle name="Открывавшаяся гиперссылка" xfId="8405" builtinId="9" hidden="1"/>
    <cellStyle name="Открывавшаяся гиперссылка" xfId="8410" builtinId="9" hidden="1"/>
    <cellStyle name="Открывавшаяся гиперссылка" xfId="8412" builtinId="9" hidden="1"/>
    <cellStyle name="Открывавшаяся гиперссылка" xfId="8416" builtinId="9" hidden="1"/>
    <cellStyle name="Открывавшаяся гиперссылка" xfId="8413" builtinId="9" hidden="1"/>
    <cellStyle name="Открывавшаяся гиперссылка" xfId="8218" builtinId="9" hidden="1"/>
    <cellStyle name="Открывавшаяся гиперссылка" xfId="8217" builtinId="9" hidden="1"/>
    <cellStyle name="Открывавшаяся гиперссылка" xfId="279" builtinId="9" hidden="1"/>
    <cellStyle name="Открывавшаяся гиперссылка" xfId="8223" builtinId="9" hidden="1"/>
    <cellStyle name="Открывавшаяся гиперссылка" xfId="7187" builtinId="9" hidden="1"/>
    <cellStyle name="Открывавшаяся гиперссылка" xfId="4957" builtinId="9" hidden="1"/>
    <cellStyle name="Открывавшаяся гиперссылка" xfId="8308" builtinId="9" hidden="1"/>
    <cellStyle name="Открывавшаяся гиперссылка" xfId="8207" builtinId="9" hidden="1"/>
    <cellStyle name="Открывавшаяся гиперссылка" xfId="8446" builtinId="9" hidden="1"/>
    <cellStyle name="Открывавшаяся гиперссылка" xfId="8443" builtinId="9" hidden="1"/>
    <cellStyle name="Открывавшаяся гиперссылка" xfId="8455" builtinId="9" hidden="1"/>
    <cellStyle name="Открывавшаяся гиперссылка" xfId="8457" builtinId="9" hidden="1"/>
    <cellStyle name="Открывавшаяся гиперссылка" xfId="8458" builtinId="9" hidden="1"/>
    <cellStyle name="Открывавшаяся гиперссылка" xfId="8460" builtinId="9" hidden="1"/>
    <cellStyle name="Открывавшаяся гиперссылка" xfId="8465" builtinId="9" hidden="1"/>
    <cellStyle name="Открывавшаяся гиперссылка" xfId="8462" builtinId="9" hidden="1"/>
    <cellStyle name="Открывавшаяся гиперссылка" xfId="8467" builtinId="9" hidden="1"/>
    <cellStyle name="Открывавшаяся гиперссылка" xfId="8469" builtinId="9" hidden="1"/>
    <cellStyle name="Открывавшаяся гиперссылка" xfId="8473" builtinId="9" hidden="1"/>
    <cellStyle name="Открывавшаяся гиперссылка" xfId="8470" builtinId="9" hidden="1"/>
    <cellStyle name="Открывавшаяся гиперссылка" xfId="8475" builtinId="9" hidden="1"/>
    <cellStyle name="Открывавшаяся гиперссылка" xfId="8477" builtinId="9" hidden="1"/>
    <cellStyle name="Открывавшаяся гиперссылка" xfId="8478" builtinId="9" hidden="1"/>
    <cellStyle name="Открывавшаяся гиперссылка" xfId="8480" builtinId="9" hidden="1"/>
    <cellStyle name="Открывавшаяся гиперссылка" xfId="8485" builtinId="9" hidden="1"/>
    <cellStyle name="Открывавшаяся гиперссылка" xfId="8482" builtinId="9" hidden="1"/>
    <cellStyle name="Открывавшаяся гиперссылка" xfId="8487" builtinId="9" hidden="1"/>
    <cellStyle name="Открывавшаяся гиперссылка" xfId="8489" builtinId="9" hidden="1"/>
    <cellStyle name="Открывавшаяся гиперссылка" xfId="8493" builtinId="9" hidden="1"/>
    <cellStyle name="Открывавшаяся гиперссылка" xfId="8490" builtinId="9" hidden="1"/>
    <cellStyle name="Открывавшаяся гиперссылка" xfId="8495" builtinId="9" hidden="1"/>
    <cellStyle name="Открывавшаяся гиперссылка" xfId="8497" builtinId="9" hidden="1"/>
    <cellStyle name="Открывавшаяся гиперссылка" xfId="8498" builtinId="9" hidden="1"/>
    <cellStyle name="Открывавшаяся гиперссылка" xfId="8500" builtinId="9" hidden="1"/>
    <cellStyle name="Открывавшаяся гиперссылка" xfId="8505" builtinId="9" hidden="1"/>
    <cellStyle name="Открывавшаяся гиперссылка" xfId="8502" builtinId="9" hidden="1"/>
    <cellStyle name="Открывавшаяся гиперссылка" xfId="8507" builtinId="9" hidden="1"/>
    <cellStyle name="Открывавшаяся гиперссылка" xfId="8509" builtinId="9" hidden="1"/>
    <cellStyle name="Открывавшаяся гиперссылка" xfId="8513" builtinId="9" hidden="1"/>
    <cellStyle name="Открывавшаяся гиперссылка" xfId="8510" builtinId="9" hidden="1"/>
    <cellStyle name="Открывавшаяся гиперссылка" xfId="8323" builtinId="9" hidden="1"/>
    <cellStyle name="Открывавшаяся гиперссылка" xfId="8322" builtinId="9" hidden="1"/>
    <cellStyle name="Открывавшаяся гиперссылка" xfId="6301" builtinId="9" hidden="1"/>
    <cellStyle name="Открывавшаяся гиперссылка" xfId="8332" builtinId="9" hidden="1"/>
    <cellStyle name="Открывавшаяся гиперссылка" xfId="6793" builtinId="9" hidden="1"/>
    <cellStyle name="Открывавшаяся гиперссылка" xfId="7268" builtinId="9" hidden="1"/>
    <cellStyle name="Открывавшаяся гиперссылка" xfId="8417" builtinId="9" hidden="1"/>
    <cellStyle name="Открывавшаяся гиперссылка" xfId="8315" builtinId="9" hidden="1"/>
    <cellStyle name="Открывавшаяся гиперссылка" xfId="8539" builtinId="9" hidden="1"/>
    <cellStyle name="Открывавшаяся гиперссылка" xfId="8536" builtinId="9" hidden="1"/>
    <cellStyle name="Открывавшаяся гиперссылка" xfId="8548" builtinId="9" hidden="1"/>
    <cellStyle name="Открывавшаяся гиперссылка" xfId="8550" builtinId="9" hidden="1"/>
    <cellStyle name="Открывавшаяся гиперссылка" xfId="8552" builtinId="9" hidden="1"/>
    <cellStyle name="Открывавшаяся гиперссылка" xfId="8554" builtinId="9" hidden="1"/>
    <cellStyle name="Открывавшаяся гиперссылка" xfId="8559" builtinId="9" hidden="1"/>
    <cellStyle name="Открывавшаяся гиперссылка" xfId="8556" builtinId="9" hidden="1"/>
    <cellStyle name="Открывавшаяся гиперссылка" xfId="8561" builtinId="9" hidden="1"/>
    <cellStyle name="Открывавшаяся гиперссылка" xfId="8563" builtinId="9" hidden="1"/>
    <cellStyle name="Открывавшаяся гиперссылка" xfId="8567" builtinId="9" hidden="1"/>
    <cellStyle name="Открывавшаяся гиперссылка" xfId="8564" builtinId="9" hidden="1"/>
    <cellStyle name="Открывавшаяся гиперссылка" xfId="8569" builtinId="9" hidden="1"/>
    <cellStyle name="Открывавшаяся гиперссылка" xfId="8571" builtinId="9" hidden="1"/>
    <cellStyle name="Открывавшаяся гиперссылка" xfId="8572" builtinId="9" hidden="1"/>
    <cellStyle name="Открывавшаяся гиперссылка" xfId="8574" builtinId="9" hidden="1"/>
    <cellStyle name="Открывавшаяся гиперссылка" xfId="8579" builtinId="9" hidden="1"/>
    <cellStyle name="Открывавшаяся гиперссылка" xfId="8576" builtinId="9" hidden="1"/>
    <cellStyle name="Открывавшаяся гиперссылка" xfId="8581" builtinId="9" hidden="1"/>
    <cellStyle name="Открывавшаяся гиперссылка" xfId="8583" builtinId="9" hidden="1"/>
    <cellStyle name="Открывавшаяся гиперссылка" xfId="8587" builtinId="9" hidden="1"/>
    <cellStyle name="Открывавшаяся гиперссылка" xfId="8584" builtinId="9" hidden="1"/>
    <cellStyle name="Открывавшаяся гиперссылка" xfId="8589" builtinId="9" hidden="1"/>
    <cellStyle name="Открывавшаяся гиперссылка" xfId="8591" builtinId="9" hidden="1"/>
    <cellStyle name="Открывавшаяся гиперссылка" xfId="8592" builtinId="9" hidden="1"/>
    <cellStyle name="Открывавшаяся гиперссылка" xfId="8594" builtinId="9" hidden="1"/>
    <cellStyle name="Открывавшаяся гиперссылка" xfId="8599" builtinId="9" hidden="1"/>
    <cellStyle name="Открывавшаяся гиперссылка" xfId="8596" builtinId="9" hidden="1"/>
    <cellStyle name="Открывавшаяся гиперссылка" xfId="8601" builtinId="9" hidden="1"/>
    <cellStyle name="Открывавшаяся гиперссылка" xfId="8603" builtinId="9" hidden="1"/>
    <cellStyle name="Открывавшаяся гиперссылка" xfId="8607" builtinId="9" hidden="1"/>
    <cellStyle name="Открывавшаяся гиперссылка" xfId="8604" builtinId="9" hidden="1"/>
    <cellStyle name="Открывавшаяся гиперссылка" xfId="8430" builtinId="9" hidden="1"/>
    <cellStyle name="Открывавшаяся гиперссылка" xfId="8429" builtinId="9" hidden="1"/>
    <cellStyle name="Открывавшаяся гиперссылка" xfId="7259" builtinId="9" hidden="1"/>
    <cellStyle name="Открывавшаяся гиперссылка" xfId="8436" builtinId="9" hidden="1"/>
    <cellStyle name="Открывавшаяся гиперссылка" xfId="7195" builtinId="9" hidden="1"/>
    <cellStyle name="Открывавшаяся гиперссылка" xfId="5141" builtinId="9" hidden="1"/>
    <cellStyle name="Открывавшаяся гиперссылка" xfId="8514" builtinId="9" hidden="1"/>
    <cellStyle name="Открывавшаяся гиперссылка" xfId="8422" builtinId="9" hidden="1"/>
    <cellStyle name="Открывавшаяся гиперссылка" xfId="8623" builtinId="9" hidden="1"/>
    <cellStyle name="Открывавшаяся гиперссылка" xfId="8620" builtinId="9" hidden="1"/>
    <cellStyle name="Открывавшаяся гиперссылка" xfId="8630" builtinId="9" hidden="1"/>
    <cellStyle name="Открывавшаяся гиперссылка" xfId="8632" builtinId="9" hidden="1"/>
    <cellStyle name="Открывавшаяся гиперссылка" xfId="8633" builtinId="9" hidden="1"/>
    <cellStyle name="Открывавшаяся гиперссылка" xfId="8635" builtinId="9" hidden="1"/>
    <cellStyle name="Открывавшаяся гиперссылка" xfId="8640" builtinId="9" hidden="1"/>
    <cellStyle name="Открывавшаяся гиперссылка" xfId="8637" builtinId="9" hidden="1"/>
    <cellStyle name="Открывавшаяся гиперссылка" xfId="8642" builtinId="9" hidden="1"/>
    <cellStyle name="Открывавшаяся гиперссылка" xfId="8644" builtinId="9" hidden="1"/>
    <cellStyle name="Открывавшаяся гиперссылка" xfId="8648" builtinId="9" hidden="1"/>
    <cellStyle name="Открывавшаяся гиперссылка" xfId="8645" builtinId="9" hidden="1"/>
    <cellStyle name="Открывавшаяся гиперссылка" xfId="8650" builtinId="9" hidden="1"/>
    <cellStyle name="Открывавшаяся гиперссылка" xfId="8652" builtinId="9" hidden="1"/>
    <cellStyle name="Открывавшаяся гиперссылка" xfId="8653" builtinId="9" hidden="1"/>
    <cellStyle name="Открывавшаяся гиперссылка" xfId="8655" builtinId="9" hidden="1"/>
    <cellStyle name="Открывавшаяся гиперссылка" xfId="8660" builtinId="9" hidden="1"/>
    <cellStyle name="Открывавшаяся гиперссылка" xfId="8657" builtinId="9" hidden="1"/>
    <cellStyle name="Открывавшаяся гиперссылка" xfId="8662" builtinId="9" hidden="1"/>
    <cellStyle name="Открывавшаяся гиперссылка" xfId="8664" builtinId="9" hidden="1"/>
    <cellStyle name="Открывавшаяся гиперссылка" xfId="8668" builtinId="9" hidden="1"/>
    <cellStyle name="Открывавшаяся гиперссылка" xfId="8665" builtinId="9" hidden="1"/>
    <cellStyle name="Открывавшаяся гиперссылка" xfId="8670" builtinId="9" hidden="1"/>
    <cellStyle name="Открывавшаяся гиперссылка" xfId="8672" builtinId="9" hidden="1"/>
    <cellStyle name="Открывавшаяся гиперссылка" xfId="8673" builtinId="9" hidden="1"/>
    <cellStyle name="Открывавшаяся гиперссылка" xfId="8675" builtinId="9" hidden="1"/>
    <cellStyle name="Открывавшаяся гиперссылка" xfId="8680" builtinId="9" hidden="1"/>
    <cellStyle name="Открывавшаяся гиперссылка" xfId="8677" builtinId="9" hidden="1"/>
    <cellStyle name="Открывавшаяся гиперссылка" xfId="8682" builtinId="9" hidden="1"/>
    <cellStyle name="Открывавшаяся гиперссылка" xfId="8684" builtinId="9" hidden="1"/>
    <cellStyle name="Открывавшаяся гиперссылка" xfId="8688" builtinId="9" hidden="1"/>
    <cellStyle name="Открывавшаяся гиперссылка" xfId="8685" builtinId="9" hidden="1"/>
    <cellStyle name="Открывавшаяся гиперссылка" xfId="8525" builtinId="9" hidden="1"/>
    <cellStyle name="Открывавшаяся гиперссылка" xfId="8524" builtinId="9" hidden="1"/>
    <cellStyle name="Открывавшаяся гиперссылка" xfId="4850" builtinId="9" hidden="1"/>
    <cellStyle name="Открывавшаяся гиперссылка" xfId="8530" builtinId="9" hidden="1"/>
    <cellStyle name="Открывавшаяся гиперссылка" xfId="7282" builtinId="9" hidden="1"/>
    <cellStyle name="Открывавшаяся гиперссылка" xfId="7065" builtinId="9" hidden="1"/>
    <cellStyle name="Открывавшаяся гиперссылка" xfId="8608" builtinId="9" hidden="1"/>
    <cellStyle name="Открывавшаяся гиперссылка" xfId="8518" builtinId="9" hidden="1"/>
    <cellStyle name="Открывавшаяся гиперссылка" xfId="8692" builtinId="9" hidden="1"/>
    <cellStyle name="Открывавшаяся гиперссылка" xfId="8689" builtinId="9" hidden="1"/>
    <cellStyle name="Открывавшаяся гиперссылка" xfId="8694" builtinId="9" hidden="1"/>
    <cellStyle name="Открывавшаяся гиперссылка" xfId="8696" builtinId="9" hidden="1"/>
    <cellStyle name="Открывавшаяся гиперссылка" xfId="8697" builtinId="9" hidden="1"/>
    <cellStyle name="Открывавшаяся гиперссылка" xfId="8699" builtinId="9" hidden="1"/>
    <cellStyle name="Открывавшаяся гиперссылка" xfId="8704" builtinId="9" hidden="1"/>
    <cellStyle name="Открывавшаяся гиперссылка" xfId="8701" builtinId="9" hidden="1"/>
    <cellStyle name="Открывавшаяся гиперссылка" xfId="8706" builtinId="9" hidden="1"/>
    <cellStyle name="Открывавшаяся гиперссылка" xfId="8708" builtinId="9" hidden="1"/>
    <cellStyle name="Открывавшаяся гиперссылка" xfId="8712" builtinId="9" hidden="1"/>
    <cellStyle name="Открывавшаяся гиперссылка" xfId="8709" builtinId="9" hidden="1"/>
    <cellStyle name="Открывавшаяся гиперссылка" xfId="8714" builtinId="9" hidden="1"/>
    <cellStyle name="Открывавшаяся гиперссылка" xfId="8716" builtinId="9" hidden="1"/>
    <cellStyle name="Открывавшаяся гиперссылка" xfId="8717" builtinId="9" hidden="1"/>
    <cellStyle name="Открывавшаяся гиперссылка" xfId="8719" builtinId="9" hidden="1"/>
    <cellStyle name="Открывавшаяся гиперссылка" xfId="8724" builtinId="9" hidden="1"/>
    <cellStyle name="Открывавшаяся гиперссылка" xfId="8721" builtinId="9" hidden="1"/>
    <cellStyle name="Открывавшаяся гиперссылка" xfId="8726" builtinId="9" hidden="1"/>
    <cellStyle name="Открывавшаяся гиперссылка" xfId="8728" builtinId="9" hidden="1"/>
    <cellStyle name="Открывавшаяся гиперссылка" xfId="8732" builtinId="9" hidden="1"/>
    <cellStyle name="Открывавшаяся гиперссылка" xfId="8729" builtinId="9" hidden="1"/>
    <cellStyle name="Открывавшаяся гиперссылка" xfId="8734" builtinId="9" hidden="1"/>
    <cellStyle name="Открывавшаяся гиперссылка" xfId="8736" builtinId="9" hidden="1"/>
    <cellStyle name="Открывавшаяся гиперссылка" xfId="8737" builtinId="9" hidden="1"/>
    <cellStyle name="Открывавшаяся гиперссылка" xfId="8739" builtinId="9" hidden="1"/>
    <cellStyle name="Открывавшаяся гиперссылка" xfId="8744" builtinId="9" hidden="1"/>
    <cellStyle name="Открывавшаяся гиперссылка" xfId="8741" builtinId="9" hidden="1"/>
    <cellStyle name="Открывавшаяся гиперссылка" xfId="8746" builtinId="9" hidden="1"/>
    <cellStyle name="Открывавшаяся гиперссылка" xfId="8748" builtinId="9" hidden="1"/>
    <cellStyle name="Открывавшаяся гиперссылка" xfId="8752" builtinId="9" hidden="1"/>
    <cellStyle name="Открывавшаяся гиперссылка" xfId="8749" builtinId="9" hidden="1"/>
    <cellStyle name="Открывавшаяся гиперссылка" xfId="4323" builtinId="9" hidden="1"/>
    <cellStyle name="Открывавшаяся гиперссылка" xfId="4502" builtinId="9" hidden="1"/>
    <cellStyle name="Открывавшаяся гиперссылка" xfId="5537" builtinId="9" hidden="1"/>
    <cellStyle name="Открывавшаяся гиперссылка" xfId="7507" builtinId="9" hidden="1"/>
    <cellStyle name="Открывавшаяся гиперссылка" xfId="8324" builtinId="9" hidden="1"/>
    <cellStyle name="Открывавшаяся гиперссылка" xfId="298" builtinId="9" hidden="1"/>
    <cellStyle name="Открывавшаяся гиперссылка" xfId="4325" builtinId="9" hidden="1"/>
    <cellStyle name="Открывавшаяся гиперссылка" xfId="5939" builtinId="9" hidden="1"/>
    <cellStyle name="Открывавшаяся гиперссылка" xfId="8529" builtinId="9" hidden="1"/>
    <cellStyle name="Открывавшаяся гиперссылка" xfId="4078" builtinId="9" hidden="1"/>
    <cellStyle name="Открывавшаяся гиперссылка" xfId="4062" builtinId="9" hidden="1"/>
    <cellStyle name="Открывавшаяся гиперссылка" xfId="4470" builtinId="9" hidden="1"/>
    <cellStyle name="Открывавшаяся гиперссылка" xfId="5827" builtinId="9" hidden="1"/>
    <cellStyle name="Открывавшаяся гиперссылка" xfId="292" builtinId="9" hidden="1"/>
    <cellStyle name="Открывавшаяся гиперссылка" xfId="5523" builtinId="9" hidden="1"/>
    <cellStyle name="Открывавшаяся гиперссылка" xfId="4761" builtinId="9" hidden="1"/>
    <cellStyle name="Открывавшаяся гиперссылка" xfId="8115" builtinId="9" hidden="1"/>
    <cellStyle name="Открывавшаяся гиперссылка" xfId="4147" builtinId="9" hidden="1"/>
    <cellStyle name="Открывавшаяся гиперссылка" xfId="5524" builtinId="9" hidden="1"/>
    <cellStyle name="Открывавшаяся гиперссылка" xfId="4988" builtinId="9" hidden="1"/>
    <cellStyle name="Открывавшаяся гиперссылка" xfId="8437" builtinId="9" hidden="1"/>
    <cellStyle name="Открывавшаяся гиперссылка" xfId="8226" builtinId="9" hidden="1"/>
    <cellStyle name="Открывавшаяся гиперссылка" xfId="327" builtinId="9" hidden="1"/>
    <cellStyle name="Открывавшаяся гиперссылка" xfId="8424" builtinId="9" hidden="1"/>
    <cellStyle name="Открывавшаяся гиперссылка" xfId="5800" builtinId="9" hidden="1"/>
    <cellStyle name="Открывавшаяся гиперссылка" xfId="8211" builtinId="9" hidden="1"/>
    <cellStyle name="Открывавшаяся гиперссылка" xfId="296" builtinId="9" hidden="1"/>
    <cellStyle name="Открывавшаяся гиперссылка" xfId="6008" builtinId="9" hidden="1"/>
    <cellStyle name="Открывавшаяся гиперссылка" xfId="7436" builtinId="9" hidden="1"/>
    <cellStyle name="Открывавшаяся гиперссылка" xfId="6747" builtinId="9" hidden="1"/>
    <cellStyle name="Открывавшаяся гиперссылка" xfId="250" builtinId="9" hidden="1"/>
    <cellStyle name="Открывавшаяся гиперссылка" xfId="4841" builtinId="9" hidden="1"/>
    <cellStyle name="Открывавшаяся гиперссылка" xfId="4495" builtinId="9" hidden="1"/>
    <cellStyle name="Открывавшаяся гиперссылка" xfId="6798" builtinId="9" hidden="1"/>
    <cellStyle name="Открывавшаяся гиперссылка" xfId="6939" builtinId="9" hidden="1"/>
    <cellStyle name="Открывавшаяся гиперссылка" xfId="7632" builtinId="9" hidden="1"/>
    <cellStyle name="Открывавшаяся гиперссылка" xfId="7762" builtinId="9" hidden="1"/>
    <cellStyle name="Открывавшаяся гиперссылка" xfId="7560" builtinId="9" hidden="1"/>
    <cellStyle name="Открывавшаяся гиперссылка" xfId="5611" builtinId="9" hidden="1"/>
    <cellStyle name="Открывавшаяся гиперссылка" xfId="8328" builtinId="9" hidden="1"/>
    <cellStyle name="Открывавшаяся гиперссылка" xfId="7179" builtinId="9" hidden="1"/>
    <cellStyle name="Открывавшаяся гиперссылка" xfId="4464" builtinId="9" hidden="1"/>
    <cellStyle name="Открывавшаяся гиперссылка" xfId="6912" builtinId="9" hidden="1"/>
    <cellStyle name="Открывавшаяся гиперссылка" xfId="7077" builtinId="9" hidden="1"/>
    <cellStyle name="Открывавшаяся гиперссылка" xfId="243" builtinId="9" hidden="1"/>
    <cellStyle name="Открывавшаяся гиперссылка" xfId="5287" builtinId="9" hidden="1"/>
    <cellStyle name="Открывавшаяся гиперссылка" xfId="5652" builtinId="9" hidden="1"/>
    <cellStyle name="Открывавшаяся гиперссылка" xfId="4602" builtinId="9" hidden="1"/>
    <cellStyle name="Открывавшаяся гиперссылка" xfId="6380" builtinId="9" hidden="1"/>
    <cellStyle name="Открывавшаяся гиперссылка" xfId="5802" builtinId="9" hidden="1"/>
    <cellStyle name="Открывавшаяся гиперссылка" xfId="7039" builtinId="9" hidden="1"/>
    <cellStyle name="Открывавшаяся гиперссылка" xfId="6915" builtinId="9" hidden="1"/>
    <cellStyle name="Открывавшаяся гиперссылка" xfId="7748" builtinId="9" hidden="1"/>
    <cellStyle name="Открывавшаяся гиперссылка" xfId="4858" builtinId="9" hidden="1"/>
    <cellStyle name="Открывавшаяся гиперссылка" xfId="4699" builtinId="9" hidden="1"/>
    <cellStyle name="Открывавшаяся гиперссылка" xfId="5762" builtinId="9" hidden="1"/>
    <cellStyle name="Открывавшаяся гиперссылка" xfId="8520" builtinId="9" hidden="1"/>
    <cellStyle name="Открывавшаяся гиперссылка" xfId="8318" builtinId="9" hidden="1"/>
    <cellStyle name="Открывавшаяся гиперссылка" xfId="8232" builtinId="9" hidden="1"/>
    <cellStyle name="Открывавшаяся гиперссылка" xfId="8212" builtinId="9" hidden="1"/>
    <cellStyle name="Открывавшаяся гиперссылка" xfId="4315" builtinId="9" hidden="1"/>
    <cellStyle name="Открывавшаяся гиперссылка" xfId="4932" builtinId="9" hidden="1"/>
    <cellStyle name="Открывавшаяся гиперссылка" xfId="4191" builtinId="9" hidden="1"/>
    <cellStyle name="Открывавшаяся гиперссылка" xfId="336" builtinId="9" hidden="1"/>
    <cellStyle name="Открывавшаяся гиперссылка" xfId="4644" builtinId="9" hidden="1"/>
    <cellStyle name="Открывавшаяся гиперссылка" xfId="7416" builtinId="9" hidden="1"/>
    <cellStyle name="Открывавшаяся гиперссылка" xfId="7044" builtinId="9" hidden="1"/>
    <cellStyle name="Открывавшаяся гиперссылка" xfId="5085" builtinId="9" hidden="1"/>
    <cellStyle name="Открывавшаяся гиперссылка" xfId="5820" builtinId="9" hidden="1"/>
    <cellStyle name="Открывавшаяся гиперссылка" xfId="5506" builtinId="9" hidden="1"/>
    <cellStyle name="Открывавшаяся гиперссылка" xfId="8532" builtinId="9" hidden="1"/>
    <cellStyle name="Открывавшаяся гиперссылка" xfId="8337" builtinId="9" hidden="1"/>
    <cellStyle name="Открывавшаяся гиперссылка" xfId="8229" builtinId="9" hidden="1"/>
    <cellStyle name="Открывавшаяся гиперссылка" xfId="5628" builtinId="9" hidden="1"/>
    <cellStyle name="Открывавшаяся гиперссылка" xfId="8243" builtinId="9" hidden="1"/>
    <cellStyle name="Открывавшаяся гиперссылка" xfId="8545" builtinId="9" hidden="1"/>
    <cellStyle name="Открывавшаяся гиперссылка" xfId="4985" builtinId="9" hidden="1"/>
    <cellStyle name="Открывавшаяся гиперссылка" xfId="6649" builtinId="9" hidden="1"/>
    <cellStyle name="Открывавшаяся гиперссылка" xfId="5324" builtinId="9" hidden="1"/>
    <cellStyle name="Открывавшаяся гиперссылка" xfId="4906" builtinId="9" hidden="1"/>
    <cellStyle name="Открывавшаяся гиперссылка" xfId="7639" builtinId="9" hidden="1"/>
    <cellStyle name="Открывавшаяся гиперссылка" xfId="8542" builtinId="9" hidden="1"/>
    <cellStyle name="Открывавшаяся гиперссылка" xfId="5514" builtinId="9" hidden="1"/>
    <cellStyle name="Открывавшаяся гиперссылка" xfId="8329" builtinId="9" hidden="1"/>
    <cellStyle name="Открывавшаяся гиперссылка" xfId="5520" builtinId="9" hidden="1"/>
    <cellStyle name="Открывавшаяся гиперссылка" xfId="7755" builtinId="9" hidden="1"/>
    <cellStyle name="Открывавшаяся гиперссылка" xfId="7428" builtinId="9" hidden="1"/>
    <cellStyle name="Открывавшаяся гиперссылка" xfId="5662" builtinId="9" hidden="1"/>
    <cellStyle name="Открывавшаяся гиперссылка" xfId="6640" builtinId="9" hidden="1"/>
    <cellStyle name="Открывавшаяся гиперссылка" xfId="5139" builtinId="9" hidden="1"/>
    <cellStyle name="Открывавшаяся гиперссылка" xfId="8208" builtinId="9" hidden="1"/>
    <cellStyle name="Открывавшаяся гиперссылка" xfId="5767" builtinId="9" hidden="1"/>
    <cellStyle name="Открывавшаяся гиперссылка" xfId="5798" builtinId="9" hidden="1"/>
    <cellStyle name="Открывавшаяся гиперссылка" xfId="4073" builtinId="9" hidden="1"/>
    <cellStyle name="Открывавшаяся гиперссылка" xfId="5089" builtinId="9" hidden="1"/>
    <cellStyle name="Открывавшаяся гиперссылка" xfId="6646" builtinId="9" hidden="1"/>
    <cellStyle name="Открывавшаяся гиперссылка" xfId="7568" builtinId="9" hidden="1"/>
    <cellStyle name="Открывавшаяся гиперссылка" xfId="7884" builtinId="9" hidden="1"/>
    <cellStyle name="Открывавшаяся гиперссылка" xfId="4224" builtinId="9" hidden="1"/>
    <cellStyle name="Открывавшаяся гиперссылка" xfId="5969" builtinId="9" hidden="1"/>
    <cellStyle name="Открывавшаяся гиперссылка" xfId="8427" builtinId="9" hidden="1"/>
    <cellStyle name="Открывавшаяся гиперссылка" xfId="8215" builtinId="9" hidden="1"/>
    <cellStyle name="Открывавшаяся гиперссылка" xfId="4950" builtinId="9" hidden="1"/>
    <cellStyle name="Открывавшаяся гиперссылка" xfId="8515" builtinId="9" hidden="1"/>
    <cellStyle name="Открывавшаяся гиперссылка" xfId="5966" builtinId="9" hidden="1"/>
    <cellStyle name="Открывавшаяся гиперссылка" xfId="8311" builtinId="9" hidden="1"/>
    <cellStyle name="Открывавшаяся гиперссылка" xfId="235" builtinId="9" hidden="1"/>
    <cellStyle name="Открывавшаяся гиперссылка" xfId="7438" builtinId="9" hidden="1"/>
    <cellStyle name="Открывавшаяся гиперссылка" xfId="6644" builtinId="9" hidden="1"/>
    <cellStyle name="Открывавшаяся гиперссылка" xfId="6375" builtinId="9" hidden="1"/>
    <cellStyle name="Открывавшаяся гиперссылка" xfId="7640" builtinId="9" hidden="1"/>
    <cellStyle name="Открывавшаяся гиперссылка" xfId="225" builtinId="9" hidden="1"/>
    <cellStyle name="Открывавшаяся гиперссылка" xfId="7667" builtinId="9" hidden="1"/>
    <cellStyle name="Открывавшаяся гиперссылка" xfId="4256" builtinId="9" hidden="1"/>
    <cellStyle name="Открывавшаяся гиперссылка" xfId="8523" builtinId="9" hidden="1"/>
    <cellStyle name="Открывавшаяся гиперссылка" xfId="7531" builtinId="9" hidden="1"/>
    <cellStyle name="Открывавшаяся гиперссылка" xfId="8321" builtinId="9" hidden="1"/>
    <cellStyle name="Открывавшаяся гиперссылка" xfId="4767" builtinId="9" hidden="1"/>
    <cellStyle name="Открывавшаяся гиперссылка" xfId="8326" builtinId="9" hidden="1"/>
    <cellStyle name="Открывавшаяся гиперссылка" xfId="8615" builtinId="9" hidden="1"/>
    <cellStyle name="Процентный 2" xfId="3"/>
    <cellStyle name="Финансовый 10" xfId="8753"/>
    <cellStyle name="Финансовый 11" xfId="45343"/>
    <cellStyle name="Финансовый 2" xfId="2"/>
    <cellStyle name="Финансовый 2 10" xfId="31"/>
    <cellStyle name="Финансовый 2 11" xfId="36"/>
    <cellStyle name="Финансовый 2 12" xfId="56"/>
    <cellStyle name="Финансовый 2 13" xfId="61"/>
    <cellStyle name="Финансовый 2 14" xfId="55"/>
    <cellStyle name="Финансовый 2 15" xfId="60"/>
    <cellStyle name="Финансовый 2 16" xfId="59"/>
    <cellStyle name="Финансовый 2 17" xfId="66"/>
    <cellStyle name="Финансовый 2 18" xfId="71"/>
    <cellStyle name="Финансовый 2 19" xfId="76"/>
    <cellStyle name="Финансовый 2 2" xfId="4"/>
    <cellStyle name="Финансовый 2 2 10" xfId="48"/>
    <cellStyle name="Финансовый 2 2 10 10" xfId="2137"/>
    <cellStyle name="Финансовый 2 2 10 10 2" xfId="16308"/>
    <cellStyle name="Финансовый 2 2 10 10 2 2" xfId="38623"/>
    <cellStyle name="Финансовый 2 2 10 10 3" xfId="10502"/>
    <cellStyle name="Финансовый 2 2 10 10 4" xfId="32817"/>
    <cellStyle name="Финансовый 2 2 10 11" xfId="2372"/>
    <cellStyle name="Финансовый 2 2 10 11 2" xfId="16501"/>
    <cellStyle name="Финансовый 2 2 10 11 2 2" xfId="38816"/>
    <cellStyle name="Финансовый 2 2 10 11 3" xfId="10695"/>
    <cellStyle name="Финансовый 2 2 10 11 4" xfId="33010"/>
    <cellStyle name="Финансовый 2 2 10 12" xfId="2604"/>
    <cellStyle name="Финансовый 2 2 10 12 2" xfId="16691"/>
    <cellStyle name="Финансовый 2 2 10 12 2 2" xfId="39006"/>
    <cellStyle name="Финансовый 2 2 10 12 3" xfId="10885"/>
    <cellStyle name="Финансовый 2 2 10 12 4" xfId="33200"/>
    <cellStyle name="Финансовый 2 2 10 13" xfId="2826"/>
    <cellStyle name="Финансовый 2 2 10 13 2" xfId="16873"/>
    <cellStyle name="Финансовый 2 2 10 13 2 2" xfId="39188"/>
    <cellStyle name="Финансовый 2 2 10 13 3" xfId="11067"/>
    <cellStyle name="Финансовый 2 2 10 13 4" xfId="33382"/>
    <cellStyle name="Финансовый 2 2 10 14" xfId="3039"/>
    <cellStyle name="Финансовый 2 2 10 14 2" xfId="17046"/>
    <cellStyle name="Финансовый 2 2 10 14 2 2" xfId="39361"/>
    <cellStyle name="Финансовый 2 2 10 14 3" xfId="11240"/>
    <cellStyle name="Финансовый 2 2 10 14 4" xfId="33555"/>
    <cellStyle name="Финансовый 2 2 10 15" xfId="3239"/>
    <cellStyle name="Финансовый 2 2 10 15 2" xfId="17207"/>
    <cellStyle name="Финансовый 2 2 10 15 2 2" xfId="39522"/>
    <cellStyle name="Финансовый 2 2 10 15 3" xfId="11401"/>
    <cellStyle name="Финансовый 2 2 10 15 4" xfId="33716"/>
    <cellStyle name="Финансовый 2 2 10 16" xfId="3426"/>
    <cellStyle name="Финансовый 2 2 10 16 2" xfId="17355"/>
    <cellStyle name="Финансовый 2 2 10 16 2 2" xfId="39670"/>
    <cellStyle name="Финансовый 2 2 10 16 3" xfId="11549"/>
    <cellStyle name="Финансовый 2 2 10 16 4" xfId="33864"/>
    <cellStyle name="Финансовый 2 2 10 17" xfId="3598"/>
    <cellStyle name="Финансовый 2 2 10 17 2" xfId="17489"/>
    <cellStyle name="Финансовый 2 2 10 17 2 2" xfId="39804"/>
    <cellStyle name="Финансовый 2 2 10 17 3" xfId="11683"/>
    <cellStyle name="Финансовый 2 2 10 17 4" xfId="33998"/>
    <cellStyle name="Финансовый 2 2 10 18" xfId="3754"/>
    <cellStyle name="Финансовый 2 2 10 18 2" xfId="17607"/>
    <cellStyle name="Финансовый 2 2 10 18 2 2" xfId="39922"/>
    <cellStyle name="Финансовый 2 2 10 18 3" xfId="11801"/>
    <cellStyle name="Финансовый 2 2 10 18 4" xfId="34116"/>
    <cellStyle name="Финансовый 2 2 10 19" xfId="7277"/>
    <cellStyle name="Финансовый 2 2 10 19 2" xfId="19542"/>
    <cellStyle name="Финансовый 2 2 10 19 2 2" xfId="41857"/>
    <cellStyle name="Финансовый 2 2 10 19 3" xfId="13736"/>
    <cellStyle name="Финансовый 2 2 10 19 4" xfId="36051"/>
    <cellStyle name="Финансовый 2 2 10 2" xfId="393"/>
    <cellStyle name="Финансовый 2 2 10 2 10" xfId="3108"/>
    <cellStyle name="Финансовый 2 2 10 2 10 2" xfId="17085"/>
    <cellStyle name="Финансовый 2 2 10 2 10 2 2" xfId="39400"/>
    <cellStyle name="Финансовый 2 2 10 2 10 3" xfId="11279"/>
    <cellStyle name="Финансовый 2 2 10 2 10 4" xfId="33594"/>
    <cellStyle name="Финансовый 2 2 10 2 11" xfId="3307"/>
    <cellStyle name="Финансовый 2 2 10 2 11 2" xfId="17245"/>
    <cellStyle name="Финансовый 2 2 10 2 11 2 2" xfId="39560"/>
    <cellStyle name="Финансовый 2 2 10 2 11 3" xfId="11439"/>
    <cellStyle name="Финансовый 2 2 10 2 11 4" xfId="33754"/>
    <cellStyle name="Финансовый 2 2 10 2 12" xfId="3494"/>
    <cellStyle name="Финансовый 2 2 10 2 12 2" xfId="17393"/>
    <cellStyle name="Финансовый 2 2 10 2 12 2 2" xfId="39708"/>
    <cellStyle name="Финансовый 2 2 10 2 12 3" xfId="11587"/>
    <cellStyle name="Финансовый 2 2 10 2 12 4" xfId="33902"/>
    <cellStyle name="Финансовый 2 2 10 2 13" xfId="3665"/>
    <cellStyle name="Финансовый 2 2 10 2 13 2" xfId="17526"/>
    <cellStyle name="Финансовый 2 2 10 2 13 2 2" xfId="39841"/>
    <cellStyle name="Финансовый 2 2 10 2 13 3" xfId="11720"/>
    <cellStyle name="Финансовый 2 2 10 2 13 4" xfId="34035"/>
    <cellStyle name="Финансовый 2 2 10 2 14" xfId="3819"/>
    <cellStyle name="Финансовый 2 2 10 2 14 2" xfId="17642"/>
    <cellStyle name="Финансовый 2 2 10 2 14 2 2" xfId="39957"/>
    <cellStyle name="Финансовый 2 2 10 2 14 3" xfId="11836"/>
    <cellStyle name="Финансовый 2 2 10 2 14 4" xfId="34151"/>
    <cellStyle name="Финансовый 2 2 10 2 15" xfId="7421"/>
    <cellStyle name="Финансовый 2 2 10 2 15 2" xfId="19617"/>
    <cellStyle name="Финансовый 2 2 10 2 15 2 2" xfId="41932"/>
    <cellStyle name="Финансовый 2 2 10 2 15 3" xfId="13811"/>
    <cellStyle name="Финансовый 2 2 10 2 15 4" xfId="36126"/>
    <cellStyle name="Финансовый 2 2 10 2 16" xfId="7753"/>
    <cellStyle name="Финансовый 2 2 10 2 16 2" xfId="19796"/>
    <cellStyle name="Финансовый 2 2 10 2 16 2 2" xfId="42111"/>
    <cellStyle name="Финансовый 2 2 10 2 16 3" xfId="13990"/>
    <cellStyle name="Финансовый 2 2 10 2 16 4" xfId="36305"/>
    <cellStyle name="Финансовый 2 2 10 2 17" xfId="8535"/>
    <cellStyle name="Финансовый 2 2 10 2 17 2" xfId="20248"/>
    <cellStyle name="Финансовый 2 2 10 2 17 2 2" xfId="42563"/>
    <cellStyle name="Финансовый 2 2 10 2 17 3" xfId="14442"/>
    <cellStyle name="Финансовый 2 2 10 2 17 4" xfId="36757"/>
    <cellStyle name="Финансовый 2 2 10 2 18" xfId="14796"/>
    <cellStyle name="Финансовый 2 2 10 2 18 2" xfId="37111"/>
    <cellStyle name="Финансовый 2 2 10 2 19" xfId="8990"/>
    <cellStyle name="Финансовый 2 2 10 2 2" xfId="638"/>
    <cellStyle name="Финансовый 2 2 10 2 2 2" xfId="15017"/>
    <cellStyle name="Финансовый 2 2 10 2 2 2 2" xfId="37332"/>
    <cellStyle name="Финансовый 2 2 10 2 2 3" xfId="9211"/>
    <cellStyle name="Финансовый 2 2 10 2 2 4" xfId="31535"/>
    <cellStyle name="Финансовый 2 2 10 2 20" xfId="31323"/>
    <cellStyle name="Финансовый 2 2 10 2 3" xfId="1396"/>
    <cellStyle name="Финансовый 2 2 10 2 3 2" xfId="15642"/>
    <cellStyle name="Финансовый 2 2 10 2 3 2 2" xfId="37957"/>
    <cellStyle name="Финансовый 2 2 10 2 3 3" xfId="9836"/>
    <cellStyle name="Финансовый 2 2 10 2 3 4" xfId="32151"/>
    <cellStyle name="Финансовый 2 2 10 2 4" xfId="1732"/>
    <cellStyle name="Финансовый 2 2 10 2 4 2" xfId="15957"/>
    <cellStyle name="Финансовый 2 2 10 2 4 2 2" xfId="38272"/>
    <cellStyle name="Финансовый 2 2 10 2 4 3" xfId="10151"/>
    <cellStyle name="Финансовый 2 2 10 2 4 4" xfId="32466"/>
    <cellStyle name="Финансовый 2 2 10 2 5" xfId="1970"/>
    <cellStyle name="Финансовый 2 2 10 2 5 2" xfId="16153"/>
    <cellStyle name="Финансовый 2 2 10 2 5 2 2" xfId="38468"/>
    <cellStyle name="Финансовый 2 2 10 2 5 3" xfId="10347"/>
    <cellStyle name="Финансовый 2 2 10 2 5 4" xfId="32662"/>
    <cellStyle name="Финансовый 2 2 10 2 6" xfId="2207"/>
    <cellStyle name="Финансовый 2 2 10 2 6 2" xfId="16348"/>
    <cellStyle name="Финансовый 2 2 10 2 6 2 2" xfId="38663"/>
    <cellStyle name="Финансовый 2 2 10 2 6 3" xfId="10542"/>
    <cellStyle name="Финансовый 2 2 10 2 6 4" xfId="32857"/>
    <cellStyle name="Финансовый 2 2 10 2 7" xfId="2442"/>
    <cellStyle name="Финансовый 2 2 10 2 7 2" xfId="16541"/>
    <cellStyle name="Финансовый 2 2 10 2 7 2 2" xfId="38856"/>
    <cellStyle name="Финансовый 2 2 10 2 7 3" xfId="10735"/>
    <cellStyle name="Финансовый 2 2 10 2 7 4" xfId="33050"/>
    <cellStyle name="Финансовый 2 2 10 2 8" xfId="2674"/>
    <cellStyle name="Финансовый 2 2 10 2 8 2" xfId="16731"/>
    <cellStyle name="Финансовый 2 2 10 2 8 2 2" xfId="39046"/>
    <cellStyle name="Финансовый 2 2 10 2 8 3" xfId="10925"/>
    <cellStyle name="Финансовый 2 2 10 2 8 4" xfId="33240"/>
    <cellStyle name="Финансовый 2 2 10 2 9" xfId="2895"/>
    <cellStyle name="Финансовый 2 2 10 2 9 2" xfId="16912"/>
    <cellStyle name="Финансовый 2 2 10 2 9 2 2" xfId="39227"/>
    <cellStyle name="Финансовый 2 2 10 2 9 3" xfId="11106"/>
    <cellStyle name="Финансовый 2 2 10 2 9 4" xfId="33421"/>
    <cellStyle name="Финансовый 2 2 10 20" xfId="7638"/>
    <cellStyle name="Финансовый 2 2 10 20 2" xfId="19733"/>
    <cellStyle name="Финансовый 2 2 10 20 2 2" xfId="42048"/>
    <cellStyle name="Финансовый 2 2 10 20 3" xfId="13927"/>
    <cellStyle name="Финансовый 2 2 10 20 4" xfId="36242"/>
    <cellStyle name="Финансовый 2 2 10 21" xfId="8351"/>
    <cellStyle name="Финансовый 2 2 10 21 2" xfId="20144"/>
    <cellStyle name="Финансовый 2 2 10 21 2 2" xfId="42459"/>
    <cellStyle name="Финансовый 2 2 10 21 3" xfId="14338"/>
    <cellStyle name="Финансовый 2 2 10 21 4" xfId="36653"/>
    <cellStyle name="Финансовый 2 2 10 22" xfId="14583"/>
    <cellStyle name="Финансовый 2 2 10 22 2" xfId="36898"/>
    <cellStyle name="Финансовый 2 2 10 23" xfId="8777"/>
    <cellStyle name="Финансовый 2 2 10 24" xfId="31143"/>
    <cellStyle name="Финансовый 2 2 10 3" xfId="722"/>
    <cellStyle name="Финансовый 2 2 10 3 2" xfId="15101"/>
    <cellStyle name="Финансовый 2 2 10 3 2 2" xfId="37416"/>
    <cellStyle name="Финансовый 2 2 10 3 3" xfId="9295"/>
    <cellStyle name="Финансовый 2 2 10 3 4" xfId="31618"/>
    <cellStyle name="Финансовый 2 2 10 4" xfId="648"/>
    <cellStyle name="Финансовый 2 2 10 4 2" xfId="15027"/>
    <cellStyle name="Финансовый 2 2 10 4 2 2" xfId="37342"/>
    <cellStyle name="Финансовый 2 2 10 4 3" xfId="9221"/>
    <cellStyle name="Финансовый 2 2 10 4 4" xfId="31545"/>
    <cellStyle name="Финансовый 2 2 10 5" xfId="994"/>
    <cellStyle name="Финансовый 2 2 10 5 2" xfId="15307"/>
    <cellStyle name="Финансовый 2 2 10 5 2 2" xfId="37622"/>
    <cellStyle name="Финансовый 2 2 10 5 3" xfId="9501"/>
    <cellStyle name="Финансовый 2 2 10 5 4" xfId="31820"/>
    <cellStyle name="Финансовый 2 2 10 6" xfId="1040"/>
    <cellStyle name="Финансовый 2 2 10 6 2" xfId="15353"/>
    <cellStyle name="Финансовый 2 2 10 6 2 2" xfId="37668"/>
    <cellStyle name="Финансовый 2 2 10 6 3" xfId="9547"/>
    <cellStyle name="Финансовый 2 2 10 6 4" xfId="31866"/>
    <cellStyle name="Финансовый 2 2 10 7" xfId="533"/>
    <cellStyle name="Финансовый 2 2 10 7 2" xfId="14934"/>
    <cellStyle name="Финансовый 2 2 10 7 2 2" xfId="37249"/>
    <cellStyle name="Финансовый 2 2 10 7 3" xfId="9128"/>
    <cellStyle name="Финансовый 2 2 10 7 4" xfId="31461"/>
    <cellStyle name="Финансовый 2 2 10 8" xfId="1527"/>
    <cellStyle name="Финансовый 2 2 10 8 2" xfId="15767"/>
    <cellStyle name="Финансовый 2 2 10 8 2 2" xfId="38082"/>
    <cellStyle name="Финансовый 2 2 10 8 3" xfId="9961"/>
    <cellStyle name="Финансовый 2 2 10 8 4" xfId="32276"/>
    <cellStyle name="Финансовый 2 2 10 9" xfId="1899"/>
    <cellStyle name="Финансовый 2 2 10 9 2" xfId="16112"/>
    <cellStyle name="Финансовый 2 2 10 9 2 2" xfId="38427"/>
    <cellStyle name="Финансовый 2 2 10 9 3" xfId="10306"/>
    <cellStyle name="Финансовый 2 2 10 9 4" xfId="32621"/>
    <cellStyle name="Финансовый 2 2 11" xfId="52"/>
    <cellStyle name="Финансовый 2 2 11 10" xfId="2032"/>
    <cellStyle name="Финансовый 2 2 11 10 2" xfId="16209"/>
    <cellStyle name="Финансовый 2 2 11 10 2 2" xfId="38524"/>
    <cellStyle name="Финансовый 2 2 11 10 3" xfId="10403"/>
    <cellStyle name="Финансовый 2 2 11 10 4" xfId="32718"/>
    <cellStyle name="Финансовый 2 2 11 11" xfId="2267"/>
    <cellStyle name="Финансовый 2 2 11 11 2" xfId="16402"/>
    <cellStyle name="Финансовый 2 2 11 11 2 2" xfId="38717"/>
    <cellStyle name="Финансовый 2 2 11 11 3" xfId="10596"/>
    <cellStyle name="Финансовый 2 2 11 11 4" xfId="32911"/>
    <cellStyle name="Финансовый 2 2 11 12" xfId="2501"/>
    <cellStyle name="Финансовый 2 2 11 12 2" xfId="16594"/>
    <cellStyle name="Финансовый 2 2 11 12 2 2" xfId="38909"/>
    <cellStyle name="Финансовый 2 2 11 12 3" xfId="10788"/>
    <cellStyle name="Финансовый 2 2 11 12 4" xfId="33103"/>
    <cellStyle name="Финансовый 2 2 11 13" xfId="2729"/>
    <cellStyle name="Финансовый 2 2 11 13 2" xfId="16781"/>
    <cellStyle name="Финансовый 2 2 11 13 2 2" xfId="39096"/>
    <cellStyle name="Финансовый 2 2 11 13 3" xfId="10975"/>
    <cellStyle name="Финансовый 2 2 11 13 4" xfId="33290"/>
    <cellStyle name="Финансовый 2 2 11 14" xfId="2949"/>
    <cellStyle name="Финансовый 2 2 11 14 2" xfId="16961"/>
    <cellStyle name="Финансовый 2 2 11 14 2 2" xfId="39276"/>
    <cellStyle name="Финансовый 2 2 11 14 3" xfId="11155"/>
    <cellStyle name="Финансовый 2 2 11 14 4" xfId="33470"/>
    <cellStyle name="Финансовый 2 2 11 15" xfId="3158"/>
    <cellStyle name="Финансовый 2 2 11 15 2" xfId="17131"/>
    <cellStyle name="Финансовый 2 2 11 15 2 2" xfId="39446"/>
    <cellStyle name="Финансовый 2 2 11 15 3" xfId="11325"/>
    <cellStyle name="Финансовый 2 2 11 15 4" xfId="33640"/>
    <cellStyle name="Финансовый 2 2 11 16" xfId="3351"/>
    <cellStyle name="Финансовый 2 2 11 16 2" xfId="17285"/>
    <cellStyle name="Финансовый 2 2 11 16 2 2" xfId="39600"/>
    <cellStyle name="Финансовый 2 2 11 16 3" xfId="11479"/>
    <cellStyle name="Финансовый 2 2 11 16 4" xfId="33794"/>
    <cellStyle name="Финансовый 2 2 11 17" xfId="3534"/>
    <cellStyle name="Финансовый 2 2 11 17 2" xfId="17429"/>
    <cellStyle name="Финансовый 2 2 11 17 2 2" xfId="39744"/>
    <cellStyle name="Финансовый 2 2 11 17 3" xfId="11623"/>
    <cellStyle name="Финансовый 2 2 11 17 4" xfId="33938"/>
    <cellStyle name="Финансовый 2 2 11 18" xfId="3696"/>
    <cellStyle name="Финансовый 2 2 11 18 2" xfId="17553"/>
    <cellStyle name="Финансовый 2 2 11 18 2 2" xfId="39868"/>
    <cellStyle name="Финансовый 2 2 11 18 3" xfId="11747"/>
    <cellStyle name="Финансовый 2 2 11 18 4" xfId="34062"/>
    <cellStyle name="Финансовый 2 2 11 19" xfId="4808"/>
    <cellStyle name="Финансовый 2 2 11 19 2" xfId="18206"/>
    <cellStyle name="Финансовый 2 2 11 19 2 2" xfId="40521"/>
    <cellStyle name="Финансовый 2 2 11 19 3" xfId="12400"/>
    <cellStyle name="Финансовый 2 2 11 19 4" xfId="34715"/>
    <cellStyle name="Финансовый 2 2 11 2" xfId="397"/>
    <cellStyle name="Финансовый 2 2 11 2 10" xfId="2572"/>
    <cellStyle name="Финансовый 2 2 11 2 10 2" xfId="16660"/>
    <cellStyle name="Финансовый 2 2 11 2 10 2 2" xfId="38975"/>
    <cellStyle name="Финансовый 2 2 11 2 10 3" xfId="10854"/>
    <cellStyle name="Финансовый 2 2 11 2 10 4" xfId="33169"/>
    <cellStyle name="Финансовый 2 2 11 2 11" xfId="2795"/>
    <cellStyle name="Финансовый 2 2 11 2 11 2" xfId="16843"/>
    <cellStyle name="Финансовый 2 2 11 2 11 2 2" xfId="39158"/>
    <cellStyle name="Финансовый 2 2 11 2 11 3" xfId="11037"/>
    <cellStyle name="Финансовый 2 2 11 2 11 4" xfId="33352"/>
    <cellStyle name="Финансовый 2 2 11 2 12" xfId="3010"/>
    <cellStyle name="Финансовый 2 2 11 2 12 2" xfId="17018"/>
    <cellStyle name="Финансовый 2 2 11 2 12 2 2" xfId="39333"/>
    <cellStyle name="Финансовый 2 2 11 2 12 3" xfId="11212"/>
    <cellStyle name="Финансовый 2 2 11 2 12 4" xfId="33527"/>
    <cellStyle name="Финансовый 2 2 11 2 13" xfId="3214"/>
    <cellStyle name="Финансовый 2 2 11 2 13 2" xfId="17183"/>
    <cellStyle name="Финансовый 2 2 11 2 13 2 2" xfId="39498"/>
    <cellStyle name="Финансовый 2 2 11 2 13 3" xfId="11377"/>
    <cellStyle name="Финансовый 2 2 11 2 13 4" xfId="33692"/>
    <cellStyle name="Финансовый 2 2 11 2 14" xfId="3402"/>
    <cellStyle name="Финансовый 2 2 11 2 14 2" xfId="17332"/>
    <cellStyle name="Финансовый 2 2 11 2 14 2 2" xfId="39647"/>
    <cellStyle name="Финансовый 2 2 11 2 14 3" xfId="11526"/>
    <cellStyle name="Финансовый 2 2 11 2 14 4" xfId="33841"/>
    <cellStyle name="Финансовый 2 2 11 2 15" xfId="5326"/>
    <cellStyle name="Финансовый 2 2 11 2 15 2" xfId="18490"/>
    <cellStyle name="Финансовый 2 2 11 2 15 2 2" xfId="40805"/>
    <cellStyle name="Финансовый 2 2 11 2 15 3" xfId="12684"/>
    <cellStyle name="Финансовый 2 2 11 2 15 4" xfId="34999"/>
    <cellStyle name="Финансовый 2 2 11 2 16" xfId="5311"/>
    <cellStyle name="Финансовый 2 2 11 2 16 2" xfId="18479"/>
    <cellStyle name="Финансовый 2 2 11 2 16 2 2" xfId="40794"/>
    <cellStyle name="Финансовый 2 2 11 2 16 3" xfId="12673"/>
    <cellStyle name="Финансовый 2 2 11 2 16 4" xfId="34988"/>
    <cellStyle name="Финансовый 2 2 11 2 17" xfId="8540"/>
    <cellStyle name="Финансовый 2 2 11 2 17 2" xfId="20251"/>
    <cellStyle name="Финансовый 2 2 11 2 17 2 2" xfId="42566"/>
    <cellStyle name="Финансовый 2 2 11 2 17 3" xfId="14445"/>
    <cellStyle name="Финансовый 2 2 11 2 17 4" xfId="36760"/>
    <cellStyle name="Финансовый 2 2 11 2 18" xfId="14800"/>
    <cellStyle name="Финансовый 2 2 11 2 18 2" xfId="37115"/>
    <cellStyle name="Финансовый 2 2 11 2 19" xfId="8994"/>
    <cellStyle name="Финансовый 2 2 11 2 2" xfId="640"/>
    <cellStyle name="Финансовый 2 2 11 2 2 2" xfId="15019"/>
    <cellStyle name="Финансовый 2 2 11 2 2 2 2" xfId="37334"/>
    <cellStyle name="Финансовый 2 2 11 2 2 3" xfId="9213"/>
    <cellStyle name="Финансовый 2 2 11 2 2 4" xfId="31537"/>
    <cellStyle name="Финансовый 2 2 11 2 20" xfId="31327"/>
    <cellStyle name="Финансовый 2 2 11 2 3" xfId="1398"/>
    <cellStyle name="Финансовый 2 2 11 2 3 2" xfId="15644"/>
    <cellStyle name="Финансовый 2 2 11 2 3 2 2" xfId="37959"/>
    <cellStyle name="Финансовый 2 2 11 2 3 3" xfId="9838"/>
    <cellStyle name="Финансовый 2 2 11 2 3 4" xfId="32153"/>
    <cellStyle name="Финансовый 2 2 11 2 4" xfId="1460"/>
    <cellStyle name="Финансовый 2 2 11 2 4 2" xfId="15702"/>
    <cellStyle name="Финансовый 2 2 11 2 4 2 2" xfId="38017"/>
    <cellStyle name="Финансовый 2 2 11 2 4 3" xfId="9896"/>
    <cellStyle name="Финансовый 2 2 11 2 4 4" xfId="32211"/>
    <cellStyle name="Финансовый 2 2 11 2 5" xfId="1664"/>
    <cellStyle name="Финансовый 2 2 11 2 5 2" xfId="15893"/>
    <cellStyle name="Финансовый 2 2 11 2 5 2 2" xfId="38208"/>
    <cellStyle name="Финансовый 2 2 11 2 5 3" xfId="10087"/>
    <cellStyle name="Финансовый 2 2 11 2 5 4" xfId="32402"/>
    <cellStyle name="Финансовый 2 2 11 2 6" xfId="1499"/>
    <cellStyle name="Финансовый 2 2 11 2 6 2" xfId="15741"/>
    <cellStyle name="Финансовый 2 2 11 2 6 2 2" xfId="38056"/>
    <cellStyle name="Финансовый 2 2 11 2 6 3" xfId="9935"/>
    <cellStyle name="Финансовый 2 2 11 2 6 4" xfId="32250"/>
    <cellStyle name="Финансовый 2 2 11 2 7" xfId="1867"/>
    <cellStyle name="Финансовый 2 2 11 2 7 2" xfId="16081"/>
    <cellStyle name="Финансовый 2 2 11 2 7 2 2" xfId="38396"/>
    <cellStyle name="Финансовый 2 2 11 2 7 3" xfId="10275"/>
    <cellStyle name="Финансовый 2 2 11 2 7 4" xfId="32590"/>
    <cellStyle name="Финансовый 2 2 11 2 8" xfId="2105"/>
    <cellStyle name="Финансовый 2 2 11 2 8 2" xfId="16277"/>
    <cellStyle name="Финансовый 2 2 11 2 8 2 2" xfId="38592"/>
    <cellStyle name="Финансовый 2 2 11 2 8 3" xfId="10471"/>
    <cellStyle name="Финансовый 2 2 11 2 8 4" xfId="32786"/>
    <cellStyle name="Финансовый 2 2 11 2 9" xfId="2340"/>
    <cellStyle name="Финансовый 2 2 11 2 9 2" xfId="16470"/>
    <cellStyle name="Финансовый 2 2 11 2 9 2 2" xfId="38785"/>
    <cellStyle name="Финансовый 2 2 11 2 9 3" xfId="10664"/>
    <cellStyle name="Финансовый 2 2 11 2 9 4" xfId="32979"/>
    <cellStyle name="Финансовый 2 2 11 20" xfId="8526"/>
    <cellStyle name="Финансовый 2 2 11 20 2" xfId="20242"/>
    <cellStyle name="Финансовый 2 2 11 20 2 2" xfId="42557"/>
    <cellStyle name="Финансовый 2 2 11 20 3" xfId="14436"/>
    <cellStyle name="Финансовый 2 2 11 20 4" xfId="36751"/>
    <cellStyle name="Финансовый 2 2 11 21" xfId="4117"/>
    <cellStyle name="Финансовый 2 2 11 21 2" xfId="17815"/>
    <cellStyle name="Финансовый 2 2 11 21 2 2" xfId="40130"/>
    <cellStyle name="Финансовый 2 2 11 21 3" xfId="12009"/>
    <cellStyle name="Финансовый 2 2 11 21 4" xfId="34324"/>
    <cellStyle name="Финансовый 2 2 11 22" xfId="14586"/>
    <cellStyle name="Финансовый 2 2 11 22 2" xfId="36901"/>
    <cellStyle name="Финансовый 2 2 11 23" xfId="8780"/>
    <cellStyle name="Финансовый 2 2 11 24" xfId="31145"/>
    <cellStyle name="Финансовый 2 2 11 3" xfId="712"/>
    <cellStyle name="Финансовый 2 2 11 3 2" xfId="15091"/>
    <cellStyle name="Финансовый 2 2 11 3 2 2" xfId="37406"/>
    <cellStyle name="Финансовый 2 2 11 3 3" xfId="9285"/>
    <cellStyle name="Финансовый 2 2 11 3 4" xfId="31608"/>
    <cellStyle name="Финансовый 2 2 11 4" xfId="662"/>
    <cellStyle name="Финансовый 2 2 11 4 2" xfId="15041"/>
    <cellStyle name="Финансовый 2 2 11 4 2 2" xfId="37356"/>
    <cellStyle name="Финансовый 2 2 11 4 3" xfId="9235"/>
    <cellStyle name="Финансовый 2 2 11 4 4" xfId="31559"/>
    <cellStyle name="Финансовый 2 2 11 5" xfId="996"/>
    <cellStyle name="Финансовый 2 2 11 5 2" xfId="15309"/>
    <cellStyle name="Финансовый 2 2 11 5 2 2" xfId="37624"/>
    <cellStyle name="Финансовый 2 2 11 5 3" xfId="9503"/>
    <cellStyle name="Финансовый 2 2 11 5 4" xfId="31822"/>
    <cellStyle name="Финансовый 2 2 11 6" xfId="1026"/>
    <cellStyle name="Финансовый 2 2 11 6 2" xfId="15339"/>
    <cellStyle name="Финансовый 2 2 11 6 2 2" xfId="37654"/>
    <cellStyle name="Финансовый 2 2 11 6 3" xfId="9533"/>
    <cellStyle name="Финансовый 2 2 11 6 4" xfId="31852"/>
    <cellStyle name="Финансовый 2 2 11 7" xfId="514"/>
    <cellStyle name="Финансовый 2 2 11 7 2" xfId="14916"/>
    <cellStyle name="Финансовый 2 2 11 7 2 2" xfId="37231"/>
    <cellStyle name="Финансовый 2 2 11 7 3" xfId="9110"/>
    <cellStyle name="Финансовый 2 2 11 7 4" xfId="31443"/>
    <cellStyle name="Финансовый 2 2 11 8" xfId="1688"/>
    <cellStyle name="Финансовый 2 2 11 8 2" xfId="15917"/>
    <cellStyle name="Финансовый 2 2 11 8 2 2" xfId="38232"/>
    <cellStyle name="Финансовый 2 2 11 8 3" xfId="10111"/>
    <cellStyle name="Финансовый 2 2 11 8 4" xfId="32426"/>
    <cellStyle name="Финансовый 2 2 11 9" xfId="1794"/>
    <cellStyle name="Финансовый 2 2 11 9 2" xfId="16013"/>
    <cellStyle name="Финансовый 2 2 11 9 2 2" xfId="38328"/>
    <cellStyle name="Финансовый 2 2 11 9 3" xfId="10207"/>
    <cellStyle name="Финансовый 2 2 11 9 4" xfId="32522"/>
    <cellStyle name="Финансовый 2 2 12" xfId="57"/>
    <cellStyle name="Финансовый 2 2 12 10" xfId="2315"/>
    <cellStyle name="Финансовый 2 2 12 10 2" xfId="16447"/>
    <cellStyle name="Финансовый 2 2 12 10 2 2" xfId="38762"/>
    <cellStyle name="Финансовый 2 2 12 10 3" xfId="10641"/>
    <cellStyle name="Финансовый 2 2 12 10 4" xfId="32956"/>
    <cellStyle name="Финансовый 2 2 12 11" xfId="2547"/>
    <cellStyle name="Финансовый 2 2 12 11 2" xfId="16637"/>
    <cellStyle name="Финансовый 2 2 12 11 2 2" xfId="38952"/>
    <cellStyle name="Финансовый 2 2 12 11 3" xfId="10831"/>
    <cellStyle name="Финансовый 2 2 12 11 4" xfId="33146"/>
    <cellStyle name="Финансовый 2 2 12 12" xfId="2772"/>
    <cellStyle name="Финансовый 2 2 12 12 2" xfId="16821"/>
    <cellStyle name="Финансовый 2 2 12 12 2 2" xfId="39136"/>
    <cellStyle name="Финансовый 2 2 12 12 3" xfId="11015"/>
    <cellStyle name="Финансовый 2 2 12 12 4" xfId="33330"/>
    <cellStyle name="Финансовый 2 2 12 13" xfId="2989"/>
    <cellStyle name="Финансовый 2 2 12 13 2" xfId="16998"/>
    <cellStyle name="Финансовый 2 2 12 13 2 2" xfId="39313"/>
    <cellStyle name="Финансовый 2 2 12 13 3" xfId="11192"/>
    <cellStyle name="Финансовый 2 2 12 13 4" xfId="33507"/>
    <cellStyle name="Финансовый 2 2 12 14" xfId="3195"/>
    <cellStyle name="Финансовый 2 2 12 14 2" xfId="17165"/>
    <cellStyle name="Финансовый 2 2 12 14 2 2" xfId="39480"/>
    <cellStyle name="Финансовый 2 2 12 14 3" xfId="11359"/>
    <cellStyle name="Финансовый 2 2 12 14 4" xfId="33674"/>
    <cellStyle name="Финансовый 2 2 12 15" xfId="3383"/>
    <cellStyle name="Финансовый 2 2 12 15 2" xfId="17314"/>
    <cellStyle name="Финансовый 2 2 12 15 2 2" xfId="39629"/>
    <cellStyle name="Финансовый 2 2 12 15 3" xfId="11508"/>
    <cellStyle name="Финансовый 2 2 12 15 4" xfId="33823"/>
    <cellStyle name="Финансовый 2 2 12 16" xfId="3562"/>
    <cellStyle name="Финансовый 2 2 12 16 2" xfId="17455"/>
    <cellStyle name="Финансовый 2 2 12 16 2 2" xfId="39770"/>
    <cellStyle name="Финансовый 2 2 12 16 3" xfId="11649"/>
    <cellStyle name="Финансовый 2 2 12 16 4" xfId="33964"/>
    <cellStyle name="Финансовый 2 2 12 17" xfId="3722"/>
    <cellStyle name="Финансовый 2 2 12 17 2" xfId="17577"/>
    <cellStyle name="Финансовый 2 2 12 17 2 2" xfId="39892"/>
    <cellStyle name="Финансовый 2 2 12 17 3" xfId="11771"/>
    <cellStyle name="Финансовый 2 2 12 17 4" xfId="34086"/>
    <cellStyle name="Финансовый 2 2 12 18" xfId="3854"/>
    <cellStyle name="Финансовый 2 2 12 18 2" xfId="17676"/>
    <cellStyle name="Финансовый 2 2 12 18 2 2" xfId="39991"/>
    <cellStyle name="Финансовый 2 2 12 18 3" xfId="11870"/>
    <cellStyle name="Финансовый 2 2 12 18 4" xfId="34185"/>
    <cellStyle name="Финансовый 2 2 12 19" xfId="4617"/>
    <cellStyle name="Финансовый 2 2 12 19 2" xfId="18096"/>
    <cellStyle name="Финансовый 2 2 12 19 2 2" xfId="40411"/>
    <cellStyle name="Финансовый 2 2 12 19 3" xfId="12290"/>
    <cellStyle name="Финансовый 2 2 12 19 4" xfId="34605"/>
    <cellStyle name="Финансовый 2 2 12 2" xfId="402"/>
    <cellStyle name="Финансовый 2 2 12 2 10" xfId="2238"/>
    <cellStyle name="Финансовый 2 2 12 2 10 2" xfId="16375"/>
    <cellStyle name="Финансовый 2 2 12 2 10 2 2" xfId="38690"/>
    <cellStyle name="Финансовый 2 2 12 2 10 3" xfId="10569"/>
    <cellStyle name="Финансовый 2 2 12 2 10 4" xfId="32884"/>
    <cellStyle name="Финансовый 2 2 12 2 11" xfId="2472"/>
    <cellStyle name="Финансовый 2 2 12 2 11 2" xfId="16567"/>
    <cellStyle name="Финансовый 2 2 12 2 11 2 2" xfId="38882"/>
    <cellStyle name="Финансовый 2 2 12 2 11 3" xfId="10761"/>
    <cellStyle name="Финансовый 2 2 12 2 11 4" xfId="33076"/>
    <cellStyle name="Финансовый 2 2 12 2 12" xfId="2701"/>
    <cellStyle name="Финансовый 2 2 12 2 12 2" xfId="16755"/>
    <cellStyle name="Финансовый 2 2 12 2 12 2 2" xfId="39070"/>
    <cellStyle name="Финансовый 2 2 12 2 12 3" xfId="10949"/>
    <cellStyle name="Финансовый 2 2 12 2 12 4" xfId="33264"/>
    <cellStyle name="Финансовый 2 2 12 2 13" xfId="2922"/>
    <cellStyle name="Финансовый 2 2 12 2 13 2" xfId="16936"/>
    <cellStyle name="Финансовый 2 2 12 2 13 2 2" xfId="39251"/>
    <cellStyle name="Финансовый 2 2 12 2 13 3" xfId="11130"/>
    <cellStyle name="Финансовый 2 2 12 2 13 4" xfId="33445"/>
    <cellStyle name="Финансовый 2 2 12 2 14" xfId="3133"/>
    <cellStyle name="Финансовый 2 2 12 2 14 2" xfId="17108"/>
    <cellStyle name="Финансовый 2 2 12 2 14 2 2" xfId="39423"/>
    <cellStyle name="Финансовый 2 2 12 2 14 3" xfId="11302"/>
    <cellStyle name="Финансовый 2 2 12 2 14 4" xfId="33617"/>
    <cellStyle name="Финансовый 2 2 12 2 15" xfId="7760"/>
    <cellStyle name="Финансовый 2 2 12 2 15 2" xfId="19800"/>
    <cellStyle name="Финансовый 2 2 12 2 15 2 2" xfId="42115"/>
    <cellStyle name="Финансовый 2 2 12 2 15 3" xfId="13994"/>
    <cellStyle name="Финансовый 2 2 12 2 15 4" xfId="36309"/>
    <cellStyle name="Финансовый 2 2 12 2 16" xfId="6251"/>
    <cellStyle name="Финансовый 2 2 12 2 16 2" xfId="18988"/>
    <cellStyle name="Финансовый 2 2 12 2 16 2 2" xfId="41303"/>
    <cellStyle name="Финансовый 2 2 12 2 16 3" xfId="13182"/>
    <cellStyle name="Финансовый 2 2 12 2 16 4" xfId="35497"/>
    <cellStyle name="Финансовый 2 2 12 2 17" xfId="6485"/>
    <cellStyle name="Финансовый 2 2 12 2 17 2" xfId="19111"/>
    <cellStyle name="Финансовый 2 2 12 2 17 2 2" xfId="41426"/>
    <cellStyle name="Финансовый 2 2 12 2 17 3" xfId="13305"/>
    <cellStyle name="Финансовый 2 2 12 2 17 4" xfId="35620"/>
    <cellStyle name="Финансовый 2 2 12 2 18" xfId="14805"/>
    <cellStyle name="Финансовый 2 2 12 2 18 2" xfId="37120"/>
    <cellStyle name="Финансовый 2 2 12 2 19" xfId="8999"/>
    <cellStyle name="Финансовый 2 2 12 2 2" xfId="644"/>
    <cellStyle name="Финансовый 2 2 12 2 2 2" xfId="15023"/>
    <cellStyle name="Финансовый 2 2 12 2 2 2 2" xfId="37338"/>
    <cellStyle name="Финансовый 2 2 12 2 2 3" xfId="9217"/>
    <cellStyle name="Финансовый 2 2 12 2 2 4" xfId="31541"/>
    <cellStyle name="Финансовый 2 2 12 2 20" xfId="31332"/>
    <cellStyle name="Финансовый 2 2 12 2 3" xfId="1402"/>
    <cellStyle name="Финансовый 2 2 12 2 3 2" xfId="15648"/>
    <cellStyle name="Финансовый 2 2 12 2 3 2 2" xfId="37963"/>
    <cellStyle name="Финансовый 2 2 12 2 3 3" xfId="9842"/>
    <cellStyle name="Финансовый 2 2 12 2 3 4" xfId="32157"/>
    <cellStyle name="Финансовый 2 2 12 2 4" xfId="1373"/>
    <cellStyle name="Финансовый 2 2 12 2 4 2" xfId="15622"/>
    <cellStyle name="Финансовый 2 2 12 2 4 2 2" xfId="37937"/>
    <cellStyle name="Финансовый 2 2 12 2 4 3" xfId="9816"/>
    <cellStyle name="Финансовый 2 2 12 2 4 4" xfId="32131"/>
    <cellStyle name="Финансовый 2 2 12 2 5" xfId="488"/>
    <cellStyle name="Финансовый 2 2 12 2 5 2" xfId="14890"/>
    <cellStyle name="Финансовый 2 2 12 2 5 2 2" xfId="37205"/>
    <cellStyle name="Финансовый 2 2 12 2 5 3" xfId="9084"/>
    <cellStyle name="Финансовый 2 2 12 2 5 4" xfId="31417"/>
    <cellStyle name="Финансовый 2 2 12 2 6" xfId="1541"/>
    <cellStyle name="Финансовый 2 2 12 2 6 2" xfId="15781"/>
    <cellStyle name="Финансовый 2 2 12 2 6 2 2" xfId="38096"/>
    <cellStyle name="Финансовый 2 2 12 2 6 3" xfId="9975"/>
    <cellStyle name="Финансовый 2 2 12 2 6 4" xfId="32290"/>
    <cellStyle name="Финансовый 2 2 12 2 7" xfId="1681"/>
    <cellStyle name="Финансовый 2 2 12 2 7 2" xfId="15910"/>
    <cellStyle name="Финансовый 2 2 12 2 7 2 2" xfId="38225"/>
    <cellStyle name="Финансовый 2 2 12 2 7 3" xfId="10104"/>
    <cellStyle name="Финансовый 2 2 12 2 7 4" xfId="32419"/>
    <cellStyle name="Финансовый 2 2 12 2 8" xfId="1764"/>
    <cellStyle name="Финансовый 2 2 12 2 8 2" xfId="15985"/>
    <cellStyle name="Финансовый 2 2 12 2 8 2 2" xfId="38300"/>
    <cellStyle name="Финансовый 2 2 12 2 8 3" xfId="10179"/>
    <cellStyle name="Финансовый 2 2 12 2 8 4" xfId="32494"/>
    <cellStyle name="Финансовый 2 2 12 2 9" xfId="2002"/>
    <cellStyle name="Финансовый 2 2 12 2 9 2" xfId="16181"/>
    <cellStyle name="Финансовый 2 2 12 2 9 2 2" xfId="38496"/>
    <cellStyle name="Финансовый 2 2 12 2 9 3" xfId="10375"/>
    <cellStyle name="Финансовый 2 2 12 2 9 4" xfId="32690"/>
    <cellStyle name="Финансовый 2 2 12 20" xfId="5118"/>
    <cellStyle name="Финансовый 2 2 12 20 2" xfId="18377"/>
    <cellStyle name="Финансовый 2 2 12 20 2 2" xfId="40692"/>
    <cellStyle name="Финансовый 2 2 12 20 3" xfId="12571"/>
    <cellStyle name="Финансовый 2 2 12 20 4" xfId="34886"/>
    <cellStyle name="Финансовый 2 2 12 21" xfId="7666"/>
    <cellStyle name="Финансовый 2 2 12 21 2" xfId="19750"/>
    <cellStyle name="Финансовый 2 2 12 21 2 2" xfId="42065"/>
    <cellStyle name="Финансовый 2 2 12 21 3" xfId="13944"/>
    <cellStyle name="Финансовый 2 2 12 21 4" xfId="36259"/>
    <cellStyle name="Финансовый 2 2 12 22" xfId="14589"/>
    <cellStyle name="Финансовый 2 2 12 22 2" xfId="36904"/>
    <cellStyle name="Финансовый 2 2 12 23" xfId="8783"/>
    <cellStyle name="Финансовый 2 2 12 24" xfId="31147"/>
    <cellStyle name="Финансовый 2 2 12 3" xfId="694"/>
    <cellStyle name="Финансовый 2 2 12 3 2" xfId="15073"/>
    <cellStyle name="Финансовый 2 2 12 3 2 2" xfId="37388"/>
    <cellStyle name="Финансовый 2 2 12 3 3" xfId="9267"/>
    <cellStyle name="Финансовый 2 2 12 3 4" xfId="31590"/>
    <cellStyle name="Финансовый 2 2 12 4" xfId="908"/>
    <cellStyle name="Финансовый 2 2 12 4 2" xfId="15237"/>
    <cellStyle name="Финансовый 2 2 12 4 2 2" xfId="37552"/>
    <cellStyle name="Финансовый 2 2 12 4 3" xfId="9431"/>
    <cellStyle name="Финансовый 2 2 12 4 4" xfId="31751"/>
    <cellStyle name="Финансовый 2 2 12 5" xfId="999"/>
    <cellStyle name="Финансовый 2 2 12 5 2" xfId="15312"/>
    <cellStyle name="Финансовый 2 2 12 5 2 2" xfId="37627"/>
    <cellStyle name="Финансовый 2 2 12 5 3" xfId="9506"/>
    <cellStyle name="Финансовый 2 2 12 5 4" xfId="31825"/>
    <cellStyle name="Финансовый 2 2 12 6" xfId="1124"/>
    <cellStyle name="Финансовый 2 2 12 6 2" xfId="15426"/>
    <cellStyle name="Финансовый 2 2 12 6 2 2" xfId="37741"/>
    <cellStyle name="Финансовый 2 2 12 6 3" xfId="9620"/>
    <cellStyle name="Финансовый 2 2 12 6 4" xfId="31937"/>
    <cellStyle name="Финансовый 2 2 12 7" xfId="364"/>
    <cellStyle name="Финансовый 2 2 12 7 2" xfId="14767"/>
    <cellStyle name="Финансовый 2 2 12 7 2 2" xfId="37082"/>
    <cellStyle name="Финансовый 2 2 12 7 3" xfId="8961"/>
    <cellStyle name="Финансовый 2 2 12 7 4" xfId="31294"/>
    <cellStyle name="Финансовый 2 2 12 8" xfId="1842"/>
    <cellStyle name="Финансовый 2 2 12 8 2" xfId="16058"/>
    <cellStyle name="Финансовый 2 2 12 8 2 2" xfId="38373"/>
    <cellStyle name="Финансовый 2 2 12 8 3" xfId="10252"/>
    <cellStyle name="Финансовый 2 2 12 8 4" xfId="32567"/>
    <cellStyle name="Финансовый 2 2 12 9" xfId="2080"/>
    <cellStyle name="Финансовый 2 2 12 9 2" xfId="16254"/>
    <cellStyle name="Финансовый 2 2 12 9 2 2" xfId="38569"/>
    <cellStyle name="Финансовый 2 2 12 9 3" xfId="10448"/>
    <cellStyle name="Финансовый 2 2 12 9 4" xfId="32763"/>
    <cellStyle name="Финансовый 2 2 13" xfId="65"/>
    <cellStyle name="Финансовый 2 2 13 10" xfId="602"/>
    <cellStyle name="Финансовый 2 2 13 10 2" xfId="14986"/>
    <cellStyle name="Финансовый 2 2 13 10 2 2" xfId="37301"/>
    <cellStyle name="Финансовый 2 2 13 10 3" xfId="9180"/>
    <cellStyle name="Финансовый 2 2 13 10 4" xfId="31505"/>
    <cellStyle name="Финансовый 2 2 13 11" xfId="1431"/>
    <cellStyle name="Финансовый 2 2 13 11 2" xfId="15674"/>
    <cellStyle name="Финансовый 2 2 13 11 2 2" xfId="37989"/>
    <cellStyle name="Финансовый 2 2 13 11 3" xfId="9868"/>
    <cellStyle name="Финансовый 2 2 13 11 4" xfId="32183"/>
    <cellStyle name="Финансовый 2 2 13 12" xfId="1685"/>
    <cellStyle name="Финансовый 2 2 13 12 2" xfId="15914"/>
    <cellStyle name="Финансовый 2 2 13 12 2 2" xfId="38229"/>
    <cellStyle name="Финансовый 2 2 13 12 3" xfId="10108"/>
    <cellStyle name="Финансовый 2 2 13 12 4" xfId="32423"/>
    <cellStyle name="Финансовый 2 2 13 13" xfId="1780"/>
    <cellStyle name="Финансовый 2 2 13 13 2" xfId="16001"/>
    <cellStyle name="Финансовый 2 2 13 13 2 2" xfId="38316"/>
    <cellStyle name="Финансовый 2 2 13 13 3" xfId="10195"/>
    <cellStyle name="Финансовый 2 2 13 13 4" xfId="32510"/>
    <cellStyle name="Финансовый 2 2 13 14" xfId="2018"/>
    <cellStyle name="Финансовый 2 2 13 14 2" xfId="16197"/>
    <cellStyle name="Финансовый 2 2 13 14 2 2" xfId="38512"/>
    <cellStyle name="Финансовый 2 2 13 14 3" xfId="10391"/>
    <cellStyle name="Финансовый 2 2 13 14 4" xfId="32706"/>
    <cellStyle name="Финансовый 2 2 13 15" xfId="2253"/>
    <cellStyle name="Финансовый 2 2 13 15 2" xfId="16390"/>
    <cellStyle name="Финансовый 2 2 13 15 2 2" xfId="38705"/>
    <cellStyle name="Финансовый 2 2 13 15 3" xfId="10584"/>
    <cellStyle name="Финансовый 2 2 13 15 4" xfId="32899"/>
    <cellStyle name="Финансовый 2 2 13 16" xfId="2487"/>
    <cellStyle name="Финансовый 2 2 13 16 2" xfId="16582"/>
    <cellStyle name="Финансовый 2 2 13 16 2 2" xfId="38897"/>
    <cellStyle name="Финансовый 2 2 13 16 3" xfId="10776"/>
    <cellStyle name="Финансовый 2 2 13 16 4" xfId="33091"/>
    <cellStyle name="Финансовый 2 2 13 17" xfId="2716"/>
    <cellStyle name="Финансовый 2 2 13 17 2" xfId="16770"/>
    <cellStyle name="Финансовый 2 2 13 17 2 2" xfId="39085"/>
    <cellStyle name="Финансовый 2 2 13 17 3" xfId="10964"/>
    <cellStyle name="Финансовый 2 2 13 17 4" xfId="33279"/>
    <cellStyle name="Финансовый 2 2 13 18" xfId="2936"/>
    <cellStyle name="Финансовый 2 2 13 18 2" xfId="16950"/>
    <cellStyle name="Финансовый 2 2 13 18 2 2" xfId="39265"/>
    <cellStyle name="Финансовый 2 2 13 18 3" xfId="11144"/>
    <cellStyle name="Финансовый 2 2 13 18 4" xfId="33459"/>
    <cellStyle name="Финансовый 2 2 13 19" xfId="4771"/>
    <cellStyle name="Финансовый 2 2 13 19 2" xfId="18191"/>
    <cellStyle name="Финансовый 2 2 13 19 2 2" xfId="40506"/>
    <cellStyle name="Финансовый 2 2 13 19 3" xfId="12385"/>
    <cellStyle name="Финансовый 2 2 13 19 4" xfId="34700"/>
    <cellStyle name="Финансовый 2 2 13 2" xfId="410"/>
    <cellStyle name="Финансовый 2 2 13 2 10" xfId="3065"/>
    <cellStyle name="Финансовый 2 2 13 2 10 2" xfId="17062"/>
    <cellStyle name="Финансовый 2 2 13 2 10 2 2" xfId="39377"/>
    <cellStyle name="Финансовый 2 2 13 2 10 3" xfId="11256"/>
    <cellStyle name="Финансовый 2 2 13 2 10 4" xfId="33571"/>
    <cellStyle name="Финансовый 2 2 13 2 11" xfId="3265"/>
    <cellStyle name="Финансовый 2 2 13 2 11 2" xfId="17223"/>
    <cellStyle name="Финансовый 2 2 13 2 11 2 2" xfId="39538"/>
    <cellStyle name="Финансовый 2 2 13 2 11 3" xfId="11417"/>
    <cellStyle name="Финансовый 2 2 13 2 11 4" xfId="33732"/>
    <cellStyle name="Финансовый 2 2 13 2 12" xfId="3452"/>
    <cellStyle name="Финансовый 2 2 13 2 12 2" xfId="17371"/>
    <cellStyle name="Финансовый 2 2 13 2 12 2 2" xfId="39686"/>
    <cellStyle name="Финансовый 2 2 13 2 12 3" xfId="11565"/>
    <cellStyle name="Финансовый 2 2 13 2 12 4" xfId="33880"/>
    <cellStyle name="Финансовый 2 2 13 2 13" xfId="3623"/>
    <cellStyle name="Финансовый 2 2 13 2 13 2" xfId="17504"/>
    <cellStyle name="Финансовый 2 2 13 2 13 2 2" xfId="39819"/>
    <cellStyle name="Финансовый 2 2 13 2 13 3" xfId="11698"/>
    <cellStyle name="Финансовый 2 2 13 2 13 4" xfId="34013"/>
    <cellStyle name="Финансовый 2 2 13 2 14" xfId="3778"/>
    <cellStyle name="Финансовый 2 2 13 2 14 2" xfId="17621"/>
    <cellStyle name="Финансовый 2 2 13 2 14 2 2" xfId="39936"/>
    <cellStyle name="Финансовый 2 2 13 2 14 3" xfId="11815"/>
    <cellStyle name="Финансовый 2 2 13 2 14 4" xfId="34130"/>
    <cellStyle name="Финансовый 2 2 13 2 15" xfId="8120"/>
    <cellStyle name="Финансовый 2 2 13 2 15 2" xfId="20006"/>
    <cellStyle name="Финансовый 2 2 13 2 15 2 2" xfId="42321"/>
    <cellStyle name="Финансовый 2 2 13 2 15 3" xfId="14200"/>
    <cellStyle name="Финансовый 2 2 13 2 15 4" xfId="36515"/>
    <cellStyle name="Финансовый 2 2 13 2 16" xfId="7644"/>
    <cellStyle name="Финансовый 2 2 13 2 16 2" xfId="19736"/>
    <cellStyle name="Финансовый 2 2 13 2 16 2 2" xfId="42051"/>
    <cellStyle name="Финансовый 2 2 13 2 16 3" xfId="13930"/>
    <cellStyle name="Финансовый 2 2 13 2 16 4" xfId="36245"/>
    <cellStyle name="Финансовый 2 2 13 2 17" xfId="8617"/>
    <cellStyle name="Финансовый 2 2 13 2 17 2" xfId="20294"/>
    <cellStyle name="Финансовый 2 2 13 2 17 2 2" xfId="42609"/>
    <cellStyle name="Финансовый 2 2 13 2 17 3" xfId="14488"/>
    <cellStyle name="Финансовый 2 2 13 2 17 4" xfId="36803"/>
    <cellStyle name="Финансовый 2 2 13 2 18" xfId="14813"/>
    <cellStyle name="Финансовый 2 2 13 2 18 2" xfId="37128"/>
    <cellStyle name="Финансовый 2 2 13 2 19" xfId="9007"/>
    <cellStyle name="Финансовый 2 2 13 2 2" xfId="650"/>
    <cellStyle name="Финансовый 2 2 13 2 2 2" xfId="15029"/>
    <cellStyle name="Финансовый 2 2 13 2 2 2 2" xfId="37344"/>
    <cellStyle name="Финансовый 2 2 13 2 2 3" xfId="9223"/>
    <cellStyle name="Финансовый 2 2 13 2 2 4" xfId="31547"/>
    <cellStyle name="Финансовый 2 2 13 2 20" xfId="31340"/>
    <cellStyle name="Финансовый 2 2 13 2 3" xfId="1407"/>
    <cellStyle name="Финансовый 2 2 13 2 3 2" xfId="15652"/>
    <cellStyle name="Финансовый 2 2 13 2 3 2 2" xfId="37967"/>
    <cellStyle name="Финансовый 2 2 13 2 3 3" xfId="9846"/>
    <cellStyle name="Финансовый 2 2 13 2 3 4" xfId="32161"/>
    <cellStyle name="Финансовый 2 2 13 2 4" xfId="1727"/>
    <cellStyle name="Финансовый 2 2 13 2 4 2" xfId="15952"/>
    <cellStyle name="Финансовый 2 2 13 2 4 2 2" xfId="38267"/>
    <cellStyle name="Финансовый 2 2 13 2 4 3" xfId="10146"/>
    <cellStyle name="Финансовый 2 2 13 2 4 4" xfId="32461"/>
    <cellStyle name="Финансовый 2 2 13 2 5" xfId="1927"/>
    <cellStyle name="Финансовый 2 2 13 2 5 2" xfId="16130"/>
    <cellStyle name="Финансовый 2 2 13 2 5 2 2" xfId="38445"/>
    <cellStyle name="Финансовый 2 2 13 2 5 3" xfId="10324"/>
    <cellStyle name="Финансовый 2 2 13 2 5 4" xfId="32639"/>
    <cellStyle name="Финансовый 2 2 13 2 6" xfId="2164"/>
    <cellStyle name="Финансовый 2 2 13 2 6 2" xfId="16325"/>
    <cellStyle name="Финансовый 2 2 13 2 6 2 2" xfId="38640"/>
    <cellStyle name="Финансовый 2 2 13 2 6 3" xfId="10519"/>
    <cellStyle name="Финансовый 2 2 13 2 6 4" xfId="32834"/>
    <cellStyle name="Финансовый 2 2 13 2 7" xfId="2399"/>
    <cellStyle name="Финансовый 2 2 13 2 7 2" xfId="16518"/>
    <cellStyle name="Финансовый 2 2 13 2 7 2 2" xfId="38833"/>
    <cellStyle name="Финансовый 2 2 13 2 7 3" xfId="10712"/>
    <cellStyle name="Финансовый 2 2 13 2 7 4" xfId="33027"/>
    <cellStyle name="Финансовый 2 2 13 2 8" xfId="2631"/>
    <cellStyle name="Финансовый 2 2 13 2 8 2" xfId="16708"/>
    <cellStyle name="Финансовый 2 2 13 2 8 2 2" xfId="39023"/>
    <cellStyle name="Финансовый 2 2 13 2 8 3" xfId="10902"/>
    <cellStyle name="Финансовый 2 2 13 2 8 4" xfId="33217"/>
    <cellStyle name="Финансовый 2 2 13 2 9" xfId="2852"/>
    <cellStyle name="Финансовый 2 2 13 2 9 2" xfId="16889"/>
    <cellStyle name="Финансовый 2 2 13 2 9 2 2" xfId="39204"/>
    <cellStyle name="Финансовый 2 2 13 2 9 3" xfId="11083"/>
    <cellStyle name="Финансовый 2 2 13 2 9 4" xfId="33398"/>
    <cellStyle name="Финансовый 2 2 13 20" xfId="5660"/>
    <cellStyle name="Финансовый 2 2 13 20 2" xfId="18670"/>
    <cellStyle name="Финансовый 2 2 13 20 2 2" xfId="40985"/>
    <cellStyle name="Финансовый 2 2 13 20 3" xfId="12864"/>
    <cellStyle name="Финансовый 2 2 13 20 4" xfId="35179"/>
    <cellStyle name="Финансовый 2 2 13 21" xfId="6806"/>
    <cellStyle name="Финансовый 2 2 13 21 2" xfId="19282"/>
    <cellStyle name="Финансовый 2 2 13 21 2 2" xfId="41597"/>
    <cellStyle name="Финансовый 2 2 13 21 3" xfId="13476"/>
    <cellStyle name="Финансовый 2 2 13 21 4" xfId="35791"/>
    <cellStyle name="Финансовый 2 2 13 22" xfId="14596"/>
    <cellStyle name="Финансовый 2 2 13 22 2" xfId="36911"/>
    <cellStyle name="Финансовый 2 2 13 23" xfId="8790"/>
    <cellStyle name="Финансовый 2 2 13 24" xfId="31149"/>
    <cellStyle name="Финансовый 2 2 13 3" xfId="637"/>
    <cellStyle name="Финансовый 2 2 13 3 2" xfId="15016"/>
    <cellStyle name="Финансовый 2 2 13 3 2 2" xfId="37331"/>
    <cellStyle name="Финансовый 2 2 13 3 3" xfId="9210"/>
    <cellStyle name="Финансовый 2 2 13 3 4" xfId="31534"/>
    <cellStyle name="Финансовый 2 2 13 4" xfId="612"/>
    <cellStyle name="Финансовый 2 2 13 4 2" xfId="14992"/>
    <cellStyle name="Финансовый 2 2 13 4 2 2" xfId="37307"/>
    <cellStyle name="Финансовый 2 2 13 4 3" xfId="9186"/>
    <cellStyle name="Финансовый 2 2 13 4 4" xfId="31511"/>
    <cellStyle name="Финансовый 2 2 13 5" xfId="1003"/>
    <cellStyle name="Финансовый 2 2 13 5 2" xfId="15316"/>
    <cellStyle name="Финансовый 2 2 13 5 2 2" xfId="37631"/>
    <cellStyle name="Финансовый 2 2 13 5 3" xfId="9510"/>
    <cellStyle name="Финансовый 2 2 13 5 4" xfId="31829"/>
    <cellStyle name="Финансовый 2 2 13 6" xfId="981"/>
    <cellStyle name="Финансовый 2 2 13 6 2" xfId="15294"/>
    <cellStyle name="Финансовый 2 2 13 6 2 2" xfId="37609"/>
    <cellStyle name="Финансовый 2 2 13 6 3" xfId="9488"/>
    <cellStyle name="Финансовый 2 2 13 6 4" xfId="31807"/>
    <cellStyle name="Финансовый 2 2 13 7" xfId="455"/>
    <cellStyle name="Финансовый 2 2 13 7 2" xfId="14858"/>
    <cellStyle name="Финансовый 2 2 13 7 2 2" xfId="37173"/>
    <cellStyle name="Финансовый 2 2 13 7 3" xfId="9052"/>
    <cellStyle name="Финансовый 2 2 13 7 4" xfId="31385"/>
    <cellStyle name="Финансовый 2 2 13 8" xfId="1620"/>
    <cellStyle name="Финансовый 2 2 13 8 2" xfId="15854"/>
    <cellStyle name="Финансовый 2 2 13 8 2 2" xfId="38169"/>
    <cellStyle name="Финансовый 2 2 13 8 3" xfId="10048"/>
    <cellStyle name="Финансовый 2 2 13 8 4" xfId="32363"/>
    <cellStyle name="Финансовый 2 2 13 9" xfId="466"/>
    <cellStyle name="Финансовый 2 2 13 9 2" xfId="14869"/>
    <cellStyle name="Финансовый 2 2 13 9 2 2" xfId="37184"/>
    <cellStyle name="Финансовый 2 2 13 9 3" xfId="9063"/>
    <cellStyle name="Финансовый 2 2 13 9 4" xfId="31396"/>
    <cellStyle name="Финансовый 2 2 14" xfId="70"/>
    <cellStyle name="Финансовый 2 2 14 10" xfId="1991"/>
    <cellStyle name="Финансовый 2 2 14 10 2" xfId="16172"/>
    <cellStyle name="Финансовый 2 2 14 10 2 2" xfId="38487"/>
    <cellStyle name="Финансовый 2 2 14 10 3" xfId="10366"/>
    <cellStyle name="Финансовый 2 2 14 10 4" xfId="32681"/>
    <cellStyle name="Финансовый 2 2 14 11" xfId="2227"/>
    <cellStyle name="Финансовый 2 2 14 11 2" xfId="16366"/>
    <cellStyle name="Финансовый 2 2 14 11 2 2" xfId="38681"/>
    <cellStyle name="Финансовый 2 2 14 11 3" xfId="10560"/>
    <cellStyle name="Финансовый 2 2 14 11 4" xfId="32875"/>
    <cellStyle name="Финансовый 2 2 14 12" xfId="2461"/>
    <cellStyle name="Финансовый 2 2 14 12 2" xfId="16558"/>
    <cellStyle name="Финансовый 2 2 14 12 2 2" xfId="38873"/>
    <cellStyle name="Финансовый 2 2 14 12 3" xfId="10752"/>
    <cellStyle name="Финансовый 2 2 14 12 4" xfId="33067"/>
    <cellStyle name="Финансовый 2 2 14 13" xfId="2692"/>
    <cellStyle name="Финансовый 2 2 14 13 2" xfId="16747"/>
    <cellStyle name="Финансовый 2 2 14 13 2 2" xfId="39062"/>
    <cellStyle name="Финансовый 2 2 14 13 3" xfId="10941"/>
    <cellStyle name="Финансовый 2 2 14 13 4" xfId="33256"/>
    <cellStyle name="Финансовый 2 2 14 14" xfId="2913"/>
    <cellStyle name="Финансовый 2 2 14 14 2" xfId="16928"/>
    <cellStyle name="Финансовый 2 2 14 14 2 2" xfId="39243"/>
    <cellStyle name="Финансовый 2 2 14 14 3" xfId="11122"/>
    <cellStyle name="Финансовый 2 2 14 14 4" xfId="33437"/>
    <cellStyle name="Финансовый 2 2 14 15" xfId="3124"/>
    <cellStyle name="Финансовый 2 2 14 15 2" xfId="17100"/>
    <cellStyle name="Финансовый 2 2 14 15 2 2" xfId="39415"/>
    <cellStyle name="Финансовый 2 2 14 15 3" xfId="11294"/>
    <cellStyle name="Финансовый 2 2 14 15 4" xfId="33609"/>
    <cellStyle name="Финансовый 2 2 14 16" xfId="3321"/>
    <cellStyle name="Финансовый 2 2 14 16 2" xfId="17258"/>
    <cellStyle name="Финансовый 2 2 14 16 2 2" xfId="39573"/>
    <cellStyle name="Финансовый 2 2 14 16 3" xfId="11452"/>
    <cellStyle name="Финансовый 2 2 14 16 4" xfId="33767"/>
    <cellStyle name="Финансовый 2 2 14 17" xfId="3505"/>
    <cellStyle name="Финансовый 2 2 14 17 2" xfId="17403"/>
    <cellStyle name="Финансовый 2 2 14 17 2 2" xfId="39718"/>
    <cellStyle name="Финансовый 2 2 14 17 3" xfId="11597"/>
    <cellStyle name="Финансовый 2 2 14 17 4" xfId="33912"/>
    <cellStyle name="Финансовый 2 2 14 18" xfId="3673"/>
    <cellStyle name="Финансовый 2 2 14 18 2" xfId="17533"/>
    <cellStyle name="Финансовый 2 2 14 18 2 2" xfId="39848"/>
    <cellStyle name="Финансовый 2 2 14 18 3" xfId="11727"/>
    <cellStyle name="Финансовый 2 2 14 18 4" xfId="34042"/>
    <cellStyle name="Финансовый 2 2 14 19" xfId="5766"/>
    <cellStyle name="Финансовый 2 2 14 19 2" xfId="18725"/>
    <cellStyle name="Финансовый 2 2 14 19 2 2" xfId="41040"/>
    <cellStyle name="Финансовый 2 2 14 19 3" xfId="12919"/>
    <cellStyle name="Финансовый 2 2 14 19 4" xfId="35234"/>
    <cellStyle name="Финансовый 2 2 14 2" xfId="415"/>
    <cellStyle name="Финансовый 2 2 14 2 10" xfId="2124"/>
    <cellStyle name="Финансовый 2 2 14 2 10 2" xfId="16295"/>
    <cellStyle name="Финансовый 2 2 14 2 10 2 2" xfId="38610"/>
    <cellStyle name="Финансовый 2 2 14 2 10 3" xfId="10489"/>
    <cellStyle name="Финансовый 2 2 14 2 10 4" xfId="32804"/>
    <cellStyle name="Финансовый 2 2 14 2 11" xfId="2359"/>
    <cellStyle name="Финансовый 2 2 14 2 11 2" xfId="16488"/>
    <cellStyle name="Финансовый 2 2 14 2 11 2 2" xfId="38803"/>
    <cellStyle name="Финансовый 2 2 14 2 11 3" xfId="10682"/>
    <cellStyle name="Финансовый 2 2 14 2 11 4" xfId="32997"/>
    <cellStyle name="Финансовый 2 2 14 2 12" xfId="2591"/>
    <cellStyle name="Финансовый 2 2 14 2 12 2" xfId="16678"/>
    <cellStyle name="Финансовый 2 2 14 2 12 2 2" xfId="38993"/>
    <cellStyle name="Финансовый 2 2 14 2 12 3" xfId="10872"/>
    <cellStyle name="Финансовый 2 2 14 2 12 4" xfId="33187"/>
    <cellStyle name="Финансовый 2 2 14 2 13" xfId="2813"/>
    <cellStyle name="Финансовый 2 2 14 2 13 2" xfId="16860"/>
    <cellStyle name="Финансовый 2 2 14 2 13 2 2" xfId="39175"/>
    <cellStyle name="Финансовый 2 2 14 2 13 3" xfId="11054"/>
    <cellStyle name="Финансовый 2 2 14 2 13 4" xfId="33369"/>
    <cellStyle name="Финансовый 2 2 14 2 14" xfId="3027"/>
    <cellStyle name="Финансовый 2 2 14 2 14 2" xfId="17034"/>
    <cellStyle name="Финансовый 2 2 14 2 14 2 2" xfId="39349"/>
    <cellStyle name="Финансовый 2 2 14 2 14 3" xfId="11228"/>
    <cellStyle name="Финансовый 2 2 14 2 14 4" xfId="33543"/>
    <cellStyle name="Финансовый 2 2 14 2 15" xfId="5955"/>
    <cellStyle name="Финансовый 2 2 14 2 15 2" xfId="18828"/>
    <cellStyle name="Финансовый 2 2 14 2 15 2 2" xfId="41143"/>
    <cellStyle name="Финансовый 2 2 14 2 15 3" xfId="13022"/>
    <cellStyle name="Финансовый 2 2 14 2 15 4" xfId="35337"/>
    <cellStyle name="Финансовый 2 2 14 2 16" xfId="7977"/>
    <cellStyle name="Финансовый 2 2 14 2 16 2" xfId="19930"/>
    <cellStyle name="Финансовый 2 2 14 2 16 2 2" xfId="42245"/>
    <cellStyle name="Финансовый 2 2 14 2 16 3" xfId="14124"/>
    <cellStyle name="Финансовый 2 2 14 2 16 4" xfId="36439"/>
    <cellStyle name="Финансовый 2 2 14 2 17" xfId="6403"/>
    <cellStyle name="Финансовый 2 2 14 2 17 2" xfId="19067"/>
    <cellStyle name="Финансовый 2 2 14 2 17 2 2" xfId="41382"/>
    <cellStyle name="Финансовый 2 2 14 2 17 3" xfId="13261"/>
    <cellStyle name="Финансовый 2 2 14 2 17 4" xfId="35576"/>
    <cellStyle name="Финансовый 2 2 14 2 18" xfId="14818"/>
    <cellStyle name="Финансовый 2 2 14 2 18 2" xfId="37133"/>
    <cellStyle name="Финансовый 2 2 14 2 19" xfId="9012"/>
    <cellStyle name="Финансовый 2 2 14 2 2" xfId="655"/>
    <cellStyle name="Финансовый 2 2 14 2 2 2" xfId="15034"/>
    <cellStyle name="Финансовый 2 2 14 2 2 2 2" xfId="37349"/>
    <cellStyle name="Финансовый 2 2 14 2 2 3" xfId="9228"/>
    <cellStyle name="Финансовый 2 2 14 2 2 4" xfId="31552"/>
    <cellStyle name="Финансовый 2 2 14 2 20" xfId="31345"/>
    <cellStyle name="Финансовый 2 2 14 2 3" xfId="1412"/>
    <cellStyle name="Финансовый 2 2 14 2 3 2" xfId="15656"/>
    <cellStyle name="Финансовый 2 2 14 2 3 2 2" xfId="37971"/>
    <cellStyle name="Финансовый 2 2 14 2 3 3" xfId="9850"/>
    <cellStyle name="Финансовый 2 2 14 2 3 4" xfId="32165"/>
    <cellStyle name="Финансовый 2 2 14 2 4" xfId="1723"/>
    <cellStyle name="Финансовый 2 2 14 2 4 2" xfId="15948"/>
    <cellStyle name="Финансовый 2 2 14 2 4 2 2" xfId="38263"/>
    <cellStyle name="Финансовый 2 2 14 2 4 3" xfId="10142"/>
    <cellStyle name="Финансовый 2 2 14 2 4 4" xfId="32457"/>
    <cellStyle name="Финансовый 2 2 14 2 5" xfId="449"/>
    <cellStyle name="Финансовый 2 2 14 2 5 2" xfId="14852"/>
    <cellStyle name="Финансовый 2 2 14 2 5 2 2" xfId="37167"/>
    <cellStyle name="Финансовый 2 2 14 2 5 3" xfId="9046"/>
    <cellStyle name="Финансовый 2 2 14 2 5 4" xfId="31379"/>
    <cellStyle name="Финансовый 2 2 14 2 6" xfId="1532"/>
    <cellStyle name="Финансовый 2 2 14 2 6 2" xfId="15772"/>
    <cellStyle name="Финансовый 2 2 14 2 6 2 2" xfId="38087"/>
    <cellStyle name="Финансовый 2 2 14 2 6 3" xfId="9966"/>
    <cellStyle name="Финансовый 2 2 14 2 6 4" xfId="32281"/>
    <cellStyle name="Финансовый 2 2 14 2 7" xfId="1314"/>
    <cellStyle name="Финансовый 2 2 14 2 7 2" xfId="15570"/>
    <cellStyle name="Финансовый 2 2 14 2 7 2 2" xfId="37885"/>
    <cellStyle name="Финансовый 2 2 14 2 7 3" xfId="9764"/>
    <cellStyle name="Финансовый 2 2 14 2 7 4" xfId="32079"/>
    <cellStyle name="Финансовый 2 2 14 2 8" xfId="1359"/>
    <cellStyle name="Финансовый 2 2 14 2 8 2" xfId="15609"/>
    <cellStyle name="Финансовый 2 2 14 2 8 2 2" xfId="37924"/>
    <cellStyle name="Финансовый 2 2 14 2 8 3" xfId="9803"/>
    <cellStyle name="Финансовый 2 2 14 2 8 4" xfId="32118"/>
    <cellStyle name="Финансовый 2 2 14 2 9" xfId="1886"/>
    <cellStyle name="Финансовый 2 2 14 2 9 2" xfId="16099"/>
    <cellStyle name="Финансовый 2 2 14 2 9 2 2" xfId="38414"/>
    <cellStyle name="Финансовый 2 2 14 2 9 3" xfId="10293"/>
    <cellStyle name="Финансовый 2 2 14 2 9 4" xfId="32608"/>
    <cellStyle name="Финансовый 2 2 14 20" xfId="5469"/>
    <cellStyle name="Финансовый 2 2 14 20 2" xfId="18569"/>
    <cellStyle name="Финансовый 2 2 14 20 2 2" xfId="40884"/>
    <cellStyle name="Финансовый 2 2 14 20 3" xfId="12763"/>
    <cellStyle name="Финансовый 2 2 14 20 4" xfId="35078"/>
    <cellStyle name="Финансовый 2 2 14 21" xfId="8335"/>
    <cellStyle name="Финансовый 2 2 14 21 2" xfId="20131"/>
    <cellStyle name="Финансовый 2 2 14 21 2 2" xfId="42446"/>
    <cellStyle name="Финансовый 2 2 14 21 3" xfId="14325"/>
    <cellStyle name="Финансовый 2 2 14 21 4" xfId="36640"/>
    <cellStyle name="Финансовый 2 2 14 22" xfId="14599"/>
    <cellStyle name="Финансовый 2 2 14 22 2" xfId="36914"/>
    <cellStyle name="Финансовый 2 2 14 23" xfId="8793"/>
    <cellStyle name="Финансовый 2 2 14 24" xfId="31151"/>
    <cellStyle name="Финансовый 2 2 14 3" xfId="758"/>
    <cellStyle name="Финансовый 2 2 14 3 2" xfId="15136"/>
    <cellStyle name="Финансовый 2 2 14 3 2 2" xfId="37451"/>
    <cellStyle name="Финансовый 2 2 14 3 3" xfId="9330"/>
    <cellStyle name="Финансовый 2 2 14 3 4" xfId="31653"/>
    <cellStyle name="Финансовый 2 2 14 4" xfId="693"/>
    <cellStyle name="Финансовый 2 2 14 4 2" xfId="15072"/>
    <cellStyle name="Финансовый 2 2 14 4 2 2" xfId="37387"/>
    <cellStyle name="Финансовый 2 2 14 4 3" xfId="9266"/>
    <cellStyle name="Финансовый 2 2 14 4 4" xfId="31589"/>
    <cellStyle name="Финансовый 2 2 14 5" xfId="1006"/>
    <cellStyle name="Финансовый 2 2 14 5 2" xfId="15319"/>
    <cellStyle name="Финансовый 2 2 14 5 2 2" xfId="37634"/>
    <cellStyle name="Финансовый 2 2 14 5 3" xfId="9513"/>
    <cellStyle name="Финансовый 2 2 14 5 4" xfId="31832"/>
    <cellStyle name="Финансовый 2 2 14 6" xfId="974"/>
    <cellStyle name="Финансовый 2 2 14 6 2" xfId="15287"/>
    <cellStyle name="Финансовый 2 2 14 6 2 2" xfId="37602"/>
    <cellStyle name="Финансовый 2 2 14 6 3" xfId="9481"/>
    <cellStyle name="Финансовый 2 2 14 6 4" xfId="31801"/>
    <cellStyle name="Финансовый 2 2 14 7" xfId="392"/>
    <cellStyle name="Финансовый 2 2 14 7 2" xfId="14795"/>
    <cellStyle name="Финансовый 2 2 14 7 2 2" xfId="37110"/>
    <cellStyle name="Финансовый 2 2 14 7 3" xfId="8989"/>
    <cellStyle name="Финансовый 2 2 14 7 4" xfId="31322"/>
    <cellStyle name="Финансовый 2 2 14 8" xfId="1682"/>
    <cellStyle name="Финансовый 2 2 14 8 2" xfId="15911"/>
    <cellStyle name="Финансовый 2 2 14 8 2 2" xfId="38226"/>
    <cellStyle name="Финансовый 2 2 14 8 3" xfId="10105"/>
    <cellStyle name="Финансовый 2 2 14 8 4" xfId="32420"/>
    <cellStyle name="Финансовый 2 2 14 9" xfId="1753"/>
    <cellStyle name="Финансовый 2 2 14 9 2" xfId="15976"/>
    <cellStyle name="Финансовый 2 2 14 9 2 2" xfId="38291"/>
    <cellStyle name="Финансовый 2 2 14 9 3" xfId="10170"/>
    <cellStyle name="Финансовый 2 2 14 9 4" xfId="32485"/>
    <cellStyle name="Финансовый 2 2 15" xfId="75"/>
    <cellStyle name="Финансовый 2 2 15 10" xfId="1522"/>
    <cellStyle name="Финансовый 2 2 15 10 2" xfId="15762"/>
    <cellStyle name="Финансовый 2 2 15 10 2 2" xfId="38077"/>
    <cellStyle name="Финансовый 2 2 15 10 3" xfId="9956"/>
    <cellStyle name="Финансовый 2 2 15 10 4" xfId="32271"/>
    <cellStyle name="Финансовый 2 2 15 11" xfId="1478"/>
    <cellStyle name="Финансовый 2 2 15 11 2" xfId="15720"/>
    <cellStyle name="Финансовый 2 2 15 11 2 2" xfId="38035"/>
    <cellStyle name="Финансовый 2 2 15 11 3" xfId="9914"/>
    <cellStyle name="Финансовый 2 2 15 11 4" xfId="32229"/>
    <cellStyle name="Финансовый 2 2 15 12" xfId="1798"/>
    <cellStyle name="Финансовый 2 2 15 12 2" xfId="16017"/>
    <cellStyle name="Финансовый 2 2 15 12 2 2" xfId="38332"/>
    <cellStyle name="Финансовый 2 2 15 12 3" xfId="10211"/>
    <cellStyle name="Финансовый 2 2 15 12 4" xfId="32526"/>
    <cellStyle name="Финансовый 2 2 15 13" xfId="2036"/>
    <cellStyle name="Финансовый 2 2 15 13 2" xfId="16213"/>
    <cellStyle name="Финансовый 2 2 15 13 2 2" xfId="38528"/>
    <cellStyle name="Финансовый 2 2 15 13 3" xfId="10407"/>
    <cellStyle name="Финансовый 2 2 15 13 4" xfId="32722"/>
    <cellStyle name="Финансовый 2 2 15 14" xfId="2271"/>
    <cellStyle name="Финансовый 2 2 15 14 2" xfId="16406"/>
    <cellStyle name="Финансовый 2 2 15 14 2 2" xfId="38721"/>
    <cellStyle name="Финансовый 2 2 15 14 3" xfId="10600"/>
    <cellStyle name="Финансовый 2 2 15 14 4" xfId="32915"/>
    <cellStyle name="Финансовый 2 2 15 15" xfId="2505"/>
    <cellStyle name="Финансовый 2 2 15 15 2" xfId="16598"/>
    <cellStyle name="Финансовый 2 2 15 15 2 2" xfId="38913"/>
    <cellStyle name="Финансовый 2 2 15 15 3" xfId="10792"/>
    <cellStyle name="Финансовый 2 2 15 15 4" xfId="33107"/>
    <cellStyle name="Финансовый 2 2 15 16" xfId="2733"/>
    <cellStyle name="Финансовый 2 2 15 16 2" xfId="16785"/>
    <cellStyle name="Финансовый 2 2 15 16 2 2" xfId="39100"/>
    <cellStyle name="Финансовый 2 2 15 16 3" xfId="10979"/>
    <cellStyle name="Финансовый 2 2 15 16 4" xfId="33294"/>
    <cellStyle name="Финансовый 2 2 15 17" xfId="2953"/>
    <cellStyle name="Финансовый 2 2 15 17 2" xfId="16965"/>
    <cellStyle name="Финансовый 2 2 15 17 2 2" xfId="39280"/>
    <cellStyle name="Финансовый 2 2 15 17 3" xfId="11159"/>
    <cellStyle name="Финансовый 2 2 15 17 4" xfId="33474"/>
    <cellStyle name="Финансовый 2 2 15 18" xfId="3162"/>
    <cellStyle name="Финансовый 2 2 15 18 2" xfId="17135"/>
    <cellStyle name="Финансовый 2 2 15 18 2 2" xfId="39450"/>
    <cellStyle name="Финансовый 2 2 15 18 3" xfId="11329"/>
    <cellStyle name="Финансовый 2 2 15 18 4" xfId="33644"/>
    <cellStyle name="Финансовый 2 2 15 19" xfId="4263"/>
    <cellStyle name="Финансовый 2 2 15 19 2" xfId="17901"/>
    <cellStyle name="Финансовый 2 2 15 19 2 2" xfId="40216"/>
    <cellStyle name="Финансовый 2 2 15 19 3" xfId="12095"/>
    <cellStyle name="Финансовый 2 2 15 19 4" xfId="34410"/>
    <cellStyle name="Финансовый 2 2 15 2" xfId="420"/>
    <cellStyle name="Финансовый 2 2 15 2 10" xfId="2919"/>
    <cellStyle name="Финансовый 2 2 15 2 10 2" xfId="16933"/>
    <cellStyle name="Финансовый 2 2 15 2 10 2 2" xfId="39248"/>
    <cellStyle name="Финансовый 2 2 15 2 10 3" xfId="11127"/>
    <cellStyle name="Финансовый 2 2 15 2 10 4" xfId="33442"/>
    <cellStyle name="Финансовый 2 2 15 2 11" xfId="3130"/>
    <cellStyle name="Финансовый 2 2 15 2 11 2" xfId="17105"/>
    <cellStyle name="Финансовый 2 2 15 2 11 2 2" xfId="39420"/>
    <cellStyle name="Финансовый 2 2 15 2 11 3" xfId="11299"/>
    <cellStyle name="Финансовый 2 2 15 2 11 4" xfId="33614"/>
    <cellStyle name="Финансовый 2 2 15 2 12" xfId="3327"/>
    <cellStyle name="Финансовый 2 2 15 2 12 2" xfId="17263"/>
    <cellStyle name="Финансовый 2 2 15 2 12 2 2" xfId="39578"/>
    <cellStyle name="Финансовый 2 2 15 2 12 3" xfId="11457"/>
    <cellStyle name="Финансовый 2 2 15 2 12 4" xfId="33772"/>
    <cellStyle name="Финансовый 2 2 15 2 13" xfId="3511"/>
    <cellStyle name="Финансовый 2 2 15 2 13 2" xfId="17408"/>
    <cellStyle name="Финансовый 2 2 15 2 13 2 2" xfId="39723"/>
    <cellStyle name="Финансовый 2 2 15 2 13 3" xfId="11602"/>
    <cellStyle name="Финансовый 2 2 15 2 13 4" xfId="33917"/>
    <cellStyle name="Финансовый 2 2 15 2 14" xfId="3678"/>
    <cellStyle name="Финансовый 2 2 15 2 14 2" xfId="17537"/>
    <cellStyle name="Финансовый 2 2 15 2 14 2 2" xfId="39852"/>
    <cellStyle name="Финансовый 2 2 15 2 14 3" xfId="11731"/>
    <cellStyle name="Финансовый 2 2 15 2 14 4" xfId="34046"/>
    <cellStyle name="Финансовый 2 2 15 2 15" xfId="8619"/>
    <cellStyle name="Финансовый 2 2 15 2 15 2" xfId="20296"/>
    <cellStyle name="Финансовый 2 2 15 2 15 2 2" xfId="42611"/>
    <cellStyle name="Финансовый 2 2 15 2 15 3" xfId="14490"/>
    <cellStyle name="Финансовый 2 2 15 2 15 4" xfId="36805"/>
    <cellStyle name="Финансовый 2 2 15 2 16" xfId="6287"/>
    <cellStyle name="Финансовый 2 2 15 2 16 2" xfId="19004"/>
    <cellStyle name="Финансовый 2 2 15 2 16 2 2" xfId="41319"/>
    <cellStyle name="Финансовый 2 2 15 2 16 3" xfId="13198"/>
    <cellStyle name="Финансовый 2 2 15 2 16 4" xfId="35513"/>
    <cellStyle name="Финансовый 2 2 15 2 17" xfId="6787"/>
    <cellStyle name="Финансовый 2 2 15 2 17 2" xfId="19273"/>
    <cellStyle name="Финансовый 2 2 15 2 17 2 2" xfId="41588"/>
    <cellStyle name="Финансовый 2 2 15 2 17 3" xfId="13467"/>
    <cellStyle name="Финансовый 2 2 15 2 17 4" xfId="35782"/>
    <cellStyle name="Финансовый 2 2 15 2 18" xfId="14823"/>
    <cellStyle name="Финансовый 2 2 15 2 18 2" xfId="37138"/>
    <cellStyle name="Финансовый 2 2 15 2 19" xfId="9017"/>
    <cellStyle name="Финансовый 2 2 15 2 2" xfId="658"/>
    <cellStyle name="Финансовый 2 2 15 2 2 2" xfId="15037"/>
    <cellStyle name="Финансовый 2 2 15 2 2 2 2" xfId="37352"/>
    <cellStyle name="Финансовый 2 2 15 2 2 3" xfId="9231"/>
    <cellStyle name="Финансовый 2 2 15 2 2 4" xfId="31555"/>
    <cellStyle name="Финансовый 2 2 15 2 20" xfId="31350"/>
    <cellStyle name="Финансовый 2 2 15 2 3" xfId="1415"/>
    <cellStyle name="Финансовый 2 2 15 2 3 2" xfId="15658"/>
    <cellStyle name="Финансовый 2 2 15 2 3 2 2" xfId="37973"/>
    <cellStyle name="Финансовый 2 2 15 2 3 3" xfId="9852"/>
    <cellStyle name="Финансовый 2 2 15 2 3 4" xfId="32167"/>
    <cellStyle name="Финансовый 2 2 15 2 4" xfId="1707"/>
    <cellStyle name="Финансовый 2 2 15 2 4 2" xfId="15933"/>
    <cellStyle name="Финансовый 2 2 15 2 4 2 2" xfId="38248"/>
    <cellStyle name="Финансовый 2 2 15 2 4 3" xfId="10127"/>
    <cellStyle name="Финансовый 2 2 15 2 4 4" xfId="32442"/>
    <cellStyle name="Финансовый 2 2 15 2 5" xfId="1761"/>
    <cellStyle name="Финансовый 2 2 15 2 5 2" xfId="15982"/>
    <cellStyle name="Финансовый 2 2 15 2 5 2 2" xfId="38297"/>
    <cellStyle name="Финансовый 2 2 15 2 5 3" xfId="10176"/>
    <cellStyle name="Финансовый 2 2 15 2 5 4" xfId="32491"/>
    <cellStyle name="Финансовый 2 2 15 2 6" xfId="1999"/>
    <cellStyle name="Финансовый 2 2 15 2 6 2" xfId="16178"/>
    <cellStyle name="Финансовый 2 2 15 2 6 2 2" xfId="38493"/>
    <cellStyle name="Финансовый 2 2 15 2 6 3" xfId="10372"/>
    <cellStyle name="Финансовый 2 2 15 2 6 4" xfId="32687"/>
    <cellStyle name="Финансовый 2 2 15 2 7" xfId="2235"/>
    <cellStyle name="Финансовый 2 2 15 2 7 2" xfId="16372"/>
    <cellStyle name="Финансовый 2 2 15 2 7 2 2" xfId="38687"/>
    <cellStyle name="Финансовый 2 2 15 2 7 3" xfId="10566"/>
    <cellStyle name="Финансовый 2 2 15 2 7 4" xfId="32881"/>
    <cellStyle name="Финансовый 2 2 15 2 8" xfId="2469"/>
    <cellStyle name="Финансовый 2 2 15 2 8 2" xfId="16564"/>
    <cellStyle name="Финансовый 2 2 15 2 8 2 2" xfId="38879"/>
    <cellStyle name="Финансовый 2 2 15 2 8 3" xfId="10758"/>
    <cellStyle name="Финансовый 2 2 15 2 8 4" xfId="33073"/>
    <cellStyle name="Финансовый 2 2 15 2 9" xfId="2698"/>
    <cellStyle name="Финансовый 2 2 15 2 9 2" xfId="16752"/>
    <cellStyle name="Финансовый 2 2 15 2 9 2 2" xfId="39067"/>
    <cellStyle name="Финансовый 2 2 15 2 9 3" xfId="10946"/>
    <cellStyle name="Финансовый 2 2 15 2 9 4" xfId="33261"/>
    <cellStyle name="Финансовый 2 2 15 20" xfId="6249"/>
    <cellStyle name="Финансовый 2 2 15 20 2" xfId="18986"/>
    <cellStyle name="Финансовый 2 2 15 20 2 2" xfId="41301"/>
    <cellStyle name="Финансовый 2 2 15 20 3" xfId="13180"/>
    <cellStyle name="Финансовый 2 2 15 20 4" xfId="35495"/>
    <cellStyle name="Финансовый 2 2 15 21" xfId="5318"/>
    <cellStyle name="Финансовый 2 2 15 21 2" xfId="18485"/>
    <cellStyle name="Финансовый 2 2 15 21 2 2" xfId="40800"/>
    <cellStyle name="Финансовый 2 2 15 21 3" xfId="12679"/>
    <cellStyle name="Финансовый 2 2 15 21 4" xfId="34994"/>
    <cellStyle name="Финансовый 2 2 15 22" xfId="14603"/>
    <cellStyle name="Финансовый 2 2 15 22 2" xfId="36918"/>
    <cellStyle name="Финансовый 2 2 15 23" xfId="8797"/>
    <cellStyle name="Финансовый 2 2 15 24" xfId="31153"/>
    <cellStyle name="Финансовый 2 2 15 3" xfId="741"/>
    <cellStyle name="Финансовый 2 2 15 3 2" xfId="15119"/>
    <cellStyle name="Финансовый 2 2 15 3 2 2" xfId="37434"/>
    <cellStyle name="Финансовый 2 2 15 3 3" xfId="9313"/>
    <cellStyle name="Финансовый 2 2 15 3 4" xfId="31636"/>
    <cellStyle name="Финансовый 2 2 15 4" xfId="859"/>
    <cellStyle name="Финансовый 2 2 15 4 2" xfId="15199"/>
    <cellStyle name="Финансовый 2 2 15 4 2 2" xfId="37514"/>
    <cellStyle name="Финансовый 2 2 15 4 3" xfId="9393"/>
    <cellStyle name="Финансовый 2 2 15 4 4" xfId="31715"/>
    <cellStyle name="Финансовый 2 2 15 5" xfId="1009"/>
    <cellStyle name="Финансовый 2 2 15 5 2" xfId="15322"/>
    <cellStyle name="Финансовый 2 2 15 5 2 2" xfId="37637"/>
    <cellStyle name="Финансовый 2 2 15 5 3" xfId="9516"/>
    <cellStyle name="Финансовый 2 2 15 5 4" xfId="31835"/>
    <cellStyle name="Финансовый 2 2 15 6" xfId="1075"/>
    <cellStyle name="Финансовый 2 2 15 6 2" xfId="15388"/>
    <cellStyle name="Финансовый 2 2 15 6 2 2" xfId="37703"/>
    <cellStyle name="Финансовый 2 2 15 6 3" xfId="9582"/>
    <cellStyle name="Финансовый 2 2 15 6 4" xfId="31901"/>
    <cellStyle name="Финансовый 2 2 15 7" xfId="379"/>
    <cellStyle name="Финансовый 2 2 15 7 2" xfId="14782"/>
    <cellStyle name="Финансовый 2 2 15 7 2 2" xfId="37097"/>
    <cellStyle name="Финансовый 2 2 15 7 3" xfId="8976"/>
    <cellStyle name="Финансовый 2 2 15 7 4" xfId="31309"/>
    <cellStyle name="Финансовый 2 2 15 8" xfId="1286"/>
    <cellStyle name="Финансовый 2 2 15 8 2" xfId="15544"/>
    <cellStyle name="Финансовый 2 2 15 8 2 2" xfId="37859"/>
    <cellStyle name="Финансовый 2 2 15 8 3" xfId="9738"/>
    <cellStyle name="Финансовый 2 2 15 8 4" xfId="32053"/>
    <cellStyle name="Финансовый 2 2 15 9" xfId="1595"/>
    <cellStyle name="Финансовый 2 2 15 9 2" xfId="15832"/>
    <cellStyle name="Финансовый 2 2 15 9 2 2" xfId="38147"/>
    <cellStyle name="Финансовый 2 2 15 9 3" xfId="10026"/>
    <cellStyle name="Финансовый 2 2 15 9 4" xfId="32341"/>
    <cellStyle name="Финансовый 2 2 16" xfId="80"/>
    <cellStyle name="Финансовый 2 2 16 10" xfId="1893"/>
    <cellStyle name="Финансовый 2 2 16 10 2" xfId="16106"/>
    <cellStyle name="Финансовый 2 2 16 10 2 2" xfId="38421"/>
    <cellStyle name="Финансовый 2 2 16 10 3" xfId="10300"/>
    <cellStyle name="Финансовый 2 2 16 10 4" xfId="32615"/>
    <cellStyle name="Финансовый 2 2 16 11" xfId="2131"/>
    <cellStyle name="Финансовый 2 2 16 11 2" xfId="16302"/>
    <cellStyle name="Финансовый 2 2 16 11 2 2" xfId="38617"/>
    <cellStyle name="Финансовый 2 2 16 11 3" xfId="10496"/>
    <cellStyle name="Финансовый 2 2 16 11 4" xfId="32811"/>
    <cellStyle name="Финансовый 2 2 16 12" xfId="2366"/>
    <cellStyle name="Финансовый 2 2 16 12 2" xfId="16495"/>
    <cellStyle name="Финансовый 2 2 16 12 2 2" xfId="38810"/>
    <cellStyle name="Финансовый 2 2 16 12 3" xfId="10689"/>
    <cellStyle name="Финансовый 2 2 16 12 4" xfId="33004"/>
    <cellStyle name="Финансовый 2 2 16 13" xfId="2598"/>
    <cellStyle name="Финансовый 2 2 16 13 2" xfId="16685"/>
    <cellStyle name="Финансовый 2 2 16 13 2 2" xfId="39000"/>
    <cellStyle name="Финансовый 2 2 16 13 3" xfId="10879"/>
    <cellStyle name="Финансовый 2 2 16 13 4" xfId="33194"/>
    <cellStyle name="Финансовый 2 2 16 14" xfId="2820"/>
    <cellStyle name="Финансовый 2 2 16 14 2" xfId="16867"/>
    <cellStyle name="Финансовый 2 2 16 14 2 2" xfId="39182"/>
    <cellStyle name="Финансовый 2 2 16 14 3" xfId="11061"/>
    <cellStyle name="Финансовый 2 2 16 14 4" xfId="33376"/>
    <cellStyle name="Финансовый 2 2 16 15" xfId="3033"/>
    <cellStyle name="Финансовый 2 2 16 15 2" xfId="17040"/>
    <cellStyle name="Финансовый 2 2 16 15 2 2" xfId="39355"/>
    <cellStyle name="Финансовый 2 2 16 15 3" xfId="11234"/>
    <cellStyle name="Финансовый 2 2 16 15 4" xfId="33549"/>
    <cellStyle name="Финансовый 2 2 16 16" xfId="3234"/>
    <cellStyle name="Финансовый 2 2 16 16 2" xfId="17202"/>
    <cellStyle name="Финансовый 2 2 16 16 2 2" xfId="39517"/>
    <cellStyle name="Финансовый 2 2 16 16 3" xfId="11396"/>
    <cellStyle name="Финансовый 2 2 16 16 4" xfId="33711"/>
    <cellStyle name="Финансовый 2 2 16 17" xfId="3421"/>
    <cellStyle name="Финансовый 2 2 16 17 2" xfId="17350"/>
    <cellStyle name="Финансовый 2 2 16 17 2 2" xfId="39665"/>
    <cellStyle name="Финансовый 2 2 16 17 3" xfId="11544"/>
    <cellStyle name="Финансовый 2 2 16 17 4" xfId="33859"/>
    <cellStyle name="Финансовый 2 2 16 18" xfId="3594"/>
    <cellStyle name="Финансовый 2 2 16 18 2" xfId="17485"/>
    <cellStyle name="Финансовый 2 2 16 18 2 2" xfId="39800"/>
    <cellStyle name="Финансовый 2 2 16 18 3" xfId="11679"/>
    <cellStyle name="Финансовый 2 2 16 18 4" xfId="33994"/>
    <cellStyle name="Финансовый 2 2 16 19" xfId="4211"/>
    <cellStyle name="Финансовый 2 2 16 19 2" xfId="17873"/>
    <cellStyle name="Финансовый 2 2 16 19 2 2" xfId="40188"/>
    <cellStyle name="Финансовый 2 2 16 19 3" xfId="12067"/>
    <cellStyle name="Финансовый 2 2 16 19 4" xfId="34382"/>
    <cellStyle name="Финансовый 2 2 16 2" xfId="425"/>
    <cellStyle name="Финансовый 2 2 16 2 10" xfId="2028"/>
    <cellStyle name="Финансовый 2 2 16 2 10 2" xfId="16205"/>
    <cellStyle name="Финансовый 2 2 16 2 10 2 2" xfId="38520"/>
    <cellStyle name="Финансовый 2 2 16 2 10 3" xfId="10399"/>
    <cellStyle name="Финансовый 2 2 16 2 10 4" xfId="32714"/>
    <cellStyle name="Финансовый 2 2 16 2 11" xfId="2263"/>
    <cellStyle name="Финансовый 2 2 16 2 11 2" xfId="16398"/>
    <cellStyle name="Финансовый 2 2 16 2 11 2 2" xfId="38713"/>
    <cellStyle name="Финансовый 2 2 16 2 11 3" xfId="10592"/>
    <cellStyle name="Финансовый 2 2 16 2 11 4" xfId="32907"/>
    <cellStyle name="Финансовый 2 2 16 2 12" xfId="2497"/>
    <cellStyle name="Финансовый 2 2 16 2 12 2" xfId="16590"/>
    <cellStyle name="Финансовый 2 2 16 2 12 2 2" xfId="38905"/>
    <cellStyle name="Финансовый 2 2 16 2 12 3" xfId="10784"/>
    <cellStyle name="Финансовый 2 2 16 2 12 4" xfId="33099"/>
    <cellStyle name="Финансовый 2 2 16 2 13" xfId="2725"/>
    <cellStyle name="Финансовый 2 2 16 2 13 2" xfId="16777"/>
    <cellStyle name="Финансовый 2 2 16 2 13 2 2" xfId="39092"/>
    <cellStyle name="Финансовый 2 2 16 2 13 3" xfId="10971"/>
    <cellStyle name="Финансовый 2 2 16 2 13 4" xfId="33286"/>
    <cellStyle name="Финансовый 2 2 16 2 14" xfId="2945"/>
    <cellStyle name="Финансовый 2 2 16 2 14 2" xfId="16957"/>
    <cellStyle name="Финансовый 2 2 16 2 14 2 2" xfId="39272"/>
    <cellStyle name="Финансовый 2 2 16 2 14 3" xfId="11151"/>
    <cellStyle name="Финансовый 2 2 16 2 14 4" xfId="33466"/>
    <cellStyle name="Финансовый 2 2 16 2 15" xfId="5321"/>
    <cellStyle name="Финансовый 2 2 16 2 15 2" xfId="18487"/>
    <cellStyle name="Финансовый 2 2 16 2 15 2 2" xfId="40802"/>
    <cellStyle name="Финансовый 2 2 16 2 15 3" xfId="12681"/>
    <cellStyle name="Финансовый 2 2 16 2 15 4" xfId="34996"/>
    <cellStyle name="Финансовый 2 2 16 2 16" xfId="4676"/>
    <cellStyle name="Финансовый 2 2 16 2 16 2" xfId="18130"/>
    <cellStyle name="Финансовый 2 2 16 2 16 2 2" xfId="40445"/>
    <cellStyle name="Финансовый 2 2 16 2 16 3" xfId="12324"/>
    <cellStyle name="Финансовый 2 2 16 2 16 4" xfId="34639"/>
    <cellStyle name="Финансовый 2 2 16 2 17" xfId="6163"/>
    <cellStyle name="Финансовый 2 2 16 2 17 2" xfId="18940"/>
    <cellStyle name="Финансовый 2 2 16 2 17 2 2" xfId="41255"/>
    <cellStyle name="Финансовый 2 2 16 2 17 3" xfId="13134"/>
    <cellStyle name="Финансовый 2 2 16 2 17 4" xfId="35449"/>
    <cellStyle name="Финансовый 2 2 16 2 18" xfId="14828"/>
    <cellStyle name="Финансовый 2 2 16 2 18 2" xfId="37143"/>
    <cellStyle name="Финансовый 2 2 16 2 19" xfId="9022"/>
    <cellStyle name="Финансовый 2 2 16 2 2" xfId="663"/>
    <cellStyle name="Финансовый 2 2 16 2 2 2" xfId="15042"/>
    <cellStyle name="Финансовый 2 2 16 2 2 2 2" xfId="37357"/>
    <cellStyle name="Финансовый 2 2 16 2 2 3" xfId="9236"/>
    <cellStyle name="Финансовый 2 2 16 2 2 4" xfId="31560"/>
    <cellStyle name="Финансовый 2 2 16 2 20" xfId="31355"/>
    <cellStyle name="Финансовый 2 2 16 2 3" xfId="1419"/>
    <cellStyle name="Финансовый 2 2 16 2 3 2" xfId="15662"/>
    <cellStyle name="Финансовый 2 2 16 2 3 2 2" xfId="37977"/>
    <cellStyle name="Финансовый 2 2 16 2 3 3" xfId="9856"/>
    <cellStyle name="Финансовый 2 2 16 2 3 4" xfId="32171"/>
    <cellStyle name="Финансовый 2 2 16 2 4" xfId="1341"/>
    <cellStyle name="Финансовый 2 2 16 2 4 2" xfId="15594"/>
    <cellStyle name="Финансовый 2 2 16 2 4 2 2" xfId="37909"/>
    <cellStyle name="Финансовый 2 2 16 2 4 3" xfId="9788"/>
    <cellStyle name="Финансовый 2 2 16 2 4 4" xfId="32103"/>
    <cellStyle name="Финансовый 2 2 16 2 5" xfId="468"/>
    <cellStyle name="Финансовый 2 2 16 2 5 2" xfId="14871"/>
    <cellStyle name="Финансовый 2 2 16 2 5 2 2" xfId="37186"/>
    <cellStyle name="Финансовый 2 2 16 2 5 3" xfId="9065"/>
    <cellStyle name="Финансовый 2 2 16 2 5 4" xfId="31398"/>
    <cellStyle name="Финансовый 2 2 16 2 6" xfId="1537"/>
    <cellStyle name="Финансовый 2 2 16 2 6 2" xfId="15777"/>
    <cellStyle name="Финансовый 2 2 16 2 6 2 2" xfId="38092"/>
    <cellStyle name="Финансовый 2 2 16 2 6 3" xfId="9971"/>
    <cellStyle name="Финансовый 2 2 16 2 6 4" xfId="32286"/>
    <cellStyle name="Финансовый 2 2 16 2 7" xfId="1554"/>
    <cellStyle name="Финансовый 2 2 16 2 7 2" xfId="15794"/>
    <cellStyle name="Финансовый 2 2 16 2 7 2 2" xfId="38109"/>
    <cellStyle name="Финансовый 2 2 16 2 7 3" xfId="9988"/>
    <cellStyle name="Финансовый 2 2 16 2 7 4" xfId="32303"/>
    <cellStyle name="Финансовый 2 2 16 2 8" xfId="1297"/>
    <cellStyle name="Финансовый 2 2 16 2 8 2" xfId="15554"/>
    <cellStyle name="Финансовый 2 2 16 2 8 2 2" xfId="37869"/>
    <cellStyle name="Финансовый 2 2 16 2 8 3" xfId="9748"/>
    <cellStyle name="Финансовый 2 2 16 2 8 4" xfId="32063"/>
    <cellStyle name="Финансовый 2 2 16 2 9" xfId="1790"/>
    <cellStyle name="Финансовый 2 2 16 2 9 2" xfId="16009"/>
    <cellStyle name="Финансовый 2 2 16 2 9 2 2" xfId="38324"/>
    <cellStyle name="Финансовый 2 2 16 2 9 3" xfId="10203"/>
    <cellStyle name="Финансовый 2 2 16 2 9 4" xfId="32518"/>
    <cellStyle name="Финансовый 2 2 16 20" xfId="5959"/>
    <cellStyle name="Финансовый 2 2 16 20 2" xfId="18830"/>
    <cellStyle name="Финансовый 2 2 16 20 2 2" xfId="41145"/>
    <cellStyle name="Финансовый 2 2 16 20 3" xfId="13024"/>
    <cellStyle name="Финансовый 2 2 16 20 4" xfId="35339"/>
    <cellStyle name="Финансовый 2 2 16 21" xfId="4226"/>
    <cellStyle name="Финансовый 2 2 16 21 2" xfId="17880"/>
    <cellStyle name="Финансовый 2 2 16 21 2 2" xfId="40195"/>
    <cellStyle name="Финансовый 2 2 16 21 3" xfId="12074"/>
    <cellStyle name="Финансовый 2 2 16 21 4" xfId="34389"/>
    <cellStyle name="Финансовый 2 2 16 22" xfId="14607"/>
    <cellStyle name="Финансовый 2 2 16 22 2" xfId="36922"/>
    <cellStyle name="Финансовый 2 2 16 23" xfId="8801"/>
    <cellStyle name="Финансовый 2 2 16 24" xfId="31155"/>
    <cellStyle name="Финансовый 2 2 16 3" xfId="724"/>
    <cellStyle name="Финансовый 2 2 16 3 2" xfId="15103"/>
    <cellStyle name="Финансовый 2 2 16 3 2 2" xfId="37418"/>
    <cellStyle name="Финансовый 2 2 16 3 3" xfId="9297"/>
    <cellStyle name="Финансовый 2 2 16 3 4" xfId="31620"/>
    <cellStyle name="Финансовый 2 2 16 4" xfId="843"/>
    <cellStyle name="Финансовый 2 2 16 4 2" xfId="15183"/>
    <cellStyle name="Финансовый 2 2 16 4 2 2" xfId="37498"/>
    <cellStyle name="Финансовый 2 2 16 4 3" xfId="9377"/>
    <cellStyle name="Финансовый 2 2 16 4 4" xfId="31699"/>
    <cellStyle name="Финансовый 2 2 16 5" xfId="1012"/>
    <cellStyle name="Финансовый 2 2 16 5 2" xfId="15325"/>
    <cellStyle name="Финансовый 2 2 16 5 2 2" xfId="37640"/>
    <cellStyle name="Финансовый 2 2 16 5 3" xfId="9519"/>
    <cellStyle name="Финансовый 2 2 16 5 4" xfId="31838"/>
    <cellStyle name="Финансовый 2 2 16 6" xfId="1059"/>
    <cellStyle name="Финансовый 2 2 16 6 2" xfId="15372"/>
    <cellStyle name="Финансовый 2 2 16 6 2 2" xfId="37687"/>
    <cellStyle name="Финансовый 2 2 16 6 3" xfId="9566"/>
    <cellStyle name="Финансовый 2 2 16 6 4" xfId="31885"/>
    <cellStyle name="Финансовый 2 2 16 7" xfId="531"/>
    <cellStyle name="Финансовый 2 2 16 7 2" xfId="14932"/>
    <cellStyle name="Финансовый 2 2 16 7 2 2" xfId="37247"/>
    <cellStyle name="Финансовый 2 2 16 7 3" xfId="9126"/>
    <cellStyle name="Финансовый 2 2 16 7 4" xfId="31459"/>
    <cellStyle name="Финансовый 2 2 16 8" xfId="1266"/>
    <cellStyle name="Финансовый 2 2 16 8 2" xfId="15526"/>
    <cellStyle name="Финансовый 2 2 16 8 2 2" xfId="37841"/>
    <cellStyle name="Финансовый 2 2 16 8 3" xfId="9720"/>
    <cellStyle name="Финансовый 2 2 16 8 4" xfId="32035"/>
    <cellStyle name="Финансовый 2 2 16 9" xfId="1608"/>
    <cellStyle name="Финансовый 2 2 16 9 2" xfId="15842"/>
    <cellStyle name="Финансовый 2 2 16 9 2 2" xfId="38157"/>
    <cellStyle name="Финансовый 2 2 16 9 3" xfId="10036"/>
    <cellStyle name="Финансовый 2 2 16 9 4" xfId="32351"/>
    <cellStyle name="Финансовый 2 2 17" xfId="85"/>
    <cellStyle name="Финансовый 2 2 17 10" xfId="1425"/>
    <cellStyle name="Финансовый 2 2 17 10 2" xfId="15668"/>
    <cellStyle name="Финансовый 2 2 17 10 2 2" xfId="37983"/>
    <cellStyle name="Финансовый 2 2 17 10 3" xfId="9862"/>
    <cellStyle name="Финансовый 2 2 17 10 4" xfId="32177"/>
    <cellStyle name="Финансовый 2 2 17 11" xfId="1680"/>
    <cellStyle name="Финансовый 2 2 17 11 2" xfId="15909"/>
    <cellStyle name="Финансовый 2 2 17 11 2 2" xfId="38224"/>
    <cellStyle name="Финансовый 2 2 17 11 3" xfId="10103"/>
    <cellStyle name="Финансовый 2 2 17 11 4" xfId="32418"/>
    <cellStyle name="Финансовый 2 2 17 12" xfId="1441"/>
    <cellStyle name="Финансовый 2 2 17 12 2" xfId="15684"/>
    <cellStyle name="Финансовый 2 2 17 12 2 2" xfId="37999"/>
    <cellStyle name="Финансовый 2 2 17 12 3" xfId="9878"/>
    <cellStyle name="Финансовый 2 2 17 12 4" xfId="32193"/>
    <cellStyle name="Финансовый 2 2 17 13" xfId="1674"/>
    <cellStyle name="Финансовый 2 2 17 13 2" xfId="15903"/>
    <cellStyle name="Финансовый 2 2 17 13 2 2" xfId="38218"/>
    <cellStyle name="Финансовый 2 2 17 13 3" xfId="10097"/>
    <cellStyle name="Финансовый 2 2 17 13 4" xfId="32412"/>
    <cellStyle name="Финансовый 2 2 17 14" xfId="469"/>
    <cellStyle name="Финансовый 2 2 17 14 2" xfId="14872"/>
    <cellStyle name="Финансовый 2 2 17 14 2 2" xfId="37187"/>
    <cellStyle name="Финансовый 2 2 17 14 3" xfId="9066"/>
    <cellStyle name="Финансовый 2 2 17 14 4" xfId="31399"/>
    <cellStyle name="Финансовый 2 2 17 15" xfId="1884"/>
    <cellStyle name="Финансовый 2 2 17 15 2" xfId="16097"/>
    <cellStyle name="Финансовый 2 2 17 15 2 2" xfId="38412"/>
    <cellStyle name="Финансовый 2 2 17 15 3" xfId="10291"/>
    <cellStyle name="Финансовый 2 2 17 15 4" xfId="32606"/>
    <cellStyle name="Финансовый 2 2 17 16" xfId="2122"/>
    <cellStyle name="Финансовый 2 2 17 16 2" xfId="16293"/>
    <cellStyle name="Финансовый 2 2 17 16 2 2" xfId="38608"/>
    <cellStyle name="Финансовый 2 2 17 16 3" xfId="10487"/>
    <cellStyle name="Финансовый 2 2 17 16 4" xfId="32802"/>
    <cellStyle name="Финансовый 2 2 17 17" xfId="2357"/>
    <cellStyle name="Финансовый 2 2 17 17 2" xfId="16486"/>
    <cellStyle name="Финансовый 2 2 17 17 2 2" xfId="38801"/>
    <cellStyle name="Финансовый 2 2 17 17 3" xfId="10680"/>
    <cellStyle name="Финансовый 2 2 17 17 4" xfId="32995"/>
    <cellStyle name="Финансовый 2 2 17 18" xfId="2589"/>
    <cellStyle name="Финансовый 2 2 17 18 2" xfId="16676"/>
    <cellStyle name="Финансовый 2 2 17 18 2 2" xfId="38991"/>
    <cellStyle name="Финансовый 2 2 17 18 3" xfId="10870"/>
    <cellStyle name="Финансовый 2 2 17 18 4" xfId="33185"/>
    <cellStyle name="Финансовый 2 2 17 19" xfId="6236"/>
    <cellStyle name="Финансовый 2 2 17 19 2" xfId="18979"/>
    <cellStyle name="Финансовый 2 2 17 19 2 2" xfId="41294"/>
    <cellStyle name="Финансовый 2 2 17 19 3" xfId="13173"/>
    <cellStyle name="Финансовый 2 2 17 19 4" xfId="35488"/>
    <cellStyle name="Финансовый 2 2 17 2" xfId="430"/>
    <cellStyle name="Финансовый 2 2 17 2 10" xfId="3231"/>
    <cellStyle name="Финансовый 2 2 17 2 10 2" xfId="17199"/>
    <cellStyle name="Финансовый 2 2 17 2 10 2 2" xfId="39514"/>
    <cellStyle name="Финансовый 2 2 17 2 10 3" xfId="11393"/>
    <cellStyle name="Финансовый 2 2 17 2 10 4" xfId="33708"/>
    <cellStyle name="Финансовый 2 2 17 2 11" xfId="3418"/>
    <cellStyle name="Финансовый 2 2 17 2 11 2" xfId="17347"/>
    <cellStyle name="Финансовый 2 2 17 2 11 2 2" xfId="39662"/>
    <cellStyle name="Финансовый 2 2 17 2 11 3" xfId="11541"/>
    <cellStyle name="Финансовый 2 2 17 2 11 4" xfId="33856"/>
    <cellStyle name="Финансовый 2 2 17 2 12" xfId="3591"/>
    <cellStyle name="Финансовый 2 2 17 2 12 2" xfId="17482"/>
    <cellStyle name="Финансовый 2 2 17 2 12 2 2" xfId="39797"/>
    <cellStyle name="Финансовый 2 2 17 2 12 3" xfId="11676"/>
    <cellStyle name="Финансовый 2 2 17 2 12 4" xfId="33991"/>
    <cellStyle name="Финансовый 2 2 17 2 13" xfId="3748"/>
    <cellStyle name="Финансовый 2 2 17 2 13 2" xfId="17601"/>
    <cellStyle name="Финансовый 2 2 17 2 13 2 2" xfId="39916"/>
    <cellStyle name="Финансовый 2 2 17 2 13 3" xfId="11795"/>
    <cellStyle name="Финансовый 2 2 17 2 13 4" xfId="34110"/>
    <cellStyle name="Финансовый 2 2 17 2 14" xfId="3872"/>
    <cellStyle name="Финансовый 2 2 17 2 14 2" xfId="17692"/>
    <cellStyle name="Финансовый 2 2 17 2 14 2 2" xfId="40007"/>
    <cellStyle name="Финансовый 2 2 17 2 14 3" xfId="11886"/>
    <cellStyle name="Финансовый 2 2 17 2 14 4" xfId="34201"/>
    <cellStyle name="Финансовый 2 2 17 2 15" xfId="4306"/>
    <cellStyle name="Финансовый 2 2 17 2 15 2" xfId="17930"/>
    <cellStyle name="Финансовый 2 2 17 2 15 2 2" xfId="40245"/>
    <cellStyle name="Финансовый 2 2 17 2 15 3" xfId="12124"/>
    <cellStyle name="Финансовый 2 2 17 2 15 4" xfId="34439"/>
    <cellStyle name="Финансовый 2 2 17 2 16" xfId="7871"/>
    <cellStyle name="Финансовый 2 2 17 2 16 2" xfId="19863"/>
    <cellStyle name="Финансовый 2 2 17 2 16 2 2" xfId="42178"/>
    <cellStyle name="Финансовый 2 2 17 2 16 3" xfId="14057"/>
    <cellStyle name="Финансовый 2 2 17 2 16 4" xfId="36372"/>
    <cellStyle name="Финансовый 2 2 17 2 17" xfId="4173"/>
    <cellStyle name="Финансовый 2 2 17 2 17 2" xfId="17849"/>
    <cellStyle name="Финансовый 2 2 17 2 17 2 2" xfId="40164"/>
    <cellStyle name="Финансовый 2 2 17 2 17 3" xfId="12043"/>
    <cellStyle name="Финансовый 2 2 17 2 17 4" xfId="34358"/>
    <cellStyle name="Финансовый 2 2 17 2 18" xfId="14833"/>
    <cellStyle name="Финансовый 2 2 17 2 18 2" xfId="37148"/>
    <cellStyle name="Финансовый 2 2 17 2 19" xfId="9027"/>
    <cellStyle name="Финансовый 2 2 17 2 2" xfId="667"/>
    <cellStyle name="Финансовый 2 2 17 2 2 2" xfId="15046"/>
    <cellStyle name="Финансовый 2 2 17 2 2 2 2" xfId="37361"/>
    <cellStyle name="Финансовый 2 2 17 2 2 3" xfId="9240"/>
    <cellStyle name="Финансовый 2 2 17 2 2 4" xfId="31564"/>
    <cellStyle name="Финансовый 2 2 17 2 20" xfId="31360"/>
    <cellStyle name="Финансовый 2 2 17 2 3" xfId="1423"/>
    <cellStyle name="Финансовый 2 2 17 2 3 2" xfId="15666"/>
    <cellStyle name="Финансовый 2 2 17 2 3 2 2" xfId="37981"/>
    <cellStyle name="Финансовый 2 2 17 2 3 3" xfId="9860"/>
    <cellStyle name="Финансовый 2 2 17 2 3 4" xfId="32175"/>
    <cellStyle name="Финансовый 2 2 17 2 4" xfId="1887"/>
    <cellStyle name="Финансовый 2 2 17 2 4 2" xfId="16100"/>
    <cellStyle name="Финансовый 2 2 17 2 4 2 2" xfId="38415"/>
    <cellStyle name="Финансовый 2 2 17 2 4 3" xfId="10294"/>
    <cellStyle name="Финансовый 2 2 17 2 4 4" xfId="32609"/>
    <cellStyle name="Финансовый 2 2 17 2 5" xfId="2125"/>
    <cellStyle name="Финансовый 2 2 17 2 5 2" xfId="16296"/>
    <cellStyle name="Финансовый 2 2 17 2 5 2 2" xfId="38611"/>
    <cellStyle name="Финансовый 2 2 17 2 5 3" xfId="10490"/>
    <cellStyle name="Финансовый 2 2 17 2 5 4" xfId="32805"/>
    <cellStyle name="Финансовый 2 2 17 2 6" xfId="2360"/>
    <cellStyle name="Финансовый 2 2 17 2 6 2" xfId="16489"/>
    <cellStyle name="Финансовый 2 2 17 2 6 2 2" xfId="38804"/>
    <cellStyle name="Финансовый 2 2 17 2 6 3" xfId="10683"/>
    <cellStyle name="Финансовый 2 2 17 2 6 4" xfId="32998"/>
    <cellStyle name="Финансовый 2 2 17 2 7" xfId="2592"/>
    <cellStyle name="Финансовый 2 2 17 2 7 2" xfId="16679"/>
    <cellStyle name="Финансовый 2 2 17 2 7 2 2" xfId="38994"/>
    <cellStyle name="Финансовый 2 2 17 2 7 3" xfId="10873"/>
    <cellStyle name="Финансовый 2 2 17 2 7 4" xfId="33188"/>
    <cellStyle name="Финансовый 2 2 17 2 8" xfId="2814"/>
    <cellStyle name="Финансовый 2 2 17 2 8 2" xfId="16861"/>
    <cellStyle name="Финансовый 2 2 17 2 8 2 2" xfId="39176"/>
    <cellStyle name="Финансовый 2 2 17 2 8 3" xfId="11055"/>
    <cellStyle name="Финансовый 2 2 17 2 8 4" xfId="33370"/>
    <cellStyle name="Финансовый 2 2 17 2 9" xfId="3028"/>
    <cellStyle name="Финансовый 2 2 17 2 9 2" xfId="17035"/>
    <cellStyle name="Финансовый 2 2 17 2 9 2 2" xfId="39350"/>
    <cellStyle name="Финансовый 2 2 17 2 9 3" xfId="11229"/>
    <cellStyle name="Финансовый 2 2 17 2 9 4" xfId="33544"/>
    <cellStyle name="Финансовый 2 2 17 20" xfId="7030"/>
    <cellStyle name="Финансовый 2 2 17 20 2" xfId="19405"/>
    <cellStyle name="Финансовый 2 2 17 20 2 2" xfId="41720"/>
    <cellStyle name="Финансовый 2 2 17 20 3" xfId="13599"/>
    <cellStyle name="Финансовый 2 2 17 20 4" xfId="35914"/>
    <cellStyle name="Финансовый 2 2 17 21" xfId="4629"/>
    <cellStyle name="Финансовый 2 2 17 21 2" xfId="18104"/>
    <cellStyle name="Финансовый 2 2 17 21 2 2" xfId="40419"/>
    <cellStyle name="Финансовый 2 2 17 21 3" xfId="12298"/>
    <cellStyle name="Финансовый 2 2 17 21 4" xfId="34613"/>
    <cellStyle name="Финансовый 2 2 17 22" xfId="14611"/>
    <cellStyle name="Финансовый 2 2 17 22 2" xfId="36926"/>
    <cellStyle name="Финансовый 2 2 17 23" xfId="8805"/>
    <cellStyle name="Финансовый 2 2 17 24" xfId="31157"/>
    <cellStyle name="Финансовый 2 2 17 3" xfId="704"/>
    <cellStyle name="Финансовый 2 2 17 3 2" xfId="15083"/>
    <cellStyle name="Финансовый 2 2 17 3 2 2" xfId="37398"/>
    <cellStyle name="Финансовый 2 2 17 3 3" xfId="9277"/>
    <cellStyle name="Финансовый 2 2 17 3 4" xfId="31600"/>
    <cellStyle name="Финансовый 2 2 17 4" xfId="829"/>
    <cellStyle name="Финансовый 2 2 17 4 2" xfId="15169"/>
    <cellStyle name="Финансовый 2 2 17 4 2 2" xfId="37484"/>
    <cellStyle name="Финансовый 2 2 17 4 3" xfId="9363"/>
    <cellStyle name="Финансовый 2 2 17 4 4" xfId="31685"/>
    <cellStyle name="Финансовый 2 2 17 5" xfId="1016"/>
    <cellStyle name="Финансовый 2 2 17 5 2" xfId="15329"/>
    <cellStyle name="Финансовый 2 2 17 5 2 2" xfId="37644"/>
    <cellStyle name="Финансовый 2 2 17 5 3" xfId="9523"/>
    <cellStyle name="Финансовый 2 2 17 5 4" xfId="31842"/>
    <cellStyle name="Финансовый 2 2 17 6" xfId="1045"/>
    <cellStyle name="Финансовый 2 2 17 6 2" xfId="15358"/>
    <cellStyle name="Финансовый 2 2 17 6 2 2" xfId="37673"/>
    <cellStyle name="Финансовый 2 2 17 6 3" xfId="9552"/>
    <cellStyle name="Финансовый 2 2 17 6 4" xfId="31871"/>
    <cellStyle name="Финансовый 2 2 17 7" xfId="506"/>
    <cellStyle name="Финансовый 2 2 17 7 2" xfId="14908"/>
    <cellStyle name="Финансовый 2 2 17 7 2 2" xfId="37223"/>
    <cellStyle name="Финансовый 2 2 17 7 3" xfId="9102"/>
    <cellStyle name="Финансовый 2 2 17 7 4" xfId="31435"/>
    <cellStyle name="Финансовый 2 2 17 8" xfId="1241"/>
    <cellStyle name="Финансовый 2 2 17 8 2" xfId="15501"/>
    <cellStyle name="Финансовый 2 2 17 8 2 2" xfId="37816"/>
    <cellStyle name="Финансовый 2 2 17 8 3" xfId="9695"/>
    <cellStyle name="Финансовый 2 2 17 8 4" xfId="32010"/>
    <cellStyle name="Финансовый 2 2 17 9" xfId="1683"/>
    <cellStyle name="Финансовый 2 2 17 9 2" xfId="15912"/>
    <cellStyle name="Финансовый 2 2 17 9 2 2" xfId="38227"/>
    <cellStyle name="Финансовый 2 2 17 9 3" xfId="10106"/>
    <cellStyle name="Финансовый 2 2 17 9 4" xfId="32421"/>
    <cellStyle name="Финансовый 2 2 18" xfId="90"/>
    <cellStyle name="Финансовый 2 2 18 10" xfId="1349"/>
    <cellStyle name="Финансовый 2 2 18 10 2" xfId="15601"/>
    <cellStyle name="Финансовый 2 2 18 10 2 2" xfId="37916"/>
    <cellStyle name="Финансовый 2 2 18 10 3" xfId="9795"/>
    <cellStyle name="Финансовый 2 2 18 10 4" xfId="32110"/>
    <cellStyle name="Финансовый 2 2 18 11" xfId="1856"/>
    <cellStyle name="Финансовый 2 2 18 11 2" xfId="16071"/>
    <cellStyle name="Финансовый 2 2 18 11 2 2" xfId="38386"/>
    <cellStyle name="Финансовый 2 2 18 11 3" xfId="10265"/>
    <cellStyle name="Финансовый 2 2 18 11 4" xfId="32580"/>
    <cellStyle name="Финансовый 2 2 18 12" xfId="2094"/>
    <cellStyle name="Финансовый 2 2 18 12 2" xfId="16267"/>
    <cellStyle name="Финансовый 2 2 18 12 2 2" xfId="38582"/>
    <cellStyle name="Финансовый 2 2 18 12 3" xfId="10461"/>
    <cellStyle name="Финансовый 2 2 18 12 4" xfId="32776"/>
    <cellStyle name="Финансовый 2 2 18 13" xfId="2329"/>
    <cellStyle name="Финансовый 2 2 18 13 2" xfId="16460"/>
    <cellStyle name="Финансовый 2 2 18 13 2 2" xfId="38775"/>
    <cellStyle name="Финансовый 2 2 18 13 3" xfId="10654"/>
    <cellStyle name="Финансовый 2 2 18 13 4" xfId="32969"/>
    <cellStyle name="Финансовый 2 2 18 14" xfId="2561"/>
    <cellStyle name="Финансовый 2 2 18 14 2" xfId="16650"/>
    <cellStyle name="Финансовый 2 2 18 14 2 2" xfId="38965"/>
    <cellStyle name="Финансовый 2 2 18 14 3" xfId="10844"/>
    <cellStyle name="Финансовый 2 2 18 14 4" xfId="33159"/>
    <cellStyle name="Финансовый 2 2 18 15" xfId="2785"/>
    <cellStyle name="Финансовый 2 2 18 15 2" xfId="16833"/>
    <cellStyle name="Финансовый 2 2 18 15 2 2" xfId="39148"/>
    <cellStyle name="Финансовый 2 2 18 15 3" xfId="11027"/>
    <cellStyle name="Финансовый 2 2 18 15 4" xfId="33342"/>
    <cellStyle name="Финансовый 2 2 18 16" xfId="3001"/>
    <cellStyle name="Финансовый 2 2 18 16 2" xfId="17009"/>
    <cellStyle name="Финансовый 2 2 18 16 2 2" xfId="39324"/>
    <cellStyle name="Финансовый 2 2 18 16 3" xfId="11203"/>
    <cellStyle name="Финансовый 2 2 18 16 4" xfId="33518"/>
    <cellStyle name="Финансовый 2 2 18 17" xfId="3206"/>
    <cellStyle name="Финансовый 2 2 18 17 2" xfId="17175"/>
    <cellStyle name="Финансовый 2 2 18 17 2 2" xfId="39490"/>
    <cellStyle name="Финансовый 2 2 18 17 3" xfId="11369"/>
    <cellStyle name="Финансовый 2 2 18 17 4" xfId="33684"/>
    <cellStyle name="Финансовый 2 2 18 18" xfId="3394"/>
    <cellStyle name="Финансовый 2 2 18 18 2" xfId="17324"/>
    <cellStyle name="Финансовый 2 2 18 18 2 2" xfId="39639"/>
    <cellStyle name="Финансовый 2 2 18 18 3" xfId="11518"/>
    <cellStyle name="Финансовый 2 2 18 18 4" xfId="33833"/>
    <cellStyle name="Финансовый 2 2 18 19" xfId="7750"/>
    <cellStyle name="Финансовый 2 2 18 19 2" xfId="19793"/>
    <cellStyle name="Финансовый 2 2 18 19 2 2" xfId="42108"/>
    <cellStyle name="Финансовый 2 2 18 19 3" xfId="13987"/>
    <cellStyle name="Финансовый 2 2 18 19 4" xfId="36302"/>
    <cellStyle name="Финансовый 2 2 18 2" xfId="434"/>
    <cellStyle name="Финансовый 2 2 18 2 10" xfId="1638"/>
    <cellStyle name="Финансовый 2 2 18 2 10 2" xfId="15871"/>
    <cellStyle name="Финансовый 2 2 18 2 10 2 2" xfId="38186"/>
    <cellStyle name="Финансовый 2 2 18 2 10 3" xfId="10065"/>
    <cellStyle name="Финансовый 2 2 18 2 10 4" xfId="32380"/>
    <cellStyle name="Финансовый 2 2 18 2 11" xfId="1855"/>
    <cellStyle name="Финансовый 2 2 18 2 11 2" xfId="16070"/>
    <cellStyle name="Финансовый 2 2 18 2 11 2 2" xfId="38385"/>
    <cellStyle name="Финансовый 2 2 18 2 11 3" xfId="10264"/>
    <cellStyle name="Финансовый 2 2 18 2 11 4" xfId="32579"/>
    <cellStyle name="Финансовый 2 2 18 2 12" xfId="2093"/>
    <cellStyle name="Финансовый 2 2 18 2 12 2" xfId="16266"/>
    <cellStyle name="Финансовый 2 2 18 2 12 2 2" xfId="38581"/>
    <cellStyle name="Финансовый 2 2 18 2 12 3" xfId="10460"/>
    <cellStyle name="Финансовый 2 2 18 2 12 4" xfId="32775"/>
    <cellStyle name="Финансовый 2 2 18 2 13" xfId="2328"/>
    <cellStyle name="Финансовый 2 2 18 2 13 2" xfId="16459"/>
    <cellStyle name="Финансовый 2 2 18 2 13 2 2" xfId="38774"/>
    <cellStyle name="Финансовый 2 2 18 2 13 3" xfId="10653"/>
    <cellStyle name="Финансовый 2 2 18 2 13 4" xfId="32968"/>
    <cellStyle name="Финансовый 2 2 18 2 14" xfId="2560"/>
    <cellStyle name="Финансовый 2 2 18 2 14 2" xfId="16649"/>
    <cellStyle name="Финансовый 2 2 18 2 14 2 2" xfId="38964"/>
    <cellStyle name="Финансовый 2 2 18 2 14 3" xfId="10843"/>
    <cellStyle name="Финансовый 2 2 18 2 14 4" xfId="33158"/>
    <cellStyle name="Финансовый 2 2 18 2 15" xfId="5481"/>
    <cellStyle name="Финансовый 2 2 18 2 15 2" xfId="18577"/>
    <cellStyle name="Финансовый 2 2 18 2 15 2 2" xfId="40892"/>
    <cellStyle name="Финансовый 2 2 18 2 15 3" xfId="12771"/>
    <cellStyle name="Финансовый 2 2 18 2 15 4" xfId="35086"/>
    <cellStyle name="Финансовый 2 2 18 2 16" xfId="6006"/>
    <cellStyle name="Финансовый 2 2 18 2 16 2" xfId="18851"/>
    <cellStyle name="Финансовый 2 2 18 2 16 2 2" xfId="41166"/>
    <cellStyle name="Финансовый 2 2 18 2 16 3" xfId="13045"/>
    <cellStyle name="Финансовый 2 2 18 2 16 4" xfId="35360"/>
    <cellStyle name="Финансовый 2 2 18 2 17" xfId="8142"/>
    <cellStyle name="Финансовый 2 2 18 2 17 2" xfId="20023"/>
    <cellStyle name="Финансовый 2 2 18 2 17 2 2" xfId="42338"/>
    <cellStyle name="Финансовый 2 2 18 2 17 3" xfId="14217"/>
    <cellStyle name="Финансовый 2 2 18 2 17 4" xfId="36532"/>
    <cellStyle name="Финансовый 2 2 18 2 18" xfId="14837"/>
    <cellStyle name="Финансовый 2 2 18 2 18 2" xfId="37152"/>
    <cellStyle name="Финансовый 2 2 18 2 19" xfId="9031"/>
    <cellStyle name="Финансовый 2 2 18 2 2" xfId="671"/>
    <cellStyle name="Финансовый 2 2 18 2 2 2" xfId="15050"/>
    <cellStyle name="Финансовый 2 2 18 2 2 2 2" xfId="37365"/>
    <cellStyle name="Финансовый 2 2 18 2 2 3" xfId="9244"/>
    <cellStyle name="Финансовый 2 2 18 2 2 4" xfId="31568"/>
    <cellStyle name="Финансовый 2 2 18 2 20" xfId="31364"/>
    <cellStyle name="Финансовый 2 2 18 2 3" xfId="1427"/>
    <cellStyle name="Финансовый 2 2 18 2 3 2" xfId="15670"/>
    <cellStyle name="Финансовый 2 2 18 2 3 2 2" xfId="37985"/>
    <cellStyle name="Финансовый 2 2 18 2 3 3" xfId="9864"/>
    <cellStyle name="Финансовый 2 2 18 2 3 4" xfId="32179"/>
    <cellStyle name="Финансовый 2 2 18 2 4" xfId="1571"/>
    <cellStyle name="Финансовый 2 2 18 2 4 2" xfId="15810"/>
    <cellStyle name="Финансовый 2 2 18 2 4 2 2" xfId="38125"/>
    <cellStyle name="Финансовый 2 2 18 2 4 3" xfId="10004"/>
    <cellStyle name="Финансовый 2 2 18 2 4 4" xfId="32319"/>
    <cellStyle name="Финансовый 2 2 18 2 5" xfId="427"/>
    <cellStyle name="Финансовый 2 2 18 2 5 2" xfId="14830"/>
    <cellStyle name="Финансовый 2 2 18 2 5 2 2" xfId="37145"/>
    <cellStyle name="Финансовый 2 2 18 2 5 3" xfId="9024"/>
    <cellStyle name="Финансовый 2 2 18 2 5 4" xfId="31357"/>
    <cellStyle name="Финансовый 2 2 18 2 6" xfId="1387"/>
    <cellStyle name="Финансовый 2 2 18 2 6 2" xfId="15634"/>
    <cellStyle name="Финансовый 2 2 18 2 6 2 2" xfId="37949"/>
    <cellStyle name="Финансовый 2 2 18 2 6 3" xfId="9828"/>
    <cellStyle name="Финансовый 2 2 18 2 6 4" xfId="32143"/>
    <cellStyle name="Финансовый 2 2 18 2 7" xfId="1238"/>
    <cellStyle name="Финансовый 2 2 18 2 7 2" xfId="15498"/>
    <cellStyle name="Финансовый 2 2 18 2 7 2 2" xfId="37813"/>
    <cellStyle name="Финансовый 2 2 18 2 7 3" xfId="9692"/>
    <cellStyle name="Финансовый 2 2 18 2 7 4" xfId="32007"/>
    <cellStyle name="Финансовый 2 2 18 2 8" xfId="1569"/>
    <cellStyle name="Финансовый 2 2 18 2 8 2" xfId="15808"/>
    <cellStyle name="Финансовый 2 2 18 2 8 2 2" xfId="38123"/>
    <cellStyle name="Финансовый 2 2 18 2 8 3" xfId="10002"/>
    <cellStyle name="Финансовый 2 2 18 2 8 4" xfId="32317"/>
    <cellStyle name="Финансовый 2 2 18 2 9" xfId="411"/>
    <cellStyle name="Финансовый 2 2 18 2 9 2" xfId="14814"/>
    <cellStyle name="Финансовый 2 2 18 2 9 2 2" xfId="37129"/>
    <cellStyle name="Финансовый 2 2 18 2 9 3" xfId="9008"/>
    <cellStyle name="Финансовый 2 2 18 2 9 4" xfId="31341"/>
    <cellStyle name="Финансовый 2 2 18 20" xfId="6369"/>
    <cellStyle name="Финансовый 2 2 18 20 2" xfId="19046"/>
    <cellStyle name="Финансовый 2 2 18 20 2 2" xfId="41361"/>
    <cellStyle name="Финансовый 2 2 18 20 3" xfId="13240"/>
    <cellStyle name="Финансовый 2 2 18 20 4" xfId="35555"/>
    <cellStyle name="Финансовый 2 2 18 21" xfId="5479"/>
    <cellStyle name="Финансовый 2 2 18 21 2" xfId="18575"/>
    <cellStyle name="Финансовый 2 2 18 21 2 2" xfId="40890"/>
    <cellStyle name="Финансовый 2 2 18 21 3" xfId="12769"/>
    <cellStyle name="Финансовый 2 2 18 21 4" xfId="35084"/>
    <cellStyle name="Финансовый 2 2 18 22" xfId="14615"/>
    <cellStyle name="Финансовый 2 2 18 22 2" xfId="36930"/>
    <cellStyle name="Финансовый 2 2 18 23" xfId="8809"/>
    <cellStyle name="Финансовый 2 2 18 24" xfId="31159"/>
    <cellStyle name="Финансовый 2 2 18 3" xfId="808"/>
    <cellStyle name="Финансовый 2 2 18 3 2" xfId="15156"/>
    <cellStyle name="Финансовый 2 2 18 3 2 2" xfId="37471"/>
    <cellStyle name="Финансовый 2 2 18 3 3" xfId="9350"/>
    <cellStyle name="Финансовый 2 2 18 3 4" xfId="31672"/>
    <cellStyle name="Финансовый 2 2 18 4" xfId="669"/>
    <cellStyle name="Финансовый 2 2 18 4 2" xfId="15048"/>
    <cellStyle name="Финансовый 2 2 18 4 2 2" xfId="37363"/>
    <cellStyle name="Финансовый 2 2 18 4 3" xfId="9242"/>
    <cellStyle name="Финансовый 2 2 18 4 4" xfId="31566"/>
    <cellStyle name="Финансовый 2 2 18 5" xfId="1018"/>
    <cellStyle name="Финансовый 2 2 18 5 2" xfId="15331"/>
    <cellStyle name="Финансовый 2 2 18 5 2 2" xfId="37646"/>
    <cellStyle name="Финансовый 2 2 18 5 3" xfId="9525"/>
    <cellStyle name="Финансовый 2 2 18 5 4" xfId="31844"/>
    <cellStyle name="Финансовый 2 2 18 6" xfId="1029"/>
    <cellStyle name="Финансовый 2 2 18 6 2" xfId="15342"/>
    <cellStyle name="Финансовый 2 2 18 6 2 2" xfId="37657"/>
    <cellStyle name="Финансовый 2 2 18 6 3" xfId="9536"/>
    <cellStyle name="Финансовый 2 2 18 6 4" xfId="31855"/>
    <cellStyle name="Финансовый 2 2 18 7" xfId="486"/>
    <cellStyle name="Финансовый 2 2 18 7 2" xfId="14888"/>
    <cellStyle name="Финансовый 2 2 18 7 2 2" xfId="37203"/>
    <cellStyle name="Финансовый 2 2 18 7 3" xfId="9082"/>
    <cellStyle name="Финансовый 2 2 18 7 4" xfId="31415"/>
    <cellStyle name="Финансовый 2 2 18 8" xfId="1641"/>
    <cellStyle name="Финансовый 2 2 18 8 2" xfId="15874"/>
    <cellStyle name="Финансовый 2 2 18 8 2 2" xfId="38189"/>
    <cellStyle name="Финансовый 2 2 18 8 3" xfId="10068"/>
    <cellStyle name="Финансовый 2 2 18 8 4" xfId="32383"/>
    <cellStyle name="Финансовый 2 2 18 9" xfId="1574"/>
    <cellStyle name="Финансовый 2 2 18 9 2" xfId="15812"/>
    <cellStyle name="Финансовый 2 2 18 9 2 2" xfId="38127"/>
    <cellStyle name="Финансовый 2 2 18 9 3" xfId="10006"/>
    <cellStyle name="Финансовый 2 2 18 9 4" xfId="32321"/>
    <cellStyle name="Финансовый 2 2 19" xfId="95"/>
    <cellStyle name="Финансовый 2 2 19 10" xfId="484"/>
    <cellStyle name="Финансовый 2 2 19 10 2" xfId="14886"/>
    <cellStyle name="Финансовый 2 2 19 10 2 2" xfId="37201"/>
    <cellStyle name="Финансовый 2 2 19 10 3" xfId="9080"/>
    <cellStyle name="Финансовый 2 2 19 10 4" xfId="31413"/>
    <cellStyle name="Финансовый 2 2 19 11" xfId="1634"/>
    <cellStyle name="Финансовый 2 2 19 11 2" xfId="15867"/>
    <cellStyle name="Финансовый 2 2 19 11 2 2" xfId="38182"/>
    <cellStyle name="Финансовый 2 2 19 11 3" xfId="10061"/>
    <cellStyle name="Финансовый 2 2 19 11 4" xfId="32376"/>
    <cellStyle name="Финансовый 2 2 19 12" xfId="1411"/>
    <cellStyle name="Финансовый 2 2 19 12 2" xfId="15655"/>
    <cellStyle name="Финансовый 2 2 19 12 2 2" xfId="37970"/>
    <cellStyle name="Финансовый 2 2 19 12 3" xfId="9849"/>
    <cellStyle name="Финансовый 2 2 19 12 4" xfId="32164"/>
    <cellStyle name="Финансовый 2 2 19 13" xfId="1804"/>
    <cellStyle name="Финансовый 2 2 19 13 2" xfId="16023"/>
    <cellStyle name="Финансовый 2 2 19 13 2 2" xfId="38338"/>
    <cellStyle name="Финансовый 2 2 19 13 3" xfId="10217"/>
    <cellStyle name="Финансовый 2 2 19 13 4" xfId="32532"/>
    <cellStyle name="Финансовый 2 2 19 14" xfId="2042"/>
    <cellStyle name="Финансовый 2 2 19 14 2" xfId="16219"/>
    <cellStyle name="Финансовый 2 2 19 14 2 2" xfId="38534"/>
    <cellStyle name="Финансовый 2 2 19 14 3" xfId="10413"/>
    <cellStyle name="Финансовый 2 2 19 14 4" xfId="32728"/>
    <cellStyle name="Финансовый 2 2 19 15" xfId="2277"/>
    <cellStyle name="Финансовый 2 2 19 15 2" xfId="16412"/>
    <cellStyle name="Финансовый 2 2 19 15 2 2" xfId="38727"/>
    <cellStyle name="Финансовый 2 2 19 15 3" xfId="10606"/>
    <cellStyle name="Финансовый 2 2 19 15 4" xfId="32921"/>
    <cellStyle name="Финансовый 2 2 19 16" xfId="2511"/>
    <cellStyle name="Финансовый 2 2 19 16 2" xfId="16604"/>
    <cellStyle name="Финансовый 2 2 19 16 2 2" xfId="38919"/>
    <cellStyle name="Финансовый 2 2 19 16 3" xfId="10798"/>
    <cellStyle name="Финансовый 2 2 19 16 4" xfId="33113"/>
    <cellStyle name="Финансовый 2 2 19 17" xfId="2738"/>
    <cellStyle name="Финансовый 2 2 19 17 2" xfId="16790"/>
    <cellStyle name="Финансовый 2 2 19 17 2 2" xfId="39105"/>
    <cellStyle name="Финансовый 2 2 19 17 3" xfId="10984"/>
    <cellStyle name="Финансовый 2 2 19 17 4" xfId="33299"/>
    <cellStyle name="Финансовый 2 2 19 18" xfId="2957"/>
    <cellStyle name="Финансовый 2 2 19 18 2" xfId="16969"/>
    <cellStyle name="Финансовый 2 2 19 18 2 2" xfId="39284"/>
    <cellStyle name="Финансовый 2 2 19 18 3" xfId="11163"/>
    <cellStyle name="Финансовый 2 2 19 18 4" xfId="33478"/>
    <cellStyle name="Финансовый 2 2 19 19" xfId="5947"/>
    <cellStyle name="Финансовый 2 2 19 19 2" xfId="18823"/>
    <cellStyle name="Финансовый 2 2 19 19 2 2" xfId="41138"/>
    <cellStyle name="Финансовый 2 2 19 19 3" xfId="13017"/>
    <cellStyle name="Финансовый 2 2 19 19 4" xfId="35332"/>
    <cellStyle name="Финансовый 2 2 19 2" xfId="439"/>
    <cellStyle name="Финансовый 2 2 19 2 10" xfId="3189"/>
    <cellStyle name="Финансовый 2 2 19 2 10 2" xfId="17160"/>
    <cellStyle name="Финансовый 2 2 19 2 10 2 2" xfId="39475"/>
    <cellStyle name="Финансовый 2 2 19 2 10 3" xfId="11354"/>
    <cellStyle name="Финансовый 2 2 19 2 10 4" xfId="33669"/>
    <cellStyle name="Финансовый 2 2 19 2 11" xfId="3377"/>
    <cellStyle name="Финансовый 2 2 19 2 11 2" xfId="17309"/>
    <cellStyle name="Финансовый 2 2 19 2 11 2 2" xfId="39624"/>
    <cellStyle name="Финансовый 2 2 19 2 11 3" xfId="11503"/>
    <cellStyle name="Финансовый 2 2 19 2 11 4" xfId="33818"/>
    <cellStyle name="Финансовый 2 2 19 2 12" xfId="3556"/>
    <cellStyle name="Финансовый 2 2 19 2 12 2" xfId="17450"/>
    <cellStyle name="Финансовый 2 2 19 2 12 2 2" xfId="39765"/>
    <cellStyle name="Финансовый 2 2 19 2 12 3" xfId="11644"/>
    <cellStyle name="Финансовый 2 2 19 2 12 4" xfId="33959"/>
    <cellStyle name="Финансовый 2 2 19 2 13" xfId="3716"/>
    <cellStyle name="Финансовый 2 2 19 2 13 2" xfId="17572"/>
    <cellStyle name="Финансовый 2 2 19 2 13 2 2" xfId="39887"/>
    <cellStyle name="Финансовый 2 2 19 2 13 3" xfId="11766"/>
    <cellStyle name="Финансовый 2 2 19 2 13 4" xfId="34081"/>
    <cellStyle name="Финансовый 2 2 19 2 14" xfId="3852"/>
    <cellStyle name="Финансовый 2 2 19 2 14 2" xfId="17674"/>
    <cellStyle name="Финансовый 2 2 19 2 14 2 2" xfId="39989"/>
    <cellStyle name="Финансовый 2 2 19 2 14 3" xfId="11868"/>
    <cellStyle name="Финансовый 2 2 19 2 14 4" xfId="34183"/>
    <cellStyle name="Финансовый 2 2 19 2 15" xfId="8447"/>
    <cellStyle name="Финансовый 2 2 19 2 15 2" xfId="20200"/>
    <cellStyle name="Финансовый 2 2 19 2 15 2 2" xfId="42515"/>
    <cellStyle name="Финансовый 2 2 19 2 15 3" xfId="14394"/>
    <cellStyle name="Финансовый 2 2 19 2 15 4" xfId="36709"/>
    <cellStyle name="Финансовый 2 2 19 2 16" xfId="7890"/>
    <cellStyle name="Финансовый 2 2 19 2 16 2" xfId="19875"/>
    <cellStyle name="Финансовый 2 2 19 2 16 2 2" xfId="42190"/>
    <cellStyle name="Финансовый 2 2 19 2 16 3" xfId="14069"/>
    <cellStyle name="Финансовый 2 2 19 2 16 4" xfId="36384"/>
    <cellStyle name="Финансовый 2 2 19 2 17" xfId="4264"/>
    <cellStyle name="Финансовый 2 2 19 2 17 2" xfId="17902"/>
    <cellStyle name="Финансовый 2 2 19 2 17 2 2" xfId="40217"/>
    <cellStyle name="Финансовый 2 2 19 2 17 3" xfId="12096"/>
    <cellStyle name="Финансовый 2 2 19 2 17 4" xfId="34411"/>
    <cellStyle name="Финансовый 2 2 19 2 18" xfId="14842"/>
    <cellStyle name="Финансовый 2 2 19 2 18 2" xfId="37157"/>
    <cellStyle name="Финансовый 2 2 19 2 19" xfId="9036"/>
    <cellStyle name="Финансовый 2 2 19 2 2" xfId="674"/>
    <cellStyle name="Финансовый 2 2 19 2 2 2" xfId="15053"/>
    <cellStyle name="Финансовый 2 2 19 2 2 2 2" xfId="37368"/>
    <cellStyle name="Финансовый 2 2 19 2 2 3" xfId="9247"/>
    <cellStyle name="Финансовый 2 2 19 2 2 4" xfId="31571"/>
    <cellStyle name="Финансовый 2 2 19 2 20" xfId="31369"/>
    <cellStyle name="Финансовый 2 2 19 2 3" xfId="1430"/>
    <cellStyle name="Финансовый 2 2 19 2 3 2" xfId="15673"/>
    <cellStyle name="Финансовый 2 2 19 2 3 2 2" xfId="37988"/>
    <cellStyle name="Финансовый 2 2 19 2 3 3" xfId="9867"/>
    <cellStyle name="Финансовый 2 2 19 2 3 4" xfId="32182"/>
    <cellStyle name="Финансовый 2 2 19 2 4" xfId="1836"/>
    <cellStyle name="Финансовый 2 2 19 2 4 2" xfId="16053"/>
    <cellStyle name="Финансовый 2 2 19 2 4 2 2" xfId="38368"/>
    <cellStyle name="Финансовый 2 2 19 2 4 3" xfId="10247"/>
    <cellStyle name="Финансовый 2 2 19 2 4 4" xfId="32562"/>
    <cellStyle name="Финансовый 2 2 19 2 5" xfId="2074"/>
    <cellStyle name="Финансовый 2 2 19 2 5 2" xfId="16249"/>
    <cellStyle name="Финансовый 2 2 19 2 5 2 2" xfId="38564"/>
    <cellStyle name="Финансовый 2 2 19 2 5 3" xfId="10443"/>
    <cellStyle name="Финансовый 2 2 19 2 5 4" xfId="32758"/>
    <cellStyle name="Финансовый 2 2 19 2 6" xfId="2309"/>
    <cellStyle name="Финансовый 2 2 19 2 6 2" xfId="16442"/>
    <cellStyle name="Финансовый 2 2 19 2 6 2 2" xfId="38757"/>
    <cellStyle name="Финансовый 2 2 19 2 6 3" xfId="10636"/>
    <cellStyle name="Финансовый 2 2 19 2 6 4" xfId="32951"/>
    <cellStyle name="Финансовый 2 2 19 2 7" xfId="2541"/>
    <cellStyle name="Финансовый 2 2 19 2 7 2" xfId="16632"/>
    <cellStyle name="Финансовый 2 2 19 2 7 2 2" xfId="38947"/>
    <cellStyle name="Финансовый 2 2 19 2 7 3" xfId="10826"/>
    <cellStyle name="Финансовый 2 2 19 2 7 4" xfId="33141"/>
    <cellStyle name="Финансовый 2 2 19 2 8" xfId="2766"/>
    <cellStyle name="Финансовый 2 2 19 2 8 2" xfId="16816"/>
    <cellStyle name="Финансовый 2 2 19 2 8 2 2" xfId="39131"/>
    <cellStyle name="Финансовый 2 2 19 2 8 3" xfId="11010"/>
    <cellStyle name="Финансовый 2 2 19 2 8 4" xfId="33325"/>
    <cellStyle name="Финансовый 2 2 19 2 9" xfId="2983"/>
    <cellStyle name="Финансовый 2 2 19 2 9 2" xfId="16993"/>
    <cellStyle name="Финансовый 2 2 19 2 9 2 2" xfId="39308"/>
    <cellStyle name="Финансовый 2 2 19 2 9 3" xfId="11187"/>
    <cellStyle name="Финансовый 2 2 19 2 9 4" xfId="33502"/>
    <cellStyle name="Финансовый 2 2 19 20" xfId="5853"/>
    <cellStyle name="Финансовый 2 2 19 20 2" xfId="18773"/>
    <cellStyle name="Финансовый 2 2 19 20 2 2" xfId="41088"/>
    <cellStyle name="Финансовый 2 2 19 20 3" xfId="12967"/>
    <cellStyle name="Финансовый 2 2 19 20 4" xfId="35282"/>
    <cellStyle name="Финансовый 2 2 19 21" xfId="8433"/>
    <cellStyle name="Финансовый 2 2 19 21 2" xfId="20190"/>
    <cellStyle name="Финансовый 2 2 19 21 2 2" xfId="42505"/>
    <cellStyle name="Финансовый 2 2 19 21 3" xfId="14384"/>
    <cellStyle name="Финансовый 2 2 19 21 4" xfId="36699"/>
    <cellStyle name="Финансовый 2 2 19 22" xfId="14619"/>
    <cellStyle name="Финансовый 2 2 19 22 2" xfId="36934"/>
    <cellStyle name="Финансовый 2 2 19 23" xfId="8813"/>
    <cellStyle name="Финансовый 2 2 19 24" xfId="31161"/>
    <cellStyle name="Финансовый 2 2 19 3" xfId="687"/>
    <cellStyle name="Финансовый 2 2 19 3 2" xfId="15066"/>
    <cellStyle name="Финансовый 2 2 19 3 2 2" xfId="37381"/>
    <cellStyle name="Финансовый 2 2 19 3 3" xfId="9260"/>
    <cellStyle name="Финансовый 2 2 19 3 4" xfId="31583"/>
    <cellStyle name="Финансовый 2 2 19 4" xfId="912"/>
    <cellStyle name="Финансовый 2 2 19 4 2" xfId="15241"/>
    <cellStyle name="Финансовый 2 2 19 4 2 2" xfId="37556"/>
    <cellStyle name="Финансовый 2 2 19 4 3" xfId="9435"/>
    <cellStyle name="Финансовый 2 2 19 4 4" xfId="31755"/>
    <cellStyle name="Финансовый 2 2 19 5" xfId="1021"/>
    <cellStyle name="Финансовый 2 2 19 5 2" xfId="15334"/>
    <cellStyle name="Финансовый 2 2 19 5 2 2" xfId="37649"/>
    <cellStyle name="Финансовый 2 2 19 5 3" xfId="9528"/>
    <cellStyle name="Финансовый 2 2 19 5 4" xfId="31847"/>
    <cellStyle name="Финансовый 2 2 19 6" xfId="1128"/>
    <cellStyle name="Финансовый 2 2 19 6 2" xfId="15430"/>
    <cellStyle name="Финансовый 2 2 19 6 2 2" xfId="37745"/>
    <cellStyle name="Финансовый 2 2 19 6 3" xfId="9624"/>
    <cellStyle name="Финансовый 2 2 19 6 4" xfId="31941"/>
    <cellStyle name="Финансовый 2 2 19 7" xfId="461"/>
    <cellStyle name="Финансовый 2 2 19 7 2" xfId="14864"/>
    <cellStyle name="Финансовый 2 2 19 7 2 2" xfId="37179"/>
    <cellStyle name="Финансовый 2 2 19 7 3" xfId="9058"/>
    <cellStyle name="Финансовый 2 2 19 7 4" xfId="31391"/>
    <cellStyle name="Финансовый 2 2 19 8" xfId="417"/>
    <cellStyle name="Финансовый 2 2 19 8 2" xfId="14820"/>
    <cellStyle name="Финансовый 2 2 19 8 2 2" xfId="37135"/>
    <cellStyle name="Финансовый 2 2 19 8 3" xfId="9014"/>
    <cellStyle name="Финансовый 2 2 19 8 4" xfId="31347"/>
    <cellStyle name="Финансовый 2 2 19 9" xfId="1717"/>
    <cellStyle name="Финансовый 2 2 19 9 2" xfId="15943"/>
    <cellStyle name="Финансовый 2 2 19 9 2 2" xfId="38258"/>
    <cellStyle name="Финансовый 2 2 19 9 3" xfId="10137"/>
    <cellStyle name="Финансовый 2 2 19 9 4" xfId="32452"/>
    <cellStyle name="Финансовый 2 2 2" xfId="5"/>
    <cellStyle name="Финансовый 2 2 2 10" xfId="49"/>
    <cellStyle name="Финансовый 2 2 2 11" xfId="58"/>
    <cellStyle name="Финансовый 2 2 2 12" xfId="62"/>
    <cellStyle name="Финансовый 2 2 2 13" xfId="67"/>
    <cellStyle name="Финансовый 2 2 2 14" xfId="72"/>
    <cellStyle name="Финансовый 2 2 2 15" xfId="77"/>
    <cellStyle name="Финансовый 2 2 2 16" xfId="82"/>
    <cellStyle name="Финансовый 2 2 2 17" xfId="87"/>
    <cellStyle name="Финансовый 2 2 2 18" xfId="92"/>
    <cellStyle name="Финансовый 2 2 2 19" xfId="97"/>
    <cellStyle name="Финансовый 2 2 2 2" xfId="11"/>
    <cellStyle name="Финансовый 2 2 2 2 10" xfId="63"/>
    <cellStyle name="Финансовый 2 2 2 2 10 10" xfId="2301"/>
    <cellStyle name="Финансовый 2 2 2 2 10 10 2" xfId="16434"/>
    <cellStyle name="Финансовый 2 2 2 2 10 10 2 2" xfId="38749"/>
    <cellStyle name="Финансовый 2 2 2 2 10 10 3" xfId="10628"/>
    <cellStyle name="Финансовый 2 2 2 2 10 10 4" xfId="32943"/>
    <cellStyle name="Финансовый 2 2 2 2 10 11" xfId="2534"/>
    <cellStyle name="Финансовый 2 2 2 2 10 11 2" xfId="16625"/>
    <cellStyle name="Финансовый 2 2 2 2 10 11 2 2" xfId="38940"/>
    <cellStyle name="Финансовый 2 2 2 2 10 11 3" xfId="10819"/>
    <cellStyle name="Финансовый 2 2 2 2 10 11 4" xfId="33134"/>
    <cellStyle name="Финансовый 2 2 2 2 10 12" xfId="2760"/>
    <cellStyle name="Финансовый 2 2 2 2 10 12 2" xfId="16810"/>
    <cellStyle name="Финансовый 2 2 2 2 10 12 2 2" xfId="39125"/>
    <cellStyle name="Финансовый 2 2 2 2 10 12 3" xfId="11004"/>
    <cellStyle name="Финансовый 2 2 2 2 10 12 4" xfId="33319"/>
    <cellStyle name="Финансовый 2 2 2 2 10 13" xfId="2978"/>
    <cellStyle name="Финансовый 2 2 2 2 10 13 2" xfId="16988"/>
    <cellStyle name="Финансовый 2 2 2 2 10 13 2 2" xfId="39303"/>
    <cellStyle name="Финансовый 2 2 2 2 10 13 3" xfId="11182"/>
    <cellStyle name="Финансовый 2 2 2 2 10 13 4" xfId="33497"/>
    <cellStyle name="Финансовый 2 2 2 2 10 14" xfId="3186"/>
    <cellStyle name="Финансовый 2 2 2 2 10 14 2" xfId="17157"/>
    <cellStyle name="Финансовый 2 2 2 2 10 14 2 2" xfId="39472"/>
    <cellStyle name="Финансовый 2 2 2 2 10 14 3" xfId="11351"/>
    <cellStyle name="Финансовый 2 2 2 2 10 14 4" xfId="33666"/>
    <cellStyle name="Финансовый 2 2 2 2 10 15" xfId="3375"/>
    <cellStyle name="Финансовый 2 2 2 2 10 15 2" xfId="17307"/>
    <cellStyle name="Финансовый 2 2 2 2 10 15 2 2" xfId="39622"/>
    <cellStyle name="Финансовый 2 2 2 2 10 15 3" xfId="11501"/>
    <cellStyle name="Финансовый 2 2 2 2 10 15 4" xfId="33816"/>
    <cellStyle name="Финансовый 2 2 2 2 10 16" xfId="3554"/>
    <cellStyle name="Финансовый 2 2 2 2 10 16 2" xfId="17448"/>
    <cellStyle name="Финансовый 2 2 2 2 10 16 2 2" xfId="39763"/>
    <cellStyle name="Финансовый 2 2 2 2 10 16 3" xfId="11642"/>
    <cellStyle name="Финансовый 2 2 2 2 10 16 4" xfId="33957"/>
    <cellStyle name="Финансовый 2 2 2 2 10 17" xfId="3714"/>
    <cellStyle name="Финансовый 2 2 2 2 10 17 2" xfId="17570"/>
    <cellStyle name="Финансовый 2 2 2 2 10 17 2 2" xfId="39885"/>
    <cellStyle name="Финансовый 2 2 2 2 10 17 3" xfId="11764"/>
    <cellStyle name="Финансовый 2 2 2 2 10 17 4" xfId="34079"/>
    <cellStyle name="Финансовый 2 2 2 2 10 18" xfId="3850"/>
    <cellStyle name="Финансовый 2 2 2 2 10 18 2" xfId="17672"/>
    <cellStyle name="Финансовый 2 2 2 2 10 18 2 2" xfId="39987"/>
    <cellStyle name="Финансовый 2 2 2 2 10 18 3" xfId="11866"/>
    <cellStyle name="Финансовый 2 2 2 2 10 18 4" xfId="34181"/>
    <cellStyle name="Финансовый 2 2 2 2 10 19" xfId="6661"/>
    <cellStyle name="Финансовый 2 2 2 2 10 19 2" xfId="19203"/>
    <cellStyle name="Финансовый 2 2 2 2 10 19 2 2" xfId="41518"/>
    <cellStyle name="Финансовый 2 2 2 2 10 19 3" xfId="13397"/>
    <cellStyle name="Финансовый 2 2 2 2 10 19 4" xfId="35712"/>
    <cellStyle name="Финансовый 2 2 2 2 10 2" xfId="408"/>
    <cellStyle name="Финансовый 2 2 2 2 10 2 10" xfId="3155"/>
    <cellStyle name="Финансовый 2 2 2 2 10 2 10 2" xfId="17128"/>
    <cellStyle name="Финансовый 2 2 2 2 10 2 10 2 2" xfId="39443"/>
    <cellStyle name="Финансовый 2 2 2 2 10 2 10 3" xfId="11322"/>
    <cellStyle name="Финансовый 2 2 2 2 10 2 10 4" xfId="33637"/>
    <cellStyle name="Финансовый 2 2 2 2 10 2 11" xfId="3348"/>
    <cellStyle name="Финансовый 2 2 2 2 10 2 11 2" xfId="17282"/>
    <cellStyle name="Финансовый 2 2 2 2 10 2 11 2 2" xfId="39597"/>
    <cellStyle name="Финансовый 2 2 2 2 10 2 11 3" xfId="11476"/>
    <cellStyle name="Финансовый 2 2 2 2 10 2 11 4" xfId="33791"/>
    <cellStyle name="Финансовый 2 2 2 2 10 2 12" xfId="3531"/>
    <cellStyle name="Финансовый 2 2 2 2 10 2 12 2" xfId="17426"/>
    <cellStyle name="Финансовый 2 2 2 2 10 2 12 2 2" xfId="39741"/>
    <cellStyle name="Финансовый 2 2 2 2 10 2 12 3" xfId="11620"/>
    <cellStyle name="Финансовый 2 2 2 2 10 2 12 4" xfId="33935"/>
    <cellStyle name="Финансовый 2 2 2 2 10 2 13" xfId="3693"/>
    <cellStyle name="Финансовый 2 2 2 2 10 2 13 2" xfId="17550"/>
    <cellStyle name="Финансовый 2 2 2 2 10 2 13 2 2" xfId="39865"/>
    <cellStyle name="Финансовый 2 2 2 2 10 2 13 3" xfId="11744"/>
    <cellStyle name="Финансовый 2 2 2 2 10 2 13 4" xfId="34059"/>
    <cellStyle name="Финансовый 2 2 2 2 10 2 14" xfId="3835"/>
    <cellStyle name="Финансовый 2 2 2 2 10 2 14 2" xfId="17657"/>
    <cellStyle name="Финансовый 2 2 2 2 10 2 14 2 2" xfId="39972"/>
    <cellStyle name="Финансовый 2 2 2 2 10 2 14 3" xfId="11851"/>
    <cellStyle name="Финансовый 2 2 2 2 10 2 14 4" xfId="34166"/>
    <cellStyle name="Финансовый 2 2 2 2 10 2 15" xfId="4953"/>
    <cellStyle name="Финансовый 2 2 2 2 10 2 15 2" xfId="18277"/>
    <cellStyle name="Финансовый 2 2 2 2 10 2 15 2 2" xfId="40592"/>
    <cellStyle name="Финансовый 2 2 2 2 10 2 15 3" xfId="12471"/>
    <cellStyle name="Финансовый 2 2 2 2 10 2 15 4" xfId="34786"/>
    <cellStyle name="Финансовый 2 2 2 2 10 2 16" xfId="6779"/>
    <cellStyle name="Финансовый 2 2 2 2 10 2 16 2" xfId="19269"/>
    <cellStyle name="Финансовый 2 2 2 2 10 2 16 2 2" xfId="41584"/>
    <cellStyle name="Финансовый 2 2 2 2 10 2 16 3" xfId="13463"/>
    <cellStyle name="Финансовый 2 2 2 2 10 2 16 4" xfId="35778"/>
    <cellStyle name="Финансовый 2 2 2 2 10 2 17" xfId="6743"/>
    <cellStyle name="Финансовый 2 2 2 2 10 2 17 2" xfId="19247"/>
    <cellStyle name="Финансовый 2 2 2 2 10 2 17 2 2" xfId="41562"/>
    <cellStyle name="Финансовый 2 2 2 2 10 2 17 3" xfId="13441"/>
    <cellStyle name="Финансовый 2 2 2 2 10 2 17 4" xfId="35756"/>
    <cellStyle name="Финансовый 2 2 2 2 10 2 18" xfId="14811"/>
    <cellStyle name="Финансовый 2 2 2 2 10 2 18 2" xfId="37126"/>
    <cellStyle name="Финансовый 2 2 2 2 10 2 19" xfId="9005"/>
    <cellStyle name="Финансовый 2 2 2 2 10 2 2" xfId="649"/>
    <cellStyle name="Финансовый 2 2 2 2 10 2 2 2" xfId="15028"/>
    <cellStyle name="Финансовый 2 2 2 2 10 2 2 2 2" xfId="37343"/>
    <cellStyle name="Финансовый 2 2 2 2 10 2 2 3" xfId="9222"/>
    <cellStyle name="Финансовый 2 2 2 2 10 2 2 4" xfId="31546"/>
    <cellStyle name="Финансовый 2 2 2 2 10 2 20" xfId="31338"/>
    <cellStyle name="Финансовый 2 2 2 2 10 2 3" xfId="1406"/>
    <cellStyle name="Финансовый 2 2 2 2 10 2 3 2" xfId="15651"/>
    <cellStyle name="Финансовый 2 2 2 2 10 2 3 2 2" xfId="37966"/>
    <cellStyle name="Финансовый 2 2 2 2 10 2 3 3" xfId="9845"/>
    <cellStyle name="Финансовый 2 2 2 2 10 2 3 4" xfId="32160"/>
    <cellStyle name="Финансовый 2 2 2 2 10 2 4" xfId="1791"/>
    <cellStyle name="Финансовый 2 2 2 2 10 2 4 2" xfId="16010"/>
    <cellStyle name="Финансовый 2 2 2 2 10 2 4 2 2" xfId="38325"/>
    <cellStyle name="Финансовый 2 2 2 2 10 2 4 3" xfId="10204"/>
    <cellStyle name="Финансовый 2 2 2 2 10 2 4 4" xfId="32519"/>
    <cellStyle name="Финансовый 2 2 2 2 10 2 5" xfId="2029"/>
    <cellStyle name="Финансовый 2 2 2 2 10 2 5 2" xfId="16206"/>
    <cellStyle name="Финансовый 2 2 2 2 10 2 5 2 2" xfId="38521"/>
    <cellStyle name="Финансовый 2 2 2 2 10 2 5 3" xfId="10400"/>
    <cellStyle name="Финансовый 2 2 2 2 10 2 5 4" xfId="32715"/>
    <cellStyle name="Финансовый 2 2 2 2 10 2 6" xfId="2264"/>
    <cellStyle name="Финансовый 2 2 2 2 10 2 6 2" xfId="16399"/>
    <cellStyle name="Финансовый 2 2 2 2 10 2 6 2 2" xfId="38714"/>
    <cellStyle name="Финансовый 2 2 2 2 10 2 6 3" xfId="10593"/>
    <cellStyle name="Финансовый 2 2 2 2 10 2 6 4" xfId="32908"/>
    <cellStyle name="Финансовый 2 2 2 2 10 2 7" xfId="2498"/>
    <cellStyle name="Финансовый 2 2 2 2 10 2 7 2" xfId="16591"/>
    <cellStyle name="Финансовый 2 2 2 2 10 2 7 2 2" xfId="38906"/>
    <cellStyle name="Финансовый 2 2 2 2 10 2 7 3" xfId="10785"/>
    <cellStyle name="Финансовый 2 2 2 2 10 2 7 4" xfId="33100"/>
    <cellStyle name="Финансовый 2 2 2 2 10 2 8" xfId="2726"/>
    <cellStyle name="Финансовый 2 2 2 2 10 2 8 2" xfId="16778"/>
    <cellStyle name="Финансовый 2 2 2 2 10 2 8 2 2" xfId="39093"/>
    <cellStyle name="Финансовый 2 2 2 2 10 2 8 3" xfId="10972"/>
    <cellStyle name="Финансовый 2 2 2 2 10 2 8 4" xfId="33287"/>
    <cellStyle name="Финансовый 2 2 2 2 10 2 9" xfId="2946"/>
    <cellStyle name="Финансовый 2 2 2 2 10 2 9 2" xfId="16958"/>
    <cellStyle name="Финансовый 2 2 2 2 10 2 9 2 2" xfId="39273"/>
    <cellStyle name="Финансовый 2 2 2 2 10 2 9 3" xfId="11152"/>
    <cellStyle name="Финансовый 2 2 2 2 10 2 9 4" xfId="33467"/>
    <cellStyle name="Финансовый 2 2 2 2 10 20" xfId="7891"/>
    <cellStyle name="Финансовый 2 2 2 2 10 20 2" xfId="19876"/>
    <cellStyle name="Финансовый 2 2 2 2 10 20 2 2" xfId="42191"/>
    <cellStyle name="Финансовый 2 2 2 2 10 20 3" xfId="14070"/>
    <cellStyle name="Финансовый 2 2 2 2 10 20 4" xfId="36385"/>
    <cellStyle name="Финансовый 2 2 2 2 10 21" xfId="5251"/>
    <cellStyle name="Финансовый 2 2 2 2 10 21 2" xfId="18445"/>
    <cellStyle name="Финансовый 2 2 2 2 10 21 2 2" xfId="40760"/>
    <cellStyle name="Финансовый 2 2 2 2 10 21 3" xfId="12639"/>
    <cellStyle name="Финансовый 2 2 2 2 10 21 4" xfId="34954"/>
    <cellStyle name="Финансовый 2 2 2 2 10 22" xfId="14594"/>
    <cellStyle name="Финансовый 2 2 2 2 10 22 2" xfId="36909"/>
    <cellStyle name="Финансовый 2 2 2 2 10 23" xfId="8788"/>
    <cellStyle name="Финансовый 2 2 2 2 10 24" xfId="31148"/>
    <cellStyle name="Финансовый 2 2 2 2 10 3" xfId="642"/>
    <cellStyle name="Финансовый 2 2 2 2 10 3 2" xfId="15021"/>
    <cellStyle name="Финансовый 2 2 2 2 10 3 2 2" xfId="37336"/>
    <cellStyle name="Финансовый 2 2 2 2 10 3 3" xfId="9215"/>
    <cellStyle name="Финансовый 2 2 2 2 10 3 4" xfId="31539"/>
    <cellStyle name="Финансовый 2 2 2 2 10 4" xfId="749"/>
    <cellStyle name="Финансовый 2 2 2 2 10 4 2" xfId="15127"/>
    <cellStyle name="Финансовый 2 2 2 2 10 4 2 2" xfId="37442"/>
    <cellStyle name="Финансовый 2 2 2 2 10 4 3" xfId="9321"/>
    <cellStyle name="Финансовый 2 2 2 2 10 4 4" xfId="31644"/>
    <cellStyle name="Финансовый 2 2 2 2 10 5" xfId="1002"/>
    <cellStyle name="Финансовый 2 2 2 2 10 5 2" xfId="15315"/>
    <cellStyle name="Финансовый 2 2 2 2 10 5 2 2" xfId="37630"/>
    <cellStyle name="Финансовый 2 2 2 2 10 5 3" xfId="9509"/>
    <cellStyle name="Финансовый 2 2 2 2 10 5 4" xfId="31828"/>
    <cellStyle name="Финансовый 2 2 2 2 10 6" xfId="989"/>
    <cellStyle name="Финансовый 2 2 2 2 10 6 2" xfId="15302"/>
    <cellStyle name="Финансовый 2 2 2 2 10 6 2 2" xfId="37617"/>
    <cellStyle name="Финансовый 2 2 2 2 10 6 3" xfId="9496"/>
    <cellStyle name="Финансовый 2 2 2 2 10 6 4" xfId="31815"/>
    <cellStyle name="Финансовый 2 2 2 2 10 7" xfId="464"/>
    <cellStyle name="Финансовый 2 2 2 2 10 7 2" xfId="14867"/>
    <cellStyle name="Финансовый 2 2 2 2 10 7 2 2" xfId="37182"/>
    <cellStyle name="Финансовый 2 2 2 2 10 7 3" xfId="9061"/>
    <cellStyle name="Финансовый 2 2 2 2 10 7 4" xfId="31394"/>
    <cellStyle name="Финансовый 2 2 2 2 10 8" xfId="1828"/>
    <cellStyle name="Финансовый 2 2 2 2 10 8 2" xfId="16045"/>
    <cellStyle name="Финансовый 2 2 2 2 10 8 2 2" xfId="38360"/>
    <cellStyle name="Финансовый 2 2 2 2 10 8 3" xfId="10239"/>
    <cellStyle name="Финансовый 2 2 2 2 10 8 4" xfId="32554"/>
    <cellStyle name="Финансовый 2 2 2 2 10 9" xfId="2066"/>
    <cellStyle name="Финансовый 2 2 2 2 10 9 2" xfId="16241"/>
    <cellStyle name="Финансовый 2 2 2 2 10 9 2 2" xfId="38556"/>
    <cellStyle name="Финансовый 2 2 2 2 10 9 3" xfId="10435"/>
    <cellStyle name="Финансовый 2 2 2 2 10 9 4" xfId="32750"/>
    <cellStyle name="Финансовый 2 2 2 2 11" xfId="68"/>
    <cellStyle name="Финансовый 2 2 2 2 11 10" xfId="2362"/>
    <cellStyle name="Финансовый 2 2 2 2 11 10 2" xfId="16491"/>
    <cellStyle name="Финансовый 2 2 2 2 11 10 2 2" xfId="38806"/>
    <cellStyle name="Финансовый 2 2 2 2 11 10 3" xfId="10685"/>
    <cellStyle name="Финансовый 2 2 2 2 11 10 4" xfId="33000"/>
    <cellStyle name="Финансовый 2 2 2 2 11 11" xfId="2594"/>
    <cellStyle name="Финансовый 2 2 2 2 11 11 2" xfId="16681"/>
    <cellStyle name="Финансовый 2 2 2 2 11 11 2 2" xfId="38996"/>
    <cellStyle name="Финансовый 2 2 2 2 11 11 3" xfId="10875"/>
    <cellStyle name="Финансовый 2 2 2 2 11 11 4" xfId="33190"/>
    <cellStyle name="Финансовый 2 2 2 2 11 12" xfId="2816"/>
    <cellStyle name="Финансовый 2 2 2 2 11 12 2" xfId="16863"/>
    <cellStyle name="Финансовый 2 2 2 2 11 12 2 2" xfId="39178"/>
    <cellStyle name="Финансовый 2 2 2 2 11 12 3" xfId="11057"/>
    <cellStyle name="Финансовый 2 2 2 2 11 12 4" xfId="33372"/>
    <cellStyle name="Финансовый 2 2 2 2 11 13" xfId="3030"/>
    <cellStyle name="Финансовый 2 2 2 2 11 13 2" xfId="17037"/>
    <cellStyle name="Финансовый 2 2 2 2 11 13 2 2" xfId="39352"/>
    <cellStyle name="Финансовый 2 2 2 2 11 13 3" xfId="11231"/>
    <cellStyle name="Финансовый 2 2 2 2 11 13 4" xfId="33546"/>
    <cellStyle name="Финансовый 2 2 2 2 11 14" xfId="3232"/>
    <cellStyle name="Финансовый 2 2 2 2 11 14 2" xfId="17200"/>
    <cellStyle name="Финансовый 2 2 2 2 11 14 2 2" xfId="39515"/>
    <cellStyle name="Финансовый 2 2 2 2 11 14 3" xfId="11394"/>
    <cellStyle name="Финансовый 2 2 2 2 11 14 4" xfId="33709"/>
    <cellStyle name="Финансовый 2 2 2 2 11 15" xfId="3419"/>
    <cellStyle name="Финансовый 2 2 2 2 11 15 2" xfId="17348"/>
    <cellStyle name="Финансовый 2 2 2 2 11 15 2 2" xfId="39663"/>
    <cellStyle name="Финансовый 2 2 2 2 11 15 3" xfId="11542"/>
    <cellStyle name="Финансовый 2 2 2 2 11 15 4" xfId="33857"/>
    <cellStyle name="Финансовый 2 2 2 2 11 16" xfId="3592"/>
    <cellStyle name="Финансовый 2 2 2 2 11 16 2" xfId="17483"/>
    <cellStyle name="Финансовый 2 2 2 2 11 16 2 2" xfId="39798"/>
    <cellStyle name="Финансовый 2 2 2 2 11 16 3" xfId="11677"/>
    <cellStyle name="Финансовый 2 2 2 2 11 16 4" xfId="33992"/>
    <cellStyle name="Финансовый 2 2 2 2 11 17" xfId="3749"/>
    <cellStyle name="Финансовый 2 2 2 2 11 17 2" xfId="17602"/>
    <cellStyle name="Финансовый 2 2 2 2 11 17 2 2" xfId="39917"/>
    <cellStyle name="Финансовый 2 2 2 2 11 17 3" xfId="11796"/>
    <cellStyle name="Финансовый 2 2 2 2 11 17 4" xfId="34111"/>
    <cellStyle name="Финансовый 2 2 2 2 11 18" xfId="3873"/>
    <cellStyle name="Финансовый 2 2 2 2 11 18 2" xfId="17693"/>
    <cellStyle name="Финансовый 2 2 2 2 11 18 2 2" xfId="40008"/>
    <cellStyle name="Финансовый 2 2 2 2 11 18 3" xfId="11887"/>
    <cellStyle name="Финансовый 2 2 2 2 11 18 4" xfId="34202"/>
    <cellStyle name="Финансовый 2 2 2 2 11 19" xfId="5612"/>
    <cellStyle name="Финансовый 2 2 2 2 11 19 2" xfId="18645"/>
    <cellStyle name="Финансовый 2 2 2 2 11 19 2 2" xfId="40960"/>
    <cellStyle name="Финансовый 2 2 2 2 11 19 3" xfId="12839"/>
    <cellStyle name="Финансовый 2 2 2 2 11 19 4" xfId="35154"/>
    <cellStyle name="Финансовый 2 2 2 2 11 2" xfId="413"/>
    <cellStyle name="Финансовый 2 2 2 2 11 2 10" xfId="3204"/>
    <cellStyle name="Финансовый 2 2 2 2 11 2 10 2" xfId="17174"/>
    <cellStyle name="Финансовый 2 2 2 2 11 2 10 2 2" xfId="39489"/>
    <cellStyle name="Финансовый 2 2 2 2 11 2 10 3" xfId="11368"/>
    <cellStyle name="Финансовый 2 2 2 2 11 2 10 4" xfId="33683"/>
    <cellStyle name="Финансовый 2 2 2 2 11 2 11" xfId="3392"/>
    <cellStyle name="Финансовый 2 2 2 2 11 2 11 2" xfId="17323"/>
    <cellStyle name="Финансовый 2 2 2 2 11 2 11 2 2" xfId="39638"/>
    <cellStyle name="Финансовый 2 2 2 2 11 2 11 3" xfId="11517"/>
    <cellStyle name="Финансовый 2 2 2 2 11 2 11 4" xfId="33832"/>
    <cellStyle name="Финансовый 2 2 2 2 11 2 12" xfId="3569"/>
    <cellStyle name="Финансовый 2 2 2 2 11 2 12 2" xfId="17462"/>
    <cellStyle name="Финансовый 2 2 2 2 11 2 12 2 2" xfId="39777"/>
    <cellStyle name="Финансовый 2 2 2 2 11 2 12 3" xfId="11656"/>
    <cellStyle name="Финансовый 2 2 2 2 11 2 12 4" xfId="33971"/>
    <cellStyle name="Финансовый 2 2 2 2 11 2 13" xfId="3728"/>
    <cellStyle name="Финансовый 2 2 2 2 11 2 13 2" xfId="17583"/>
    <cellStyle name="Финансовый 2 2 2 2 11 2 13 2 2" xfId="39898"/>
    <cellStyle name="Финансовый 2 2 2 2 11 2 13 3" xfId="11777"/>
    <cellStyle name="Финансовый 2 2 2 2 11 2 13 4" xfId="34092"/>
    <cellStyle name="Финансовый 2 2 2 2 11 2 14" xfId="3858"/>
    <cellStyle name="Финансовый 2 2 2 2 11 2 14 2" xfId="17680"/>
    <cellStyle name="Финансовый 2 2 2 2 11 2 14 2 2" xfId="39995"/>
    <cellStyle name="Финансовый 2 2 2 2 11 2 14 3" xfId="11874"/>
    <cellStyle name="Финансовый 2 2 2 2 11 2 14 4" xfId="34189"/>
    <cellStyle name="Финансовый 2 2 2 2 11 2 15" xfId="7774"/>
    <cellStyle name="Финансовый 2 2 2 2 11 2 15 2" xfId="19807"/>
    <cellStyle name="Финансовый 2 2 2 2 11 2 15 2 2" xfId="42122"/>
    <cellStyle name="Финансовый 2 2 2 2 11 2 15 3" xfId="14001"/>
    <cellStyle name="Финансовый 2 2 2 2 11 2 15 4" xfId="36316"/>
    <cellStyle name="Финансовый 2 2 2 2 11 2 16" xfId="7684"/>
    <cellStyle name="Финансовый 2 2 2 2 11 2 16 2" xfId="19759"/>
    <cellStyle name="Финансовый 2 2 2 2 11 2 16 2 2" xfId="42074"/>
    <cellStyle name="Финансовый 2 2 2 2 11 2 16 3" xfId="13953"/>
    <cellStyle name="Финансовый 2 2 2 2 11 2 16 4" xfId="36268"/>
    <cellStyle name="Финансовый 2 2 2 2 11 2 17" xfId="5938"/>
    <cellStyle name="Финансовый 2 2 2 2 11 2 17 2" xfId="18818"/>
    <cellStyle name="Финансовый 2 2 2 2 11 2 17 2 2" xfId="41133"/>
    <cellStyle name="Финансовый 2 2 2 2 11 2 17 3" xfId="13012"/>
    <cellStyle name="Финансовый 2 2 2 2 11 2 17 4" xfId="35327"/>
    <cellStyle name="Финансовый 2 2 2 2 11 2 18" xfId="14816"/>
    <cellStyle name="Финансовый 2 2 2 2 11 2 18 2" xfId="37131"/>
    <cellStyle name="Финансовый 2 2 2 2 11 2 19" xfId="9010"/>
    <cellStyle name="Финансовый 2 2 2 2 11 2 2" xfId="653"/>
    <cellStyle name="Финансовый 2 2 2 2 11 2 2 2" xfId="15032"/>
    <cellStyle name="Финансовый 2 2 2 2 11 2 2 2 2" xfId="37347"/>
    <cellStyle name="Финансовый 2 2 2 2 11 2 2 3" xfId="9226"/>
    <cellStyle name="Финансовый 2 2 2 2 11 2 2 4" xfId="31550"/>
    <cellStyle name="Финансовый 2 2 2 2 11 2 20" xfId="31343"/>
    <cellStyle name="Финансовый 2 2 2 2 11 2 3" xfId="1410"/>
    <cellStyle name="Финансовый 2 2 2 2 11 2 3 2" xfId="15654"/>
    <cellStyle name="Финансовый 2 2 2 2 11 2 3 2 2" xfId="37969"/>
    <cellStyle name="Финансовый 2 2 2 2 11 2 3 3" xfId="9848"/>
    <cellStyle name="Финансовый 2 2 2 2 11 2 3 4" xfId="32163"/>
    <cellStyle name="Финансовый 2 2 2 2 11 2 4" xfId="1852"/>
    <cellStyle name="Финансовый 2 2 2 2 11 2 4 2" xfId="16068"/>
    <cellStyle name="Финансовый 2 2 2 2 11 2 4 2 2" xfId="38383"/>
    <cellStyle name="Финансовый 2 2 2 2 11 2 4 3" xfId="10262"/>
    <cellStyle name="Финансовый 2 2 2 2 11 2 4 4" xfId="32577"/>
    <cellStyle name="Финансовый 2 2 2 2 11 2 5" xfId="2090"/>
    <cellStyle name="Финансовый 2 2 2 2 11 2 5 2" xfId="16264"/>
    <cellStyle name="Финансовый 2 2 2 2 11 2 5 2 2" xfId="38579"/>
    <cellStyle name="Финансовый 2 2 2 2 11 2 5 3" xfId="10458"/>
    <cellStyle name="Финансовый 2 2 2 2 11 2 5 4" xfId="32773"/>
    <cellStyle name="Финансовый 2 2 2 2 11 2 6" xfId="2325"/>
    <cellStyle name="Финансовый 2 2 2 2 11 2 6 2" xfId="16457"/>
    <cellStyle name="Финансовый 2 2 2 2 11 2 6 2 2" xfId="38772"/>
    <cellStyle name="Финансовый 2 2 2 2 11 2 6 3" xfId="10651"/>
    <cellStyle name="Финансовый 2 2 2 2 11 2 6 4" xfId="32966"/>
    <cellStyle name="Финансовый 2 2 2 2 11 2 7" xfId="2557"/>
    <cellStyle name="Финансовый 2 2 2 2 11 2 7 2" xfId="16647"/>
    <cellStyle name="Финансовый 2 2 2 2 11 2 7 2 2" xfId="38962"/>
    <cellStyle name="Финансовый 2 2 2 2 11 2 7 3" xfId="10841"/>
    <cellStyle name="Финансовый 2 2 2 2 11 2 7 4" xfId="33156"/>
    <cellStyle name="Финансовый 2 2 2 2 11 2 8" xfId="2782"/>
    <cellStyle name="Финансовый 2 2 2 2 11 2 8 2" xfId="16831"/>
    <cellStyle name="Финансовый 2 2 2 2 11 2 8 2 2" xfId="39146"/>
    <cellStyle name="Финансовый 2 2 2 2 11 2 8 3" xfId="11025"/>
    <cellStyle name="Финансовый 2 2 2 2 11 2 8 4" xfId="33340"/>
    <cellStyle name="Финансовый 2 2 2 2 11 2 9" xfId="2998"/>
    <cellStyle name="Финансовый 2 2 2 2 11 2 9 2" xfId="17007"/>
    <cellStyle name="Финансовый 2 2 2 2 11 2 9 2 2" xfId="39322"/>
    <cellStyle name="Финансовый 2 2 2 2 11 2 9 3" xfId="11201"/>
    <cellStyle name="Финансовый 2 2 2 2 11 2 9 4" xfId="33516"/>
    <cellStyle name="Финансовый 2 2 2 2 11 20" xfId="8129"/>
    <cellStyle name="Финансовый 2 2 2 2 11 20 2" xfId="20012"/>
    <cellStyle name="Финансовый 2 2 2 2 11 20 2 2" xfId="42327"/>
    <cellStyle name="Финансовый 2 2 2 2 11 20 3" xfId="14206"/>
    <cellStyle name="Финансовый 2 2 2 2 11 20 4" xfId="36521"/>
    <cellStyle name="Финансовый 2 2 2 2 11 21" xfId="4362"/>
    <cellStyle name="Финансовый 2 2 2 2 11 21 2" xfId="17961"/>
    <cellStyle name="Финансовый 2 2 2 2 11 21 2 2" xfId="40276"/>
    <cellStyle name="Финансовый 2 2 2 2 11 21 3" xfId="12155"/>
    <cellStyle name="Финансовый 2 2 2 2 11 21 4" xfId="34470"/>
    <cellStyle name="Финансовый 2 2 2 2 11 22" xfId="14598"/>
    <cellStyle name="Финансовый 2 2 2 2 11 22 2" xfId="36913"/>
    <cellStyle name="Финансовый 2 2 2 2 11 23" xfId="8792"/>
    <cellStyle name="Финансовый 2 2 2 2 11 24" xfId="31150"/>
    <cellStyle name="Финансовый 2 2 2 2 11 3" xfId="626"/>
    <cellStyle name="Финансовый 2 2 2 2 11 3 2" xfId="15005"/>
    <cellStyle name="Финансовый 2 2 2 2 11 3 2 2" xfId="37320"/>
    <cellStyle name="Финансовый 2 2 2 2 11 3 3" xfId="9199"/>
    <cellStyle name="Финансовый 2 2 2 2 11 3 4" xfId="31523"/>
    <cellStyle name="Финансовый 2 2 2 2 11 4" xfId="911"/>
    <cellStyle name="Финансовый 2 2 2 2 11 4 2" xfId="15240"/>
    <cellStyle name="Финансовый 2 2 2 2 11 4 2 2" xfId="37555"/>
    <cellStyle name="Финансовый 2 2 2 2 11 4 3" xfId="9434"/>
    <cellStyle name="Финансовый 2 2 2 2 11 4 4" xfId="31754"/>
    <cellStyle name="Финансовый 2 2 2 2 11 5" xfId="1004"/>
    <cellStyle name="Финансовый 2 2 2 2 11 5 2" xfId="15317"/>
    <cellStyle name="Финансовый 2 2 2 2 11 5 2 2" xfId="37632"/>
    <cellStyle name="Финансовый 2 2 2 2 11 5 3" xfId="9511"/>
    <cellStyle name="Финансовый 2 2 2 2 11 5 4" xfId="31830"/>
    <cellStyle name="Финансовый 2 2 2 2 11 6" xfId="1127"/>
    <cellStyle name="Финансовый 2 2 2 2 11 6 2" xfId="15429"/>
    <cellStyle name="Финансовый 2 2 2 2 11 6 2 2" xfId="37744"/>
    <cellStyle name="Финансовый 2 2 2 2 11 6 3" xfId="9623"/>
    <cellStyle name="Финансовый 2 2 2 2 11 6 4" xfId="31940"/>
    <cellStyle name="Финансовый 2 2 2 2 11 7" xfId="399"/>
    <cellStyle name="Финансовый 2 2 2 2 11 7 2" xfId="14802"/>
    <cellStyle name="Финансовый 2 2 2 2 11 7 2 2" xfId="37117"/>
    <cellStyle name="Финансовый 2 2 2 2 11 7 3" xfId="8996"/>
    <cellStyle name="Финансовый 2 2 2 2 11 7 4" xfId="31329"/>
    <cellStyle name="Финансовый 2 2 2 2 11 8" xfId="1889"/>
    <cellStyle name="Финансовый 2 2 2 2 11 8 2" xfId="16102"/>
    <cellStyle name="Финансовый 2 2 2 2 11 8 2 2" xfId="38417"/>
    <cellStyle name="Финансовый 2 2 2 2 11 8 3" xfId="10296"/>
    <cellStyle name="Финансовый 2 2 2 2 11 8 4" xfId="32611"/>
    <cellStyle name="Финансовый 2 2 2 2 11 9" xfId="2127"/>
    <cellStyle name="Финансовый 2 2 2 2 11 9 2" xfId="16298"/>
    <cellStyle name="Финансовый 2 2 2 2 11 9 2 2" xfId="38613"/>
    <cellStyle name="Финансовый 2 2 2 2 11 9 3" xfId="10492"/>
    <cellStyle name="Финансовый 2 2 2 2 11 9 4" xfId="32807"/>
    <cellStyle name="Финансовый 2 2 2 2 12" xfId="73"/>
    <cellStyle name="Финансовый 2 2 2 2 12 10" xfId="1336"/>
    <cellStyle name="Финансовый 2 2 2 2 12 10 2" xfId="15589"/>
    <cellStyle name="Финансовый 2 2 2 2 12 10 2 2" xfId="37904"/>
    <cellStyle name="Финансовый 2 2 2 2 12 10 3" xfId="9783"/>
    <cellStyle name="Финансовый 2 2 2 2 12 10 4" xfId="32098"/>
    <cellStyle name="Финансовый 2 2 2 2 12 11" xfId="377"/>
    <cellStyle name="Финансовый 2 2 2 2 12 11 2" xfId="14780"/>
    <cellStyle name="Финансовый 2 2 2 2 12 11 2 2" xfId="37095"/>
    <cellStyle name="Финансовый 2 2 2 2 12 11 3" xfId="8974"/>
    <cellStyle name="Финансовый 2 2 2 2 12 11 4" xfId="31307"/>
    <cellStyle name="Финансовый 2 2 2 2 12 12" xfId="1528"/>
    <cellStyle name="Финансовый 2 2 2 2 12 12 2" xfId="15768"/>
    <cellStyle name="Финансовый 2 2 2 2 12 12 2 2" xfId="38083"/>
    <cellStyle name="Финансовый 2 2 2 2 12 12 3" xfId="9962"/>
    <cellStyle name="Финансовый 2 2 2 2 12 12 4" xfId="32277"/>
    <cellStyle name="Финансовый 2 2 2 2 12 13" xfId="1854"/>
    <cellStyle name="Финансовый 2 2 2 2 12 13 2" xfId="16069"/>
    <cellStyle name="Финансовый 2 2 2 2 12 13 2 2" xfId="38384"/>
    <cellStyle name="Финансовый 2 2 2 2 12 13 3" xfId="10263"/>
    <cellStyle name="Финансовый 2 2 2 2 12 13 4" xfId="32578"/>
    <cellStyle name="Финансовый 2 2 2 2 12 14" xfId="2092"/>
    <cellStyle name="Финансовый 2 2 2 2 12 14 2" xfId="16265"/>
    <cellStyle name="Финансовый 2 2 2 2 12 14 2 2" xfId="38580"/>
    <cellStyle name="Финансовый 2 2 2 2 12 14 3" xfId="10459"/>
    <cellStyle name="Финансовый 2 2 2 2 12 14 4" xfId="32774"/>
    <cellStyle name="Финансовый 2 2 2 2 12 15" xfId="2327"/>
    <cellStyle name="Финансовый 2 2 2 2 12 15 2" xfId="16458"/>
    <cellStyle name="Финансовый 2 2 2 2 12 15 2 2" xfId="38773"/>
    <cellStyle name="Финансовый 2 2 2 2 12 15 3" xfId="10652"/>
    <cellStyle name="Финансовый 2 2 2 2 12 15 4" xfId="32967"/>
    <cellStyle name="Финансовый 2 2 2 2 12 16" xfId="2559"/>
    <cellStyle name="Финансовый 2 2 2 2 12 16 2" xfId="16648"/>
    <cellStyle name="Финансовый 2 2 2 2 12 16 2 2" xfId="38963"/>
    <cellStyle name="Финансовый 2 2 2 2 12 16 3" xfId="10842"/>
    <cellStyle name="Финансовый 2 2 2 2 12 16 4" xfId="33157"/>
    <cellStyle name="Финансовый 2 2 2 2 12 17" xfId="2784"/>
    <cellStyle name="Финансовый 2 2 2 2 12 17 2" xfId="16832"/>
    <cellStyle name="Финансовый 2 2 2 2 12 17 2 2" xfId="39147"/>
    <cellStyle name="Финансовый 2 2 2 2 12 17 3" xfId="11026"/>
    <cellStyle name="Финансовый 2 2 2 2 12 17 4" xfId="33341"/>
    <cellStyle name="Финансовый 2 2 2 2 12 18" xfId="3000"/>
    <cellStyle name="Финансовый 2 2 2 2 12 18 2" xfId="17008"/>
    <cellStyle name="Финансовый 2 2 2 2 12 18 2 2" xfId="39323"/>
    <cellStyle name="Финансовый 2 2 2 2 12 18 3" xfId="11202"/>
    <cellStyle name="Финансовый 2 2 2 2 12 18 4" xfId="33517"/>
    <cellStyle name="Финансовый 2 2 2 2 12 19" xfId="4422"/>
    <cellStyle name="Финансовый 2 2 2 2 12 19 2" xfId="17995"/>
    <cellStyle name="Финансовый 2 2 2 2 12 19 2 2" xfId="40310"/>
    <cellStyle name="Финансовый 2 2 2 2 12 19 3" xfId="12189"/>
    <cellStyle name="Финансовый 2 2 2 2 12 19 4" xfId="34504"/>
    <cellStyle name="Финансовый 2 2 2 2 12 2" xfId="418"/>
    <cellStyle name="Финансовый 2 2 2 2 12 2 10" xfId="1861"/>
    <cellStyle name="Финансовый 2 2 2 2 12 2 10 2" xfId="16075"/>
    <cellStyle name="Финансовый 2 2 2 2 12 2 10 2 2" xfId="38390"/>
    <cellStyle name="Финансовый 2 2 2 2 12 2 10 3" xfId="10269"/>
    <cellStyle name="Финансовый 2 2 2 2 12 2 10 4" xfId="32584"/>
    <cellStyle name="Финансовый 2 2 2 2 12 2 11" xfId="2099"/>
    <cellStyle name="Финансовый 2 2 2 2 12 2 11 2" xfId="16271"/>
    <cellStyle name="Финансовый 2 2 2 2 12 2 11 2 2" xfId="38586"/>
    <cellStyle name="Финансовый 2 2 2 2 12 2 11 3" xfId="10465"/>
    <cellStyle name="Финансовый 2 2 2 2 12 2 11 4" xfId="32780"/>
    <cellStyle name="Финансовый 2 2 2 2 12 2 12" xfId="2334"/>
    <cellStyle name="Финансовый 2 2 2 2 12 2 12 2" xfId="16464"/>
    <cellStyle name="Финансовый 2 2 2 2 12 2 12 2 2" xfId="38779"/>
    <cellStyle name="Финансовый 2 2 2 2 12 2 12 3" xfId="10658"/>
    <cellStyle name="Финансовый 2 2 2 2 12 2 12 4" xfId="32973"/>
    <cellStyle name="Финансовый 2 2 2 2 12 2 13" xfId="2566"/>
    <cellStyle name="Финансовый 2 2 2 2 12 2 13 2" xfId="16654"/>
    <cellStyle name="Финансовый 2 2 2 2 12 2 13 2 2" xfId="38969"/>
    <cellStyle name="Финансовый 2 2 2 2 12 2 13 3" xfId="10848"/>
    <cellStyle name="Финансовый 2 2 2 2 12 2 13 4" xfId="33163"/>
    <cellStyle name="Финансовый 2 2 2 2 12 2 14" xfId="2789"/>
    <cellStyle name="Финансовый 2 2 2 2 12 2 14 2" xfId="16837"/>
    <cellStyle name="Финансовый 2 2 2 2 12 2 14 2 2" xfId="39152"/>
    <cellStyle name="Финансовый 2 2 2 2 12 2 14 3" xfId="11031"/>
    <cellStyle name="Финансовый 2 2 2 2 12 2 14 4" xfId="33346"/>
    <cellStyle name="Финансовый 2 2 2 2 12 2 15" xfId="5643"/>
    <cellStyle name="Финансовый 2 2 2 2 12 2 15 2" xfId="18661"/>
    <cellStyle name="Финансовый 2 2 2 2 12 2 15 2 2" xfId="40976"/>
    <cellStyle name="Финансовый 2 2 2 2 12 2 15 3" xfId="12855"/>
    <cellStyle name="Финансовый 2 2 2 2 12 2 15 4" xfId="35170"/>
    <cellStyle name="Финансовый 2 2 2 2 12 2 16" xfId="294"/>
    <cellStyle name="Финансовый 2 2 2 2 12 2 16 2" xfId="14720"/>
    <cellStyle name="Финансовый 2 2 2 2 12 2 16 2 2" xfId="37035"/>
    <cellStyle name="Финансовый 2 2 2 2 12 2 16 3" xfId="8914"/>
    <cellStyle name="Финансовый 2 2 2 2 12 2 16 4" xfId="31249"/>
    <cellStyle name="Финансовый 2 2 2 2 12 2 17" xfId="4989"/>
    <cellStyle name="Финансовый 2 2 2 2 12 2 17 2" xfId="18300"/>
    <cellStyle name="Финансовый 2 2 2 2 12 2 17 2 2" xfId="40615"/>
    <cellStyle name="Финансовый 2 2 2 2 12 2 17 3" xfId="12494"/>
    <cellStyle name="Финансовый 2 2 2 2 12 2 17 4" xfId="34809"/>
    <cellStyle name="Финансовый 2 2 2 2 12 2 18" xfId="14821"/>
    <cellStyle name="Финансовый 2 2 2 2 12 2 18 2" xfId="37136"/>
    <cellStyle name="Финансовый 2 2 2 2 12 2 19" xfId="9015"/>
    <cellStyle name="Финансовый 2 2 2 2 12 2 2" xfId="657"/>
    <cellStyle name="Финансовый 2 2 2 2 12 2 2 2" xfId="15036"/>
    <cellStyle name="Финансовый 2 2 2 2 12 2 2 2 2" xfId="37351"/>
    <cellStyle name="Финансовый 2 2 2 2 12 2 2 3" xfId="9230"/>
    <cellStyle name="Финансовый 2 2 2 2 12 2 2 4" xfId="31554"/>
    <cellStyle name="Финансовый 2 2 2 2 12 2 20" xfId="31348"/>
    <cellStyle name="Финансовый 2 2 2 2 12 2 3" xfId="1414"/>
    <cellStyle name="Финансовый 2 2 2 2 12 2 3 2" xfId="15657"/>
    <cellStyle name="Финансовый 2 2 2 2 12 2 3 2 2" xfId="37972"/>
    <cellStyle name="Финансовый 2 2 2 2 12 2 3 3" xfId="9851"/>
    <cellStyle name="Финансовый 2 2 2 2 12 2 3 4" xfId="32166"/>
    <cellStyle name="Финансовый 2 2 2 2 12 2 4" xfId="1506"/>
    <cellStyle name="Финансовый 2 2 2 2 12 2 4 2" xfId="15748"/>
    <cellStyle name="Финансовый 2 2 2 2 12 2 4 2 2" xfId="38063"/>
    <cellStyle name="Финансовый 2 2 2 2 12 2 4 3" xfId="9942"/>
    <cellStyle name="Финансовый 2 2 2 2 12 2 4 4" xfId="32257"/>
    <cellStyle name="Финансовый 2 2 2 2 12 2 5" xfId="1386"/>
    <cellStyle name="Финансовый 2 2 2 2 12 2 5 2" xfId="15633"/>
    <cellStyle name="Финансовый 2 2 2 2 12 2 5 2 2" xfId="37948"/>
    <cellStyle name="Финансовый 2 2 2 2 12 2 5 3" xfId="9827"/>
    <cellStyle name="Финансовый 2 2 2 2 12 2 5 4" xfId="32142"/>
    <cellStyle name="Финансовый 2 2 2 2 12 2 6" xfId="1242"/>
    <cellStyle name="Финансовый 2 2 2 2 12 2 6 2" xfId="15502"/>
    <cellStyle name="Финансовый 2 2 2 2 12 2 6 2 2" xfId="37817"/>
    <cellStyle name="Финансовый 2 2 2 2 12 2 6 3" xfId="9696"/>
    <cellStyle name="Финансовый 2 2 2 2 12 2 6 4" xfId="32011"/>
    <cellStyle name="Финансовый 2 2 2 2 12 2 7" xfId="1626"/>
    <cellStyle name="Финансовый 2 2 2 2 12 2 7 2" xfId="15860"/>
    <cellStyle name="Финансовый 2 2 2 2 12 2 7 2 2" xfId="38175"/>
    <cellStyle name="Финансовый 2 2 2 2 12 2 7 3" xfId="10054"/>
    <cellStyle name="Финансовый 2 2 2 2 12 2 7 4" xfId="32369"/>
    <cellStyle name="Финансовый 2 2 2 2 12 2 8" xfId="459"/>
    <cellStyle name="Финансовый 2 2 2 2 12 2 8 2" xfId="14862"/>
    <cellStyle name="Финансовый 2 2 2 2 12 2 8 2 2" xfId="37177"/>
    <cellStyle name="Финансовый 2 2 2 2 12 2 8 3" xfId="9056"/>
    <cellStyle name="Финансовый 2 2 2 2 12 2 8 4" xfId="31389"/>
    <cellStyle name="Финансовый 2 2 2 2 12 2 9" xfId="1677"/>
    <cellStyle name="Финансовый 2 2 2 2 12 2 9 2" xfId="15906"/>
    <cellStyle name="Финансовый 2 2 2 2 12 2 9 2 2" xfId="38221"/>
    <cellStyle name="Финансовый 2 2 2 2 12 2 9 3" xfId="10100"/>
    <cellStyle name="Финансовый 2 2 2 2 12 2 9 4" xfId="32415"/>
    <cellStyle name="Финансовый 2 2 2 2 12 20" xfId="8235"/>
    <cellStyle name="Финансовый 2 2 2 2 12 20 2" xfId="20075"/>
    <cellStyle name="Финансовый 2 2 2 2 12 20 2 2" xfId="42390"/>
    <cellStyle name="Финансовый 2 2 2 2 12 20 3" xfId="14269"/>
    <cellStyle name="Финансовый 2 2 2 2 12 20 4" xfId="36584"/>
    <cellStyle name="Финансовый 2 2 2 2 12 21" xfId="7646"/>
    <cellStyle name="Финансовый 2 2 2 2 12 21 2" xfId="19738"/>
    <cellStyle name="Финансовый 2 2 2 2 12 21 2 2" xfId="42053"/>
    <cellStyle name="Финансовый 2 2 2 2 12 21 3" xfId="13932"/>
    <cellStyle name="Финансовый 2 2 2 2 12 21 4" xfId="36247"/>
    <cellStyle name="Финансовый 2 2 2 2 12 22" xfId="14602"/>
    <cellStyle name="Финансовый 2 2 2 2 12 22 2" xfId="36917"/>
    <cellStyle name="Финансовый 2 2 2 2 12 23" xfId="8796"/>
    <cellStyle name="Финансовый 2 2 2 2 12 24" xfId="31152"/>
    <cellStyle name="Финансовый 2 2 2 2 12 3" xfId="747"/>
    <cellStyle name="Финансовый 2 2 2 2 12 3 2" xfId="15125"/>
    <cellStyle name="Финансовый 2 2 2 2 12 3 2 2" xfId="37440"/>
    <cellStyle name="Финансовый 2 2 2 2 12 3 3" xfId="9319"/>
    <cellStyle name="Финансовый 2 2 2 2 12 3 4" xfId="31642"/>
    <cellStyle name="Финансовый 2 2 2 2 12 4" xfId="866"/>
    <cellStyle name="Финансовый 2 2 2 2 12 4 2" xfId="15206"/>
    <cellStyle name="Финансовый 2 2 2 2 12 4 2 2" xfId="37521"/>
    <cellStyle name="Финансовый 2 2 2 2 12 4 3" xfId="9400"/>
    <cellStyle name="Финансовый 2 2 2 2 12 4 4" xfId="31722"/>
    <cellStyle name="Финансовый 2 2 2 2 12 5" xfId="1008"/>
    <cellStyle name="Финансовый 2 2 2 2 12 5 2" xfId="15321"/>
    <cellStyle name="Финансовый 2 2 2 2 12 5 2 2" xfId="37636"/>
    <cellStyle name="Финансовый 2 2 2 2 12 5 3" xfId="9515"/>
    <cellStyle name="Финансовый 2 2 2 2 12 5 4" xfId="31834"/>
    <cellStyle name="Финансовый 2 2 2 2 12 6" xfId="1082"/>
    <cellStyle name="Финансовый 2 2 2 2 12 6 2" xfId="15395"/>
    <cellStyle name="Финансовый 2 2 2 2 12 6 2 2" xfId="37710"/>
    <cellStyle name="Финансовый 2 2 2 2 12 6 3" xfId="9589"/>
    <cellStyle name="Финансовый 2 2 2 2 12 6 4" xfId="31908"/>
    <cellStyle name="Финансовый 2 2 2 2 12 7" xfId="562"/>
    <cellStyle name="Финансовый 2 2 2 2 12 7 2" xfId="14959"/>
    <cellStyle name="Финансовый 2 2 2 2 12 7 2 2" xfId="37274"/>
    <cellStyle name="Финансовый 2 2 2 2 12 7 3" xfId="9153"/>
    <cellStyle name="Финансовый 2 2 2 2 12 7 4" xfId="31486"/>
    <cellStyle name="Финансовый 2 2 2 2 12 8" xfId="1513"/>
    <cellStyle name="Финансовый 2 2 2 2 12 8 2" xfId="15755"/>
    <cellStyle name="Финансовый 2 2 2 2 12 8 2 2" xfId="38070"/>
    <cellStyle name="Финансовый 2 2 2 2 12 8 3" xfId="9949"/>
    <cellStyle name="Финансовый 2 2 2 2 12 8 4" xfId="32264"/>
    <cellStyle name="Финансовый 2 2 2 2 12 9" xfId="1598"/>
    <cellStyle name="Финансовый 2 2 2 2 12 9 2" xfId="15834"/>
    <cellStyle name="Финансовый 2 2 2 2 12 9 2 2" xfId="38149"/>
    <cellStyle name="Финансовый 2 2 2 2 12 9 3" xfId="10028"/>
    <cellStyle name="Финансовый 2 2 2 2 12 9 4" xfId="32343"/>
    <cellStyle name="Финансовый 2 2 2 2 13" xfId="78"/>
    <cellStyle name="Финансовый 2 2 2 2 13 10" xfId="2044"/>
    <cellStyle name="Финансовый 2 2 2 2 13 10 2" xfId="16221"/>
    <cellStyle name="Финансовый 2 2 2 2 13 10 2 2" xfId="38536"/>
    <cellStyle name="Финансовый 2 2 2 2 13 10 3" xfId="10415"/>
    <cellStyle name="Финансовый 2 2 2 2 13 10 4" xfId="32730"/>
    <cellStyle name="Финансовый 2 2 2 2 13 11" xfId="2279"/>
    <cellStyle name="Финансовый 2 2 2 2 13 11 2" xfId="16414"/>
    <cellStyle name="Финансовый 2 2 2 2 13 11 2 2" xfId="38729"/>
    <cellStyle name="Финансовый 2 2 2 2 13 11 3" xfId="10608"/>
    <cellStyle name="Финансовый 2 2 2 2 13 11 4" xfId="32923"/>
    <cellStyle name="Финансовый 2 2 2 2 13 12" xfId="2513"/>
    <cellStyle name="Финансовый 2 2 2 2 13 12 2" xfId="16606"/>
    <cellStyle name="Финансовый 2 2 2 2 13 12 2 2" xfId="38921"/>
    <cellStyle name="Финансовый 2 2 2 2 13 12 3" xfId="10800"/>
    <cellStyle name="Финансовый 2 2 2 2 13 12 4" xfId="33115"/>
    <cellStyle name="Финансовый 2 2 2 2 13 13" xfId="2740"/>
    <cellStyle name="Финансовый 2 2 2 2 13 13 2" xfId="16792"/>
    <cellStyle name="Финансовый 2 2 2 2 13 13 2 2" xfId="39107"/>
    <cellStyle name="Финансовый 2 2 2 2 13 13 3" xfId="10986"/>
    <cellStyle name="Финансовый 2 2 2 2 13 13 4" xfId="33301"/>
    <cellStyle name="Финансовый 2 2 2 2 13 14" xfId="2958"/>
    <cellStyle name="Финансовый 2 2 2 2 13 14 2" xfId="16970"/>
    <cellStyle name="Финансовый 2 2 2 2 13 14 2 2" xfId="39285"/>
    <cellStyle name="Финансовый 2 2 2 2 13 14 3" xfId="11164"/>
    <cellStyle name="Финансовый 2 2 2 2 13 14 4" xfId="33479"/>
    <cellStyle name="Финансовый 2 2 2 2 13 15" xfId="3166"/>
    <cellStyle name="Финансовый 2 2 2 2 13 15 2" xfId="17139"/>
    <cellStyle name="Финансовый 2 2 2 2 13 15 2 2" xfId="39454"/>
    <cellStyle name="Финансовый 2 2 2 2 13 15 3" xfId="11333"/>
    <cellStyle name="Финансовый 2 2 2 2 13 15 4" xfId="33648"/>
    <cellStyle name="Финансовый 2 2 2 2 13 16" xfId="3358"/>
    <cellStyle name="Финансовый 2 2 2 2 13 16 2" xfId="17292"/>
    <cellStyle name="Финансовый 2 2 2 2 13 16 2 2" xfId="39607"/>
    <cellStyle name="Финансовый 2 2 2 2 13 16 3" xfId="11486"/>
    <cellStyle name="Финансовый 2 2 2 2 13 16 4" xfId="33801"/>
    <cellStyle name="Финансовый 2 2 2 2 13 17" xfId="3540"/>
    <cellStyle name="Финансовый 2 2 2 2 13 17 2" xfId="17435"/>
    <cellStyle name="Финансовый 2 2 2 2 13 17 2 2" xfId="39750"/>
    <cellStyle name="Финансовый 2 2 2 2 13 17 3" xfId="11629"/>
    <cellStyle name="Финансовый 2 2 2 2 13 17 4" xfId="33944"/>
    <cellStyle name="Финансовый 2 2 2 2 13 18" xfId="3702"/>
    <cellStyle name="Финансовый 2 2 2 2 13 18 2" xfId="17559"/>
    <cellStyle name="Финансовый 2 2 2 2 13 18 2 2" xfId="39874"/>
    <cellStyle name="Финансовый 2 2 2 2 13 18 3" xfId="11753"/>
    <cellStyle name="Финансовый 2 2 2 2 13 18 4" xfId="34068"/>
    <cellStyle name="Финансовый 2 2 2 2 13 19" xfId="7045"/>
    <cellStyle name="Финансовый 2 2 2 2 13 19 2" xfId="19412"/>
    <cellStyle name="Финансовый 2 2 2 2 13 19 2 2" xfId="41727"/>
    <cellStyle name="Финансовый 2 2 2 2 13 19 3" xfId="13606"/>
    <cellStyle name="Финансовый 2 2 2 2 13 19 4" xfId="35921"/>
    <cellStyle name="Финансовый 2 2 2 2 13 2" xfId="423"/>
    <cellStyle name="Финансовый 2 2 2 2 13 2 10" xfId="478"/>
    <cellStyle name="Финансовый 2 2 2 2 13 2 10 2" xfId="14880"/>
    <cellStyle name="Финансовый 2 2 2 2 13 2 10 2 2" xfId="37195"/>
    <cellStyle name="Финансовый 2 2 2 2 13 2 10 3" xfId="9074"/>
    <cellStyle name="Финансовый 2 2 2 2 13 2 10 4" xfId="31407"/>
    <cellStyle name="Финансовый 2 2 2 2 13 2 11" xfId="1540"/>
    <cellStyle name="Финансовый 2 2 2 2 13 2 11 2" xfId="15780"/>
    <cellStyle name="Финансовый 2 2 2 2 13 2 11 2 2" xfId="38095"/>
    <cellStyle name="Финансовый 2 2 2 2 13 2 11 3" xfId="9974"/>
    <cellStyle name="Финансовый 2 2 2 2 13 2 11 4" xfId="32289"/>
    <cellStyle name="Финансовый 2 2 2 2 13 2 12" xfId="1832"/>
    <cellStyle name="Финансовый 2 2 2 2 13 2 12 2" xfId="16049"/>
    <cellStyle name="Финансовый 2 2 2 2 13 2 12 2 2" xfId="38364"/>
    <cellStyle name="Финансовый 2 2 2 2 13 2 12 3" xfId="10243"/>
    <cellStyle name="Финансовый 2 2 2 2 13 2 12 4" xfId="32558"/>
    <cellStyle name="Финансовый 2 2 2 2 13 2 13" xfId="2070"/>
    <cellStyle name="Финансовый 2 2 2 2 13 2 13 2" xfId="16245"/>
    <cellStyle name="Финансовый 2 2 2 2 13 2 13 2 2" xfId="38560"/>
    <cellStyle name="Финансовый 2 2 2 2 13 2 13 3" xfId="10439"/>
    <cellStyle name="Финансовый 2 2 2 2 13 2 13 4" xfId="32754"/>
    <cellStyle name="Финансовый 2 2 2 2 13 2 14" xfId="2305"/>
    <cellStyle name="Финансовый 2 2 2 2 13 2 14 2" xfId="16438"/>
    <cellStyle name="Финансовый 2 2 2 2 13 2 14 2 2" xfId="38753"/>
    <cellStyle name="Финансовый 2 2 2 2 13 2 14 3" xfId="10632"/>
    <cellStyle name="Финансовый 2 2 2 2 13 2 14 4" xfId="32947"/>
    <cellStyle name="Финансовый 2 2 2 2 13 2 15" xfId="8343"/>
    <cellStyle name="Финансовый 2 2 2 2 13 2 15 2" xfId="20138"/>
    <cellStyle name="Финансовый 2 2 2 2 13 2 15 2 2" xfId="42453"/>
    <cellStyle name="Финансовый 2 2 2 2 13 2 15 3" xfId="14332"/>
    <cellStyle name="Финансовый 2 2 2 2 13 2 15 4" xfId="36647"/>
    <cellStyle name="Финансовый 2 2 2 2 13 2 16" xfId="5463"/>
    <cellStyle name="Финансовый 2 2 2 2 13 2 16 2" xfId="18565"/>
    <cellStyle name="Финансовый 2 2 2 2 13 2 16 2 2" xfId="40880"/>
    <cellStyle name="Финансовый 2 2 2 2 13 2 16 3" xfId="12759"/>
    <cellStyle name="Финансовый 2 2 2 2 13 2 16 4" xfId="35074"/>
    <cellStyle name="Финансовый 2 2 2 2 13 2 17" xfId="7565"/>
    <cellStyle name="Финансовый 2 2 2 2 13 2 17 2" xfId="19695"/>
    <cellStyle name="Финансовый 2 2 2 2 13 2 17 2 2" xfId="42010"/>
    <cellStyle name="Финансовый 2 2 2 2 13 2 17 3" xfId="13889"/>
    <cellStyle name="Финансовый 2 2 2 2 13 2 17 4" xfId="36204"/>
    <cellStyle name="Финансовый 2 2 2 2 13 2 18" xfId="14826"/>
    <cellStyle name="Финансовый 2 2 2 2 13 2 18 2" xfId="37141"/>
    <cellStyle name="Финансовый 2 2 2 2 13 2 19" xfId="9020"/>
    <cellStyle name="Финансовый 2 2 2 2 13 2 2" xfId="661"/>
    <cellStyle name="Финансовый 2 2 2 2 13 2 2 2" xfId="15040"/>
    <cellStyle name="Финансовый 2 2 2 2 13 2 2 2 2" xfId="37355"/>
    <cellStyle name="Финансовый 2 2 2 2 13 2 2 3" xfId="9234"/>
    <cellStyle name="Финансовый 2 2 2 2 13 2 2 4" xfId="31558"/>
    <cellStyle name="Финансовый 2 2 2 2 13 2 20" xfId="31353"/>
    <cellStyle name="Финансовый 2 2 2 2 13 2 3" xfId="1417"/>
    <cellStyle name="Финансовый 2 2 2 2 13 2 3 2" xfId="15660"/>
    <cellStyle name="Финансовый 2 2 2 2 13 2 3 2 2" xfId="37975"/>
    <cellStyle name="Финансовый 2 2 2 2 13 2 3 3" xfId="9854"/>
    <cellStyle name="Финансовый 2 2 2 2 13 2 3 4" xfId="32169"/>
    <cellStyle name="Финансовый 2 2 2 2 13 2 4" xfId="1367"/>
    <cellStyle name="Финансовый 2 2 2 2 13 2 4 2" xfId="15616"/>
    <cellStyle name="Финансовый 2 2 2 2 13 2 4 2 2" xfId="37931"/>
    <cellStyle name="Финансовый 2 2 2 2 13 2 4 3" xfId="9810"/>
    <cellStyle name="Финансовый 2 2 2 2 13 2 4 4" xfId="32125"/>
    <cellStyle name="Финансовый 2 2 2 2 13 2 5" xfId="1684"/>
    <cellStyle name="Финансовый 2 2 2 2 13 2 5 2" xfId="15913"/>
    <cellStyle name="Финансовый 2 2 2 2 13 2 5 2 2" xfId="38228"/>
    <cellStyle name="Финансовый 2 2 2 2 13 2 5 3" xfId="10107"/>
    <cellStyle name="Финансовый 2 2 2 2 13 2 5 4" xfId="32422"/>
    <cellStyle name="Финансовый 2 2 2 2 13 2 6" xfId="1556"/>
    <cellStyle name="Финансовый 2 2 2 2 13 2 6 2" xfId="15796"/>
    <cellStyle name="Финансовый 2 2 2 2 13 2 6 2 2" xfId="38111"/>
    <cellStyle name="Финансовый 2 2 2 2 13 2 6 3" xfId="9990"/>
    <cellStyle name="Финансовый 2 2 2 2 13 2 6 4" xfId="32305"/>
    <cellStyle name="Финансовый 2 2 2 2 13 2 7" xfId="1289"/>
    <cellStyle name="Финансовый 2 2 2 2 13 2 7 2" xfId="15546"/>
    <cellStyle name="Финансовый 2 2 2 2 13 2 7 2 2" xfId="37861"/>
    <cellStyle name="Финансовый 2 2 2 2 13 2 7 3" xfId="9740"/>
    <cellStyle name="Финансовый 2 2 2 2 13 2 7 4" xfId="32055"/>
    <cellStyle name="Финансовый 2 2 2 2 13 2 8" xfId="1454"/>
    <cellStyle name="Финансовый 2 2 2 2 13 2 8 2" xfId="15696"/>
    <cellStyle name="Финансовый 2 2 2 2 13 2 8 2 2" xfId="38011"/>
    <cellStyle name="Финансовый 2 2 2 2 13 2 8 3" xfId="9890"/>
    <cellStyle name="Финансовый 2 2 2 2 13 2 8 4" xfId="32205"/>
    <cellStyle name="Финансовый 2 2 2 2 13 2 9" xfId="1611"/>
    <cellStyle name="Финансовый 2 2 2 2 13 2 9 2" xfId="15845"/>
    <cellStyle name="Финансовый 2 2 2 2 13 2 9 2 2" xfId="38160"/>
    <cellStyle name="Финансовый 2 2 2 2 13 2 9 3" xfId="10039"/>
    <cellStyle name="Финансовый 2 2 2 2 13 2 9 4" xfId="32354"/>
    <cellStyle name="Финансовый 2 2 2 2 13 20" xfId="7767"/>
    <cellStyle name="Финансовый 2 2 2 2 13 20 2" xfId="19804"/>
    <cellStyle name="Финансовый 2 2 2 2 13 20 2 2" xfId="42119"/>
    <cellStyle name="Финансовый 2 2 2 2 13 20 3" xfId="13998"/>
    <cellStyle name="Финансовый 2 2 2 2 13 20 4" xfId="36313"/>
    <cellStyle name="Финансовый 2 2 2 2 13 21" xfId="8528"/>
    <cellStyle name="Финансовый 2 2 2 2 13 21 2" xfId="20244"/>
    <cellStyle name="Финансовый 2 2 2 2 13 21 2 2" xfId="42559"/>
    <cellStyle name="Финансовый 2 2 2 2 13 21 3" xfId="14438"/>
    <cellStyle name="Финансовый 2 2 2 2 13 21 4" xfId="36753"/>
    <cellStyle name="Финансовый 2 2 2 2 13 22" xfId="14605"/>
    <cellStyle name="Финансовый 2 2 2 2 13 22 2" xfId="36920"/>
    <cellStyle name="Финансовый 2 2 2 2 13 23" xfId="8799"/>
    <cellStyle name="Финансовый 2 2 2 2 13 24" xfId="31154"/>
    <cellStyle name="Финансовый 2 2 2 2 13 3" xfId="729"/>
    <cellStyle name="Финансовый 2 2 2 2 13 3 2" xfId="15107"/>
    <cellStyle name="Финансовый 2 2 2 2 13 3 2 2" xfId="37422"/>
    <cellStyle name="Финансовый 2 2 2 2 13 3 3" xfId="9301"/>
    <cellStyle name="Финансовый 2 2 2 2 13 3 4" xfId="31624"/>
    <cellStyle name="Финансовый 2 2 2 2 13 4" xfId="850"/>
    <cellStyle name="Финансовый 2 2 2 2 13 4 2" xfId="15190"/>
    <cellStyle name="Финансовый 2 2 2 2 13 4 2 2" xfId="37505"/>
    <cellStyle name="Финансовый 2 2 2 2 13 4 3" xfId="9384"/>
    <cellStyle name="Финансовый 2 2 2 2 13 4 4" xfId="31706"/>
    <cellStyle name="Финансовый 2 2 2 2 13 5" xfId="1011"/>
    <cellStyle name="Финансовый 2 2 2 2 13 5 2" xfId="15324"/>
    <cellStyle name="Финансовый 2 2 2 2 13 5 2 2" xfId="37639"/>
    <cellStyle name="Финансовый 2 2 2 2 13 5 3" xfId="9518"/>
    <cellStyle name="Финансовый 2 2 2 2 13 5 4" xfId="31837"/>
    <cellStyle name="Финансовый 2 2 2 2 13 6" xfId="1066"/>
    <cellStyle name="Финансовый 2 2 2 2 13 6 2" xfId="15379"/>
    <cellStyle name="Финансовый 2 2 2 2 13 6 2 2" xfId="37694"/>
    <cellStyle name="Финансовый 2 2 2 2 13 6 3" xfId="9573"/>
    <cellStyle name="Финансовый 2 2 2 2 13 6 4" xfId="31892"/>
    <cellStyle name="Финансовый 2 2 2 2 13 7" xfId="538"/>
    <cellStyle name="Финансовый 2 2 2 2 13 7 2" xfId="14939"/>
    <cellStyle name="Финансовый 2 2 2 2 13 7 2 2" xfId="37254"/>
    <cellStyle name="Финансовый 2 2 2 2 13 7 3" xfId="9133"/>
    <cellStyle name="Финансовый 2 2 2 2 13 7 4" xfId="31466"/>
    <cellStyle name="Финансовый 2 2 2 2 13 8" xfId="1276"/>
    <cellStyle name="Финансовый 2 2 2 2 13 8 2" xfId="15534"/>
    <cellStyle name="Финансовый 2 2 2 2 13 8 2 2" xfId="37849"/>
    <cellStyle name="Финансовый 2 2 2 2 13 8 3" xfId="9728"/>
    <cellStyle name="Финансовый 2 2 2 2 13 8 4" xfId="32043"/>
    <cellStyle name="Финансовый 2 2 2 2 13 9" xfId="1806"/>
    <cellStyle name="Финансовый 2 2 2 2 13 9 2" xfId="16025"/>
    <cellStyle name="Финансовый 2 2 2 2 13 9 2 2" xfId="38340"/>
    <cellStyle name="Финансовый 2 2 2 2 13 9 3" xfId="10219"/>
    <cellStyle name="Финансовый 2 2 2 2 13 9 4" xfId="32534"/>
    <cellStyle name="Финансовый 2 2 2 2 14" xfId="83"/>
    <cellStyle name="Финансовый 2 2 2 2 14 10" xfId="2087"/>
    <cellStyle name="Финансовый 2 2 2 2 14 10 2" xfId="16261"/>
    <cellStyle name="Финансовый 2 2 2 2 14 10 2 2" xfId="38576"/>
    <cellStyle name="Финансовый 2 2 2 2 14 10 3" xfId="10455"/>
    <cellStyle name="Финансовый 2 2 2 2 14 10 4" xfId="32770"/>
    <cellStyle name="Финансовый 2 2 2 2 14 11" xfId="2322"/>
    <cellStyle name="Финансовый 2 2 2 2 14 11 2" xfId="16454"/>
    <cellStyle name="Финансовый 2 2 2 2 14 11 2 2" xfId="38769"/>
    <cellStyle name="Финансовый 2 2 2 2 14 11 3" xfId="10648"/>
    <cellStyle name="Финансовый 2 2 2 2 14 11 4" xfId="32963"/>
    <cellStyle name="Финансовый 2 2 2 2 14 12" xfId="2554"/>
    <cellStyle name="Финансовый 2 2 2 2 14 12 2" xfId="16644"/>
    <cellStyle name="Финансовый 2 2 2 2 14 12 2 2" xfId="38959"/>
    <cellStyle name="Финансовый 2 2 2 2 14 12 3" xfId="10838"/>
    <cellStyle name="Финансовый 2 2 2 2 14 12 4" xfId="33153"/>
    <cellStyle name="Финансовый 2 2 2 2 14 13" xfId="2779"/>
    <cellStyle name="Финансовый 2 2 2 2 14 13 2" xfId="16828"/>
    <cellStyle name="Финансовый 2 2 2 2 14 13 2 2" xfId="39143"/>
    <cellStyle name="Финансовый 2 2 2 2 14 13 3" xfId="11022"/>
    <cellStyle name="Финансовый 2 2 2 2 14 13 4" xfId="33337"/>
    <cellStyle name="Финансовый 2 2 2 2 14 14" xfId="2995"/>
    <cellStyle name="Финансовый 2 2 2 2 14 14 2" xfId="17004"/>
    <cellStyle name="Финансовый 2 2 2 2 14 14 2 2" xfId="39319"/>
    <cellStyle name="Финансовый 2 2 2 2 14 14 3" xfId="11198"/>
    <cellStyle name="Финансовый 2 2 2 2 14 14 4" xfId="33513"/>
    <cellStyle name="Финансовый 2 2 2 2 14 15" xfId="3201"/>
    <cellStyle name="Финансовый 2 2 2 2 14 15 2" xfId="17171"/>
    <cellStyle name="Финансовый 2 2 2 2 14 15 2 2" xfId="39486"/>
    <cellStyle name="Финансовый 2 2 2 2 14 15 3" xfId="11365"/>
    <cellStyle name="Финансовый 2 2 2 2 14 15 4" xfId="33680"/>
    <cellStyle name="Финансовый 2 2 2 2 14 16" xfId="3389"/>
    <cellStyle name="Финансовый 2 2 2 2 14 16 2" xfId="17320"/>
    <cellStyle name="Финансовый 2 2 2 2 14 16 2 2" xfId="39635"/>
    <cellStyle name="Финансовый 2 2 2 2 14 16 3" xfId="11514"/>
    <cellStyle name="Финансовый 2 2 2 2 14 16 4" xfId="33829"/>
    <cellStyle name="Финансовый 2 2 2 2 14 17" xfId="3566"/>
    <cellStyle name="Финансовый 2 2 2 2 14 17 2" xfId="17459"/>
    <cellStyle name="Финансовый 2 2 2 2 14 17 2 2" xfId="39774"/>
    <cellStyle name="Финансовый 2 2 2 2 14 17 3" xfId="11653"/>
    <cellStyle name="Финансовый 2 2 2 2 14 17 4" xfId="33968"/>
    <cellStyle name="Финансовый 2 2 2 2 14 18" xfId="3725"/>
    <cellStyle name="Финансовый 2 2 2 2 14 18 2" xfId="17580"/>
    <cellStyle name="Финансовый 2 2 2 2 14 18 2 2" xfId="39895"/>
    <cellStyle name="Финансовый 2 2 2 2 14 18 3" xfId="11774"/>
    <cellStyle name="Финансовый 2 2 2 2 14 18 4" xfId="34089"/>
    <cellStyle name="Финансовый 2 2 2 2 14 19" xfId="7989"/>
    <cellStyle name="Финансовый 2 2 2 2 14 19 2" xfId="19938"/>
    <cellStyle name="Финансовый 2 2 2 2 14 19 2 2" xfId="42253"/>
    <cellStyle name="Финансовый 2 2 2 2 14 19 3" xfId="14132"/>
    <cellStyle name="Финансовый 2 2 2 2 14 19 4" xfId="36447"/>
    <cellStyle name="Финансовый 2 2 2 2 14 2" xfId="428"/>
    <cellStyle name="Финансовый 2 2 2 2 14 2 10" xfId="2975"/>
    <cellStyle name="Финансовый 2 2 2 2 14 2 10 2" xfId="16985"/>
    <cellStyle name="Финансовый 2 2 2 2 14 2 10 2 2" xfId="39300"/>
    <cellStyle name="Финансовый 2 2 2 2 14 2 10 3" xfId="11179"/>
    <cellStyle name="Финансовый 2 2 2 2 14 2 10 4" xfId="33494"/>
    <cellStyle name="Финансовый 2 2 2 2 14 2 11" xfId="3183"/>
    <cellStyle name="Финансовый 2 2 2 2 14 2 11 2" xfId="17154"/>
    <cellStyle name="Финансовый 2 2 2 2 14 2 11 2 2" xfId="39469"/>
    <cellStyle name="Финансовый 2 2 2 2 14 2 11 3" xfId="11348"/>
    <cellStyle name="Финансовый 2 2 2 2 14 2 11 4" xfId="33663"/>
    <cellStyle name="Финансовый 2 2 2 2 14 2 12" xfId="3372"/>
    <cellStyle name="Финансовый 2 2 2 2 14 2 12 2" xfId="17304"/>
    <cellStyle name="Финансовый 2 2 2 2 14 2 12 2 2" xfId="39619"/>
    <cellStyle name="Финансовый 2 2 2 2 14 2 12 3" xfId="11498"/>
    <cellStyle name="Финансовый 2 2 2 2 14 2 12 4" xfId="33813"/>
    <cellStyle name="Финансовый 2 2 2 2 14 2 13" xfId="3551"/>
    <cellStyle name="Финансовый 2 2 2 2 14 2 13 2" xfId="17445"/>
    <cellStyle name="Финансовый 2 2 2 2 14 2 13 2 2" xfId="39760"/>
    <cellStyle name="Финансовый 2 2 2 2 14 2 13 3" xfId="11639"/>
    <cellStyle name="Финансовый 2 2 2 2 14 2 13 4" xfId="33954"/>
    <cellStyle name="Финансовый 2 2 2 2 14 2 14" xfId="3712"/>
    <cellStyle name="Финансовый 2 2 2 2 14 2 14 2" xfId="17568"/>
    <cellStyle name="Финансовый 2 2 2 2 14 2 14 2 2" xfId="39883"/>
    <cellStyle name="Финансовый 2 2 2 2 14 2 14 3" xfId="11762"/>
    <cellStyle name="Финансовый 2 2 2 2 14 2 14 4" xfId="34077"/>
    <cellStyle name="Финансовый 2 2 2 2 14 2 15" xfId="8227"/>
    <cellStyle name="Финансовый 2 2 2 2 14 2 15 2" xfId="20070"/>
    <cellStyle name="Финансовый 2 2 2 2 14 2 15 2 2" xfId="42385"/>
    <cellStyle name="Финансовый 2 2 2 2 14 2 15 3" xfId="14264"/>
    <cellStyle name="Финансовый 2 2 2 2 14 2 15 4" xfId="36579"/>
    <cellStyle name="Финансовый 2 2 2 2 14 2 16" xfId="5525"/>
    <cellStyle name="Финансовый 2 2 2 2 14 2 16 2" xfId="18598"/>
    <cellStyle name="Финансовый 2 2 2 2 14 2 16 2 2" xfId="40913"/>
    <cellStyle name="Финансовый 2 2 2 2 14 2 16 3" xfId="12792"/>
    <cellStyle name="Финансовый 2 2 2 2 14 2 16 4" xfId="35107"/>
    <cellStyle name="Финансовый 2 2 2 2 14 2 17" xfId="4298"/>
    <cellStyle name="Финансовый 2 2 2 2 14 2 17 2" xfId="17924"/>
    <cellStyle name="Финансовый 2 2 2 2 14 2 17 2 2" xfId="40239"/>
    <cellStyle name="Финансовый 2 2 2 2 14 2 17 3" xfId="12118"/>
    <cellStyle name="Финансовый 2 2 2 2 14 2 17 4" xfId="34433"/>
    <cellStyle name="Финансовый 2 2 2 2 14 2 18" xfId="14831"/>
    <cellStyle name="Финансовый 2 2 2 2 14 2 18 2" xfId="37146"/>
    <cellStyle name="Финансовый 2 2 2 2 14 2 19" xfId="9025"/>
    <cellStyle name="Финансовый 2 2 2 2 14 2 2" xfId="665"/>
    <cellStyle name="Финансовый 2 2 2 2 14 2 2 2" xfId="15044"/>
    <cellStyle name="Финансовый 2 2 2 2 14 2 2 2 2" xfId="37359"/>
    <cellStyle name="Финансовый 2 2 2 2 14 2 2 3" xfId="9238"/>
    <cellStyle name="Финансовый 2 2 2 2 14 2 2 4" xfId="31562"/>
    <cellStyle name="Финансовый 2 2 2 2 14 2 20" xfId="31358"/>
    <cellStyle name="Финансовый 2 2 2 2 14 2 3" xfId="1421"/>
    <cellStyle name="Финансовый 2 2 2 2 14 2 3 2" xfId="15664"/>
    <cellStyle name="Финансовый 2 2 2 2 14 2 3 2 2" xfId="37979"/>
    <cellStyle name="Финансовый 2 2 2 2 14 2 3 3" xfId="9858"/>
    <cellStyle name="Финансовый 2 2 2 2 14 2 3 4" xfId="32173"/>
    <cellStyle name="Финансовый 2 2 2 2 14 2 4" xfId="1327"/>
    <cellStyle name="Финансовый 2 2 2 2 14 2 4 2" xfId="15581"/>
    <cellStyle name="Финансовый 2 2 2 2 14 2 4 2 2" xfId="37896"/>
    <cellStyle name="Финансовый 2 2 2 2 14 2 4 3" xfId="9775"/>
    <cellStyle name="Финансовый 2 2 2 2 14 2 4 4" xfId="32090"/>
    <cellStyle name="Финансовый 2 2 2 2 14 2 5" xfId="1825"/>
    <cellStyle name="Финансовый 2 2 2 2 14 2 5 2" xfId="16042"/>
    <cellStyle name="Финансовый 2 2 2 2 14 2 5 2 2" xfId="38357"/>
    <cellStyle name="Финансовый 2 2 2 2 14 2 5 3" xfId="10236"/>
    <cellStyle name="Финансовый 2 2 2 2 14 2 5 4" xfId="32551"/>
    <cellStyle name="Финансовый 2 2 2 2 14 2 6" xfId="2063"/>
    <cellStyle name="Финансовый 2 2 2 2 14 2 6 2" xfId="16238"/>
    <cellStyle name="Финансовый 2 2 2 2 14 2 6 2 2" xfId="38553"/>
    <cellStyle name="Финансовый 2 2 2 2 14 2 6 3" xfId="10432"/>
    <cellStyle name="Финансовый 2 2 2 2 14 2 6 4" xfId="32747"/>
    <cellStyle name="Финансовый 2 2 2 2 14 2 7" xfId="2298"/>
    <cellStyle name="Финансовый 2 2 2 2 14 2 7 2" xfId="16431"/>
    <cellStyle name="Финансовый 2 2 2 2 14 2 7 2 2" xfId="38746"/>
    <cellStyle name="Финансовый 2 2 2 2 14 2 7 3" xfId="10625"/>
    <cellStyle name="Финансовый 2 2 2 2 14 2 7 4" xfId="32940"/>
    <cellStyle name="Финансовый 2 2 2 2 14 2 8" xfId="2531"/>
    <cellStyle name="Финансовый 2 2 2 2 14 2 8 2" xfId="16622"/>
    <cellStyle name="Финансовый 2 2 2 2 14 2 8 2 2" xfId="38937"/>
    <cellStyle name="Финансовый 2 2 2 2 14 2 8 3" xfId="10816"/>
    <cellStyle name="Финансовый 2 2 2 2 14 2 8 4" xfId="33131"/>
    <cellStyle name="Финансовый 2 2 2 2 14 2 9" xfId="2757"/>
    <cellStyle name="Финансовый 2 2 2 2 14 2 9 2" xfId="16807"/>
    <cellStyle name="Финансовый 2 2 2 2 14 2 9 2 2" xfId="39122"/>
    <cellStyle name="Финансовый 2 2 2 2 14 2 9 3" xfId="11001"/>
    <cellStyle name="Финансовый 2 2 2 2 14 2 9 4" xfId="33316"/>
    <cellStyle name="Финансовый 2 2 2 2 14 20" xfId="8628"/>
    <cellStyle name="Финансовый 2 2 2 2 14 20 2" xfId="20303"/>
    <cellStyle name="Финансовый 2 2 2 2 14 20 2 2" xfId="42618"/>
    <cellStyle name="Финансовый 2 2 2 2 14 20 3" xfId="14497"/>
    <cellStyle name="Финансовый 2 2 2 2 14 20 4" xfId="36812"/>
    <cellStyle name="Финансовый 2 2 2 2 14 21" xfId="7068"/>
    <cellStyle name="Финансовый 2 2 2 2 14 21 2" xfId="19422"/>
    <cellStyle name="Финансовый 2 2 2 2 14 21 2 2" xfId="41737"/>
    <cellStyle name="Финансовый 2 2 2 2 14 21 3" xfId="13616"/>
    <cellStyle name="Финансовый 2 2 2 2 14 21 4" xfId="35931"/>
    <cellStyle name="Финансовый 2 2 2 2 14 22" xfId="14609"/>
    <cellStyle name="Финансовый 2 2 2 2 14 22 2" xfId="36924"/>
    <cellStyle name="Финансовый 2 2 2 2 14 23" xfId="8803"/>
    <cellStyle name="Финансовый 2 2 2 2 14 24" xfId="31156"/>
    <cellStyle name="Финансовый 2 2 2 2 14 3" xfId="714"/>
    <cellStyle name="Финансовый 2 2 2 2 14 3 2" xfId="15093"/>
    <cellStyle name="Финансовый 2 2 2 2 14 3 2 2" xfId="37408"/>
    <cellStyle name="Финансовый 2 2 2 2 14 3 3" xfId="9287"/>
    <cellStyle name="Финансовый 2 2 2 2 14 3 4" xfId="31610"/>
    <cellStyle name="Финансовый 2 2 2 2 14 4" xfId="836"/>
    <cellStyle name="Финансовый 2 2 2 2 14 4 2" xfId="15176"/>
    <cellStyle name="Финансовый 2 2 2 2 14 4 2 2" xfId="37491"/>
    <cellStyle name="Финансовый 2 2 2 2 14 4 3" xfId="9370"/>
    <cellStyle name="Финансовый 2 2 2 2 14 4 4" xfId="31692"/>
    <cellStyle name="Финансовый 2 2 2 2 14 5" xfId="1014"/>
    <cellStyle name="Финансовый 2 2 2 2 14 5 2" xfId="15327"/>
    <cellStyle name="Финансовый 2 2 2 2 14 5 2 2" xfId="37642"/>
    <cellStyle name="Финансовый 2 2 2 2 14 5 3" xfId="9521"/>
    <cellStyle name="Финансовый 2 2 2 2 14 5 4" xfId="31840"/>
    <cellStyle name="Финансовый 2 2 2 2 14 6" xfId="1052"/>
    <cellStyle name="Финансовый 2 2 2 2 14 6 2" xfId="15365"/>
    <cellStyle name="Финансовый 2 2 2 2 14 6 2 2" xfId="37680"/>
    <cellStyle name="Финансовый 2 2 2 2 14 6 3" xfId="9559"/>
    <cellStyle name="Финансовый 2 2 2 2 14 6 4" xfId="31878"/>
    <cellStyle name="Финансовый 2 2 2 2 14 7" xfId="516"/>
    <cellStyle name="Финансовый 2 2 2 2 14 7 2" xfId="14918"/>
    <cellStyle name="Финансовый 2 2 2 2 14 7 2 2" xfId="37233"/>
    <cellStyle name="Финансовый 2 2 2 2 14 7 3" xfId="9112"/>
    <cellStyle name="Финансовый 2 2 2 2 14 7 4" xfId="31445"/>
    <cellStyle name="Финансовый 2 2 2 2 14 8" xfId="1251"/>
    <cellStyle name="Финансовый 2 2 2 2 14 8 2" xfId="15511"/>
    <cellStyle name="Финансовый 2 2 2 2 14 8 2 2" xfId="37826"/>
    <cellStyle name="Финансовый 2 2 2 2 14 8 3" xfId="9705"/>
    <cellStyle name="Финансовый 2 2 2 2 14 8 4" xfId="32020"/>
    <cellStyle name="Финансовый 2 2 2 2 14 9" xfId="1849"/>
    <cellStyle name="Финансовый 2 2 2 2 14 9 2" xfId="16065"/>
    <cellStyle name="Финансовый 2 2 2 2 14 9 2 2" xfId="38380"/>
    <cellStyle name="Финансовый 2 2 2 2 14 9 3" xfId="10259"/>
    <cellStyle name="Финансовый 2 2 2 2 14 9 4" xfId="32574"/>
    <cellStyle name="Финансовый 2 2 2 2 15" xfId="88"/>
    <cellStyle name="Финансовый 2 2 2 2 15 10" xfId="2323"/>
    <cellStyle name="Финансовый 2 2 2 2 15 10 2" xfId="16455"/>
    <cellStyle name="Финансовый 2 2 2 2 15 10 2 2" xfId="38770"/>
    <cellStyle name="Финансовый 2 2 2 2 15 10 3" xfId="10649"/>
    <cellStyle name="Финансовый 2 2 2 2 15 10 4" xfId="32964"/>
    <cellStyle name="Финансовый 2 2 2 2 15 11" xfId="2555"/>
    <cellStyle name="Финансовый 2 2 2 2 15 11 2" xfId="16645"/>
    <cellStyle name="Финансовый 2 2 2 2 15 11 2 2" xfId="38960"/>
    <cellStyle name="Финансовый 2 2 2 2 15 11 3" xfId="10839"/>
    <cellStyle name="Финансовый 2 2 2 2 15 11 4" xfId="33154"/>
    <cellStyle name="Финансовый 2 2 2 2 15 12" xfId="2780"/>
    <cellStyle name="Финансовый 2 2 2 2 15 12 2" xfId="16829"/>
    <cellStyle name="Финансовый 2 2 2 2 15 12 2 2" xfId="39144"/>
    <cellStyle name="Финансовый 2 2 2 2 15 12 3" xfId="11023"/>
    <cellStyle name="Финансовый 2 2 2 2 15 12 4" xfId="33338"/>
    <cellStyle name="Финансовый 2 2 2 2 15 13" xfId="2996"/>
    <cellStyle name="Финансовый 2 2 2 2 15 13 2" xfId="17005"/>
    <cellStyle name="Финансовый 2 2 2 2 15 13 2 2" xfId="39320"/>
    <cellStyle name="Финансовый 2 2 2 2 15 13 3" xfId="11199"/>
    <cellStyle name="Финансовый 2 2 2 2 15 13 4" xfId="33514"/>
    <cellStyle name="Финансовый 2 2 2 2 15 14" xfId="3202"/>
    <cellStyle name="Финансовый 2 2 2 2 15 14 2" xfId="17172"/>
    <cellStyle name="Финансовый 2 2 2 2 15 14 2 2" xfId="39487"/>
    <cellStyle name="Финансовый 2 2 2 2 15 14 3" xfId="11366"/>
    <cellStyle name="Финансовый 2 2 2 2 15 14 4" xfId="33681"/>
    <cellStyle name="Финансовый 2 2 2 2 15 15" xfId="3390"/>
    <cellStyle name="Финансовый 2 2 2 2 15 15 2" xfId="17321"/>
    <cellStyle name="Финансовый 2 2 2 2 15 15 2 2" xfId="39636"/>
    <cellStyle name="Финансовый 2 2 2 2 15 15 3" xfId="11515"/>
    <cellStyle name="Финансовый 2 2 2 2 15 15 4" xfId="33830"/>
    <cellStyle name="Финансовый 2 2 2 2 15 16" xfId="3567"/>
    <cellStyle name="Финансовый 2 2 2 2 15 16 2" xfId="17460"/>
    <cellStyle name="Финансовый 2 2 2 2 15 16 2 2" xfId="39775"/>
    <cellStyle name="Финансовый 2 2 2 2 15 16 3" xfId="11654"/>
    <cellStyle name="Финансовый 2 2 2 2 15 16 4" xfId="33969"/>
    <cellStyle name="Финансовый 2 2 2 2 15 17" xfId="3726"/>
    <cellStyle name="Финансовый 2 2 2 2 15 17 2" xfId="17581"/>
    <cellStyle name="Финансовый 2 2 2 2 15 17 2 2" xfId="39896"/>
    <cellStyle name="Финансовый 2 2 2 2 15 17 3" xfId="11775"/>
    <cellStyle name="Финансовый 2 2 2 2 15 17 4" xfId="34090"/>
    <cellStyle name="Финансовый 2 2 2 2 15 18" xfId="3856"/>
    <cellStyle name="Финансовый 2 2 2 2 15 18 2" xfId="17678"/>
    <cellStyle name="Финансовый 2 2 2 2 15 18 2 2" xfId="39993"/>
    <cellStyle name="Финансовый 2 2 2 2 15 18 3" xfId="11872"/>
    <cellStyle name="Финансовый 2 2 2 2 15 18 4" xfId="34187"/>
    <cellStyle name="Финансовый 2 2 2 2 15 19" xfId="5256"/>
    <cellStyle name="Финансовый 2 2 2 2 15 19 2" xfId="18448"/>
    <cellStyle name="Финансовый 2 2 2 2 15 19 2 2" xfId="40763"/>
    <cellStyle name="Финансовый 2 2 2 2 15 19 3" xfId="12642"/>
    <cellStyle name="Финансовый 2 2 2 2 15 19 4" xfId="34957"/>
    <cellStyle name="Финансовый 2 2 2 2 15 2" xfId="433"/>
    <cellStyle name="Финансовый 2 2 2 2 15 2 10" xfId="2576"/>
    <cellStyle name="Финансовый 2 2 2 2 15 2 10 2" xfId="16663"/>
    <cellStyle name="Финансовый 2 2 2 2 15 2 10 2 2" xfId="38978"/>
    <cellStyle name="Финансовый 2 2 2 2 15 2 10 3" xfId="10857"/>
    <cellStyle name="Финансовый 2 2 2 2 15 2 10 4" xfId="33172"/>
    <cellStyle name="Финансовый 2 2 2 2 15 2 11" xfId="2799"/>
    <cellStyle name="Финансовый 2 2 2 2 15 2 11 2" xfId="16846"/>
    <cellStyle name="Финансовый 2 2 2 2 15 2 11 2 2" xfId="39161"/>
    <cellStyle name="Финансовый 2 2 2 2 15 2 11 3" xfId="11040"/>
    <cellStyle name="Финансовый 2 2 2 2 15 2 11 4" xfId="33355"/>
    <cellStyle name="Финансовый 2 2 2 2 15 2 12" xfId="3014"/>
    <cellStyle name="Финансовый 2 2 2 2 15 2 12 2" xfId="17021"/>
    <cellStyle name="Финансовый 2 2 2 2 15 2 12 2 2" xfId="39336"/>
    <cellStyle name="Финансовый 2 2 2 2 15 2 12 3" xfId="11215"/>
    <cellStyle name="Финансовый 2 2 2 2 15 2 12 4" xfId="33530"/>
    <cellStyle name="Финансовый 2 2 2 2 15 2 13" xfId="3218"/>
    <cellStyle name="Финансовый 2 2 2 2 15 2 13 2" xfId="17186"/>
    <cellStyle name="Финансовый 2 2 2 2 15 2 13 2 2" xfId="39501"/>
    <cellStyle name="Финансовый 2 2 2 2 15 2 13 3" xfId="11380"/>
    <cellStyle name="Финансовый 2 2 2 2 15 2 13 4" xfId="33695"/>
    <cellStyle name="Финансовый 2 2 2 2 15 2 14" xfId="3406"/>
    <cellStyle name="Финансовый 2 2 2 2 15 2 14 2" xfId="17335"/>
    <cellStyle name="Финансовый 2 2 2 2 15 2 14 2 2" xfId="39650"/>
    <cellStyle name="Финансовый 2 2 2 2 15 2 14 3" xfId="11529"/>
    <cellStyle name="Финансовый 2 2 2 2 15 2 14 4" xfId="33844"/>
    <cellStyle name="Финансовый 2 2 2 2 15 2 15" xfId="7795"/>
    <cellStyle name="Финансовый 2 2 2 2 15 2 15 2" xfId="19824"/>
    <cellStyle name="Финансовый 2 2 2 2 15 2 15 2 2" xfId="42139"/>
    <cellStyle name="Финансовый 2 2 2 2 15 2 15 3" xfId="14018"/>
    <cellStyle name="Финансовый 2 2 2 2 15 2 15 4" xfId="36333"/>
    <cellStyle name="Финансовый 2 2 2 2 15 2 16" xfId="6805"/>
    <cellStyle name="Финансовый 2 2 2 2 15 2 16 2" xfId="19281"/>
    <cellStyle name="Финансовый 2 2 2 2 15 2 16 2 2" xfId="41596"/>
    <cellStyle name="Финансовый 2 2 2 2 15 2 16 3" xfId="13475"/>
    <cellStyle name="Финансовый 2 2 2 2 15 2 16 4" xfId="35790"/>
    <cellStyle name="Финансовый 2 2 2 2 15 2 17" xfId="7163"/>
    <cellStyle name="Финансовый 2 2 2 2 15 2 17 2" xfId="19476"/>
    <cellStyle name="Финансовый 2 2 2 2 15 2 17 2 2" xfId="41791"/>
    <cellStyle name="Финансовый 2 2 2 2 15 2 17 3" xfId="13670"/>
    <cellStyle name="Финансовый 2 2 2 2 15 2 17 4" xfId="35985"/>
    <cellStyle name="Финансовый 2 2 2 2 15 2 18" xfId="14836"/>
    <cellStyle name="Финансовый 2 2 2 2 15 2 18 2" xfId="37151"/>
    <cellStyle name="Финансовый 2 2 2 2 15 2 19" xfId="9030"/>
    <cellStyle name="Финансовый 2 2 2 2 15 2 2" xfId="670"/>
    <cellStyle name="Финансовый 2 2 2 2 15 2 2 2" xfId="15049"/>
    <cellStyle name="Финансовый 2 2 2 2 15 2 2 2 2" xfId="37364"/>
    <cellStyle name="Финансовый 2 2 2 2 15 2 2 3" xfId="9243"/>
    <cellStyle name="Финансовый 2 2 2 2 15 2 2 4" xfId="31567"/>
    <cellStyle name="Финансовый 2 2 2 2 15 2 20" xfId="31363"/>
    <cellStyle name="Финансовый 2 2 2 2 15 2 3" xfId="1426"/>
    <cellStyle name="Финансовый 2 2 2 2 15 2 3 2" xfId="15669"/>
    <cellStyle name="Финансовый 2 2 2 2 15 2 3 2 2" xfId="37984"/>
    <cellStyle name="Финансовый 2 2 2 2 15 2 3 3" xfId="9863"/>
    <cellStyle name="Финансовый 2 2 2 2 15 2 3 4" xfId="32178"/>
    <cellStyle name="Финансовый 2 2 2 2 15 2 4" xfId="1623"/>
    <cellStyle name="Финансовый 2 2 2 2 15 2 4 2" xfId="15857"/>
    <cellStyle name="Финансовый 2 2 2 2 15 2 4 2 2" xfId="38172"/>
    <cellStyle name="Финансовый 2 2 2 2 15 2 4 3" xfId="10051"/>
    <cellStyle name="Финансовый 2 2 2 2 15 2 4 4" xfId="32366"/>
    <cellStyle name="Финансовый 2 2 2 2 15 2 5" xfId="535"/>
    <cellStyle name="Финансовый 2 2 2 2 15 2 5 2" xfId="14936"/>
    <cellStyle name="Финансовый 2 2 2 2 15 2 5 2 2" xfId="37251"/>
    <cellStyle name="Финансовый 2 2 2 2 15 2 5 3" xfId="9130"/>
    <cellStyle name="Финансовый 2 2 2 2 15 2 5 4" xfId="31463"/>
    <cellStyle name="Финансовый 2 2 2 2 15 2 6" xfId="1271"/>
    <cellStyle name="Финансовый 2 2 2 2 15 2 6 2" xfId="15531"/>
    <cellStyle name="Финансовый 2 2 2 2 15 2 6 2 2" xfId="37846"/>
    <cellStyle name="Финансовый 2 2 2 2 15 2 6 3" xfId="9725"/>
    <cellStyle name="Финансовый 2 2 2 2 15 2 6 4" xfId="32040"/>
    <cellStyle name="Финансовый 2 2 2 2 15 2 7" xfId="1871"/>
    <cellStyle name="Финансовый 2 2 2 2 15 2 7 2" xfId="16084"/>
    <cellStyle name="Финансовый 2 2 2 2 15 2 7 2 2" xfId="38399"/>
    <cellStyle name="Финансовый 2 2 2 2 15 2 7 3" xfId="10278"/>
    <cellStyle name="Финансовый 2 2 2 2 15 2 7 4" xfId="32593"/>
    <cellStyle name="Финансовый 2 2 2 2 15 2 8" xfId="2109"/>
    <cellStyle name="Финансовый 2 2 2 2 15 2 8 2" xfId="16280"/>
    <cellStyle name="Финансовый 2 2 2 2 15 2 8 2 2" xfId="38595"/>
    <cellStyle name="Финансовый 2 2 2 2 15 2 8 3" xfId="10474"/>
    <cellStyle name="Финансовый 2 2 2 2 15 2 8 4" xfId="32789"/>
    <cellStyle name="Финансовый 2 2 2 2 15 2 9" xfId="2344"/>
    <cellStyle name="Финансовый 2 2 2 2 15 2 9 2" xfId="16473"/>
    <cellStyle name="Финансовый 2 2 2 2 15 2 9 2 2" xfId="38788"/>
    <cellStyle name="Финансовый 2 2 2 2 15 2 9 3" xfId="10667"/>
    <cellStyle name="Финансовый 2 2 2 2 15 2 9 4" xfId="32982"/>
    <cellStyle name="Финансовый 2 2 2 2 15 20" xfId="7859"/>
    <cellStyle name="Финансовый 2 2 2 2 15 20 2" xfId="19857"/>
    <cellStyle name="Финансовый 2 2 2 2 15 20 2 2" xfId="42172"/>
    <cellStyle name="Финансовый 2 2 2 2 15 20 3" xfId="14051"/>
    <cellStyle name="Финансовый 2 2 2 2 15 20 4" xfId="36366"/>
    <cellStyle name="Финансовый 2 2 2 2 15 21" xfId="7516"/>
    <cellStyle name="Финансовый 2 2 2 2 15 21 2" xfId="19665"/>
    <cellStyle name="Финансовый 2 2 2 2 15 21 2 2" xfId="41980"/>
    <cellStyle name="Финансовый 2 2 2 2 15 21 3" xfId="13859"/>
    <cellStyle name="Финансовый 2 2 2 2 15 21 4" xfId="36174"/>
    <cellStyle name="Финансовый 2 2 2 2 15 22" xfId="14613"/>
    <cellStyle name="Финансовый 2 2 2 2 15 22 2" xfId="36928"/>
    <cellStyle name="Финансовый 2 2 2 2 15 23" xfId="8807"/>
    <cellStyle name="Финансовый 2 2 2 2 15 24" xfId="31158"/>
    <cellStyle name="Финансовый 2 2 2 2 15 3" xfId="696"/>
    <cellStyle name="Финансовый 2 2 2 2 15 3 2" xfId="15075"/>
    <cellStyle name="Финансовый 2 2 2 2 15 3 2 2" xfId="37390"/>
    <cellStyle name="Финансовый 2 2 2 2 15 3 3" xfId="9269"/>
    <cellStyle name="Финансовый 2 2 2 2 15 3 4" xfId="31592"/>
    <cellStyle name="Финансовый 2 2 2 2 15 4" xfId="651"/>
    <cellStyle name="Финансовый 2 2 2 2 15 4 2" xfId="15030"/>
    <cellStyle name="Финансовый 2 2 2 2 15 4 2 2" xfId="37345"/>
    <cellStyle name="Финансовый 2 2 2 2 15 4 3" xfId="9224"/>
    <cellStyle name="Финансовый 2 2 2 2 15 4 4" xfId="31548"/>
    <cellStyle name="Финансовый 2 2 2 2 15 5" xfId="1017"/>
    <cellStyle name="Финансовый 2 2 2 2 15 5 2" xfId="15330"/>
    <cellStyle name="Финансовый 2 2 2 2 15 5 2 2" xfId="37645"/>
    <cellStyle name="Финансовый 2 2 2 2 15 5 3" xfId="9524"/>
    <cellStyle name="Финансовый 2 2 2 2 15 5 4" xfId="31843"/>
    <cellStyle name="Финансовый 2 2 2 2 15 6" xfId="1036"/>
    <cellStyle name="Финансовый 2 2 2 2 15 6 2" xfId="15349"/>
    <cellStyle name="Финансовый 2 2 2 2 15 6 2 2" xfId="37664"/>
    <cellStyle name="Финансовый 2 2 2 2 15 6 3" xfId="9543"/>
    <cellStyle name="Финансовый 2 2 2 2 15 6 4" xfId="31862"/>
    <cellStyle name="Финансовый 2 2 2 2 15 7" xfId="496"/>
    <cellStyle name="Финансовый 2 2 2 2 15 7 2" xfId="14898"/>
    <cellStyle name="Финансовый 2 2 2 2 15 7 2 2" xfId="37213"/>
    <cellStyle name="Финансовый 2 2 2 2 15 7 3" xfId="9092"/>
    <cellStyle name="Финансовый 2 2 2 2 15 7 4" xfId="31425"/>
    <cellStyle name="Финансовый 2 2 2 2 15 8" xfId="1850"/>
    <cellStyle name="Финансовый 2 2 2 2 15 8 2" xfId="16066"/>
    <cellStyle name="Финансовый 2 2 2 2 15 8 2 2" xfId="38381"/>
    <cellStyle name="Финансовый 2 2 2 2 15 8 3" xfId="10260"/>
    <cellStyle name="Финансовый 2 2 2 2 15 8 4" xfId="32575"/>
    <cellStyle name="Финансовый 2 2 2 2 15 9" xfId="2088"/>
    <cellStyle name="Финансовый 2 2 2 2 15 9 2" xfId="16262"/>
    <cellStyle name="Финансовый 2 2 2 2 15 9 2 2" xfId="38577"/>
    <cellStyle name="Финансовый 2 2 2 2 15 9 3" xfId="10456"/>
    <cellStyle name="Финансовый 2 2 2 2 15 9 4" xfId="32771"/>
    <cellStyle name="Финансовый 2 2 2 2 16" xfId="93"/>
    <cellStyle name="Финансовый 2 2 2 2 16 10" xfId="1295"/>
    <cellStyle name="Финансовый 2 2 2 2 16 10 2" xfId="15552"/>
    <cellStyle name="Финансовый 2 2 2 2 16 10 2 2" xfId="37867"/>
    <cellStyle name="Финансовый 2 2 2 2 16 10 3" xfId="9746"/>
    <cellStyle name="Финансовый 2 2 2 2 16 10 4" xfId="32061"/>
    <cellStyle name="Финансовый 2 2 2 2 16 11" xfId="523"/>
    <cellStyle name="Финансовый 2 2 2 2 16 11 2" xfId="14924"/>
    <cellStyle name="Финансовый 2 2 2 2 16 11 2 2" xfId="37239"/>
    <cellStyle name="Финансовый 2 2 2 2 16 11 3" xfId="9118"/>
    <cellStyle name="Финансовый 2 2 2 2 16 11 4" xfId="31451"/>
    <cellStyle name="Финансовый 2 2 2 2 16 12" xfId="1555"/>
    <cellStyle name="Финансовый 2 2 2 2 16 12 2" xfId="15795"/>
    <cellStyle name="Финансовый 2 2 2 2 16 12 2 2" xfId="38110"/>
    <cellStyle name="Финансовый 2 2 2 2 16 12 3" xfId="9989"/>
    <cellStyle name="Финансовый 2 2 2 2 16 12 4" xfId="32304"/>
    <cellStyle name="Финансовый 2 2 2 2 16 13" xfId="1293"/>
    <cellStyle name="Финансовый 2 2 2 2 16 13 2" xfId="15550"/>
    <cellStyle name="Финансовый 2 2 2 2 16 13 2 2" xfId="37865"/>
    <cellStyle name="Финансовый 2 2 2 2 16 13 3" xfId="9744"/>
    <cellStyle name="Финансовый 2 2 2 2 16 13 4" xfId="32059"/>
    <cellStyle name="Финансовый 2 2 2 2 16 14" xfId="1487"/>
    <cellStyle name="Финансовый 2 2 2 2 16 14 2" xfId="15729"/>
    <cellStyle name="Финансовый 2 2 2 2 16 14 2 2" xfId="38044"/>
    <cellStyle name="Финансовый 2 2 2 2 16 14 3" xfId="9923"/>
    <cellStyle name="Финансовый 2 2 2 2 16 14 4" xfId="32238"/>
    <cellStyle name="Финансовый 2 2 2 2 16 15" xfId="1748"/>
    <cellStyle name="Финансовый 2 2 2 2 16 15 2" xfId="15971"/>
    <cellStyle name="Финансовый 2 2 2 2 16 15 2 2" xfId="38286"/>
    <cellStyle name="Финансовый 2 2 2 2 16 15 3" xfId="10165"/>
    <cellStyle name="Финансовый 2 2 2 2 16 15 4" xfId="32480"/>
    <cellStyle name="Финансовый 2 2 2 2 16 16" xfId="1986"/>
    <cellStyle name="Финансовый 2 2 2 2 16 16 2" xfId="16167"/>
    <cellStyle name="Финансовый 2 2 2 2 16 16 2 2" xfId="38482"/>
    <cellStyle name="Финансовый 2 2 2 2 16 16 3" xfId="10361"/>
    <cellStyle name="Финансовый 2 2 2 2 16 16 4" xfId="32676"/>
    <cellStyle name="Финансовый 2 2 2 2 16 17" xfId="2223"/>
    <cellStyle name="Финансовый 2 2 2 2 16 17 2" xfId="16362"/>
    <cellStyle name="Финансовый 2 2 2 2 16 17 2 2" xfId="38677"/>
    <cellStyle name="Финансовый 2 2 2 2 16 17 3" xfId="10556"/>
    <cellStyle name="Финансовый 2 2 2 2 16 17 4" xfId="32871"/>
    <cellStyle name="Финансовый 2 2 2 2 16 18" xfId="2458"/>
    <cellStyle name="Финансовый 2 2 2 2 16 18 2" xfId="16555"/>
    <cellStyle name="Финансовый 2 2 2 2 16 18 2 2" xfId="38870"/>
    <cellStyle name="Финансовый 2 2 2 2 16 18 3" xfId="10749"/>
    <cellStyle name="Финансовый 2 2 2 2 16 18 4" xfId="33064"/>
    <cellStyle name="Финансовый 2 2 2 2 16 19" xfId="4811"/>
    <cellStyle name="Финансовый 2 2 2 2 16 19 2" xfId="18208"/>
    <cellStyle name="Финансовый 2 2 2 2 16 19 2 2" xfId="40523"/>
    <cellStyle name="Финансовый 2 2 2 2 16 19 3" xfId="12402"/>
    <cellStyle name="Финансовый 2 2 2 2 16 19 4" xfId="34717"/>
    <cellStyle name="Финансовый 2 2 2 2 16 2" xfId="437"/>
    <cellStyle name="Финансовый 2 2 2 2 16 2 10" xfId="2205"/>
    <cellStyle name="Финансовый 2 2 2 2 16 2 10 2" xfId="16346"/>
    <cellStyle name="Финансовый 2 2 2 2 16 2 10 2 2" xfId="38661"/>
    <cellStyle name="Финансовый 2 2 2 2 16 2 10 3" xfId="10540"/>
    <cellStyle name="Финансовый 2 2 2 2 16 2 10 4" xfId="32855"/>
    <cellStyle name="Финансовый 2 2 2 2 16 2 11" xfId="2440"/>
    <cellStyle name="Финансовый 2 2 2 2 16 2 11 2" xfId="16539"/>
    <cellStyle name="Финансовый 2 2 2 2 16 2 11 2 2" xfId="38854"/>
    <cellStyle name="Финансовый 2 2 2 2 16 2 11 3" xfId="10733"/>
    <cellStyle name="Финансовый 2 2 2 2 16 2 11 4" xfId="33048"/>
    <cellStyle name="Финансовый 2 2 2 2 16 2 12" xfId="2672"/>
    <cellStyle name="Финансовый 2 2 2 2 16 2 12 2" xfId="16729"/>
    <cellStyle name="Финансовый 2 2 2 2 16 2 12 2 2" xfId="39044"/>
    <cellStyle name="Финансовый 2 2 2 2 16 2 12 3" xfId="10923"/>
    <cellStyle name="Финансовый 2 2 2 2 16 2 12 4" xfId="33238"/>
    <cellStyle name="Финансовый 2 2 2 2 16 2 13" xfId="2893"/>
    <cellStyle name="Финансовый 2 2 2 2 16 2 13 2" xfId="16910"/>
    <cellStyle name="Финансовый 2 2 2 2 16 2 13 2 2" xfId="39225"/>
    <cellStyle name="Финансовый 2 2 2 2 16 2 13 3" xfId="11104"/>
    <cellStyle name="Финансовый 2 2 2 2 16 2 13 4" xfId="33419"/>
    <cellStyle name="Финансовый 2 2 2 2 16 2 14" xfId="3106"/>
    <cellStyle name="Финансовый 2 2 2 2 16 2 14 2" xfId="17083"/>
    <cellStyle name="Финансовый 2 2 2 2 16 2 14 2 2" xfId="39398"/>
    <cellStyle name="Финансовый 2 2 2 2 16 2 14 3" xfId="11277"/>
    <cellStyle name="Финансовый 2 2 2 2 16 2 14 4" xfId="33592"/>
    <cellStyle name="Финансовый 2 2 2 2 16 2 15" xfId="4586"/>
    <cellStyle name="Финансовый 2 2 2 2 16 2 15 2" xfId="18081"/>
    <cellStyle name="Финансовый 2 2 2 2 16 2 15 2 2" xfId="40396"/>
    <cellStyle name="Финансовый 2 2 2 2 16 2 15 3" xfId="12275"/>
    <cellStyle name="Финансовый 2 2 2 2 16 2 15 4" xfId="34590"/>
    <cellStyle name="Финансовый 2 2 2 2 16 2 16" xfId="6641"/>
    <cellStyle name="Финансовый 2 2 2 2 16 2 16 2" xfId="19194"/>
    <cellStyle name="Финансовый 2 2 2 2 16 2 16 2 2" xfId="41509"/>
    <cellStyle name="Финансовый 2 2 2 2 16 2 16 3" xfId="13388"/>
    <cellStyle name="Финансовый 2 2 2 2 16 2 16 4" xfId="35703"/>
    <cellStyle name="Финансовый 2 2 2 2 16 2 17" xfId="6231"/>
    <cellStyle name="Финансовый 2 2 2 2 16 2 17 2" xfId="18976"/>
    <cellStyle name="Финансовый 2 2 2 2 16 2 17 2 2" xfId="41291"/>
    <cellStyle name="Финансовый 2 2 2 2 16 2 17 3" xfId="13170"/>
    <cellStyle name="Финансовый 2 2 2 2 16 2 17 4" xfId="35485"/>
    <cellStyle name="Финансовый 2 2 2 2 16 2 18" xfId="14840"/>
    <cellStyle name="Финансовый 2 2 2 2 16 2 18 2" xfId="37155"/>
    <cellStyle name="Финансовый 2 2 2 2 16 2 19" xfId="9034"/>
    <cellStyle name="Финансовый 2 2 2 2 16 2 2" xfId="672"/>
    <cellStyle name="Финансовый 2 2 2 2 16 2 2 2" xfId="15051"/>
    <cellStyle name="Финансовый 2 2 2 2 16 2 2 2 2" xfId="37366"/>
    <cellStyle name="Финансовый 2 2 2 2 16 2 2 3" xfId="9245"/>
    <cellStyle name="Финансовый 2 2 2 2 16 2 2 4" xfId="31569"/>
    <cellStyle name="Финансовый 2 2 2 2 16 2 20" xfId="31367"/>
    <cellStyle name="Финансовый 2 2 2 2 16 2 3" xfId="1428"/>
    <cellStyle name="Финансовый 2 2 2 2 16 2 3 2" xfId="15671"/>
    <cellStyle name="Финансовый 2 2 2 2 16 2 3 2 2" xfId="37986"/>
    <cellStyle name="Финансовый 2 2 2 2 16 2 3 3" xfId="9865"/>
    <cellStyle name="Финансовый 2 2 2 2 16 2 3 4" xfId="32180"/>
    <cellStyle name="Финансовый 2 2 2 2 16 2 4" xfId="1560"/>
    <cellStyle name="Финансовый 2 2 2 2 16 2 4 2" xfId="15799"/>
    <cellStyle name="Финансовый 2 2 2 2 16 2 4 2 2" xfId="38114"/>
    <cellStyle name="Финансовый 2 2 2 2 16 2 4 3" xfId="9993"/>
    <cellStyle name="Финансовый 2 2 2 2 16 2 4 4" xfId="32308"/>
    <cellStyle name="Финансовый 2 2 2 2 16 2 5" xfId="1269"/>
    <cellStyle name="Финансовый 2 2 2 2 16 2 5 2" xfId="15529"/>
    <cellStyle name="Финансовый 2 2 2 2 16 2 5 2 2" xfId="37844"/>
    <cellStyle name="Финансовый 2 2 2 2 16 2 5 3" xfId="9723"/>
    <cellStyle name="Финансовый 2 2 2 2 16 2 5 4" xfId="32038"/>
    <cellStyle name="Финансовый 2 2 2 2 16 2 6" xfId="1665"/>
    <cellStyle name="Финансовый 2 2 2 2 16 2 6 2" xfId="15894"/>
    <cellStyle name="Финансовый 2 2 2 2 16 2 6 2 2" xfId="38209"/>
    <cellStyle name="Финансовый 2 2 2 2 16 2 6 3" xfId="10088"/>
    <cellStyle name="Финансовый 2 2 2 2 16 2 6 4" xfId="32403"/>
    <cellStyle name="Финансовый 2 2 2 2 16 2 7" xfId="1400"/>
    <cellStyle name="Финансовый 2 2 2 2 16 2 7 2" xfId="15646"/>
    <cellStyle name="Финансовый 2 2 2 2 16 2 7 2 2" xfId="37961"/>
    <cellStyle name="Финансовый 2 2 2 2 16 2 7 3" xfId="9840"/>
    <cellStyle name="Финансовый 2 2 2 2 16 2 7 4" xfId="32155"/>
    <cellStyle name="Финансовый 2 2 2 2 16 2 8" xfId="1730"/>
    <cellStyle name="Финансовый 2 2 2 2 16 2 8 2" xfId="15955"/>
    <cellStyle name="Финансовый 2 2 2 2 16 2 8 2 2" xfId="38270"/>
    <cellStyle name="Финансовый 2 2 2 2 16 2 8 3" xfId="10149"/>
    <cellStyle name="Финансовый 2 2 2 2 16 2 8 4" xfId="32464"/>
    <cellStyle name="Финансовый 2 2 2 2 16 2 9" xfId="1968"/>
    <cellStyle name="Финансовый 2 2 2 2 16 2 9 2" xfId="16151"/>
    <cellStyle name="Финансовый 2 2 2 2 16 2 9 2 2" xfId="38466"/>
    <cellStyle name="Финансовый 2 2 2 2 16 2 9 3" xfId="10345"/>
    <cellStyle name="Финансовый 2 2 2 2 16 2 9 4" xfId="32660"/>
    <cellStyle name="Финансовый 2 2 2 2 16 20" xfId="4750"/>
    <cellStyle name="Финансовый 2 2 2 2 16 20 2" xfId="18176"/>
    <cellStyle name="Финансовый 2 2 2 2 16 20 2 2" xfId="40491"/>
    <cellStyle name="Финансовый 2 2 2 2 16 20 3" xfId="12370"/>
    <cellStyle name="Финансовый 2 2 2 2 16 20 4" xfId="34685"/>
    <cellStyle name="Финансовый 2 2 2 2 16 21" xfId="5818"/>
    <cellStyle name="Финансовый 2 2 2 2 16 21 2" xfId="18753"/>
    <cellStyle name="Финансовый 2 2 2 2 16 21 2 2" xfId="41068"/>
    <cellStyle name="Финансовый 2 2 2 2 16 21 3" xfId="12947"/>
    <cellStyle name="Финансовый 2 2 2 2 16 21 4" xfId="35262"/>
    <cellStyle name="Финансовый 2 2 2 2 16 22" xfId="14617"/>
    <cellStyle name="Финансовый 2 2 2 2 16 22 2" xfId="36932"/>
    <cellStyle name="Финансовый 2 2 2 2 16 23" xfId="8811"/>
    <cellStyle name="Финансовый 2 2 2 2 16 24" xfId="31160"/>
    <cellStyle name="Финансовый 2 2 2 2 16 3" xfId="826"/>
    <cellStyle name="Финансовый 2 2 2 2 16 3 2" xfId="15167"/>
    <cellStyle name="Финансовый 2 2 2 2 16 3 2 2" xfId="37482"/>
    <cellStyle name="Финансовый 2 2 2 2 16 3 3" xfId="9361"/>
    <cellStyle name="Финансовый 2 2 2 2 16 3 4" xfId="31683"/>
    <cellStyle name="Финансовый 2 2 2 2 16 4" xfId="906"/>
    <cellStyle name="Финансовый 2 2 2 2 16 4 2" xfId="15235"/>
    <cellStyle name="Финансовый 2 2 2 2 16 4 2 2" xfId="37550"/>
    <cellStyle name="Финансовый 2 2 2 2 16 4 3" xfId="9429"/>
    <cellStyle name="Финансовый 2 2 2 2 16 4 4" xfId="31749"/>
    <cellStyle name="Финансовый 2 2 2 2 16 5" xfId="1019"/>
    <cellStyle name="Финансовый 2 2 2 2 16 5 2" xfId="15332"/>
    <cellStyle name="Финансовый 2 2 2 2 16 5 2 2" xfId="37647"/>
    <cellStyle name="Финансовый 2 2 2 2 16 5 3" xfId="9526"/>
    <cellStyle name="Финансовый 2 2 2 2 16 5 4" xfId="31845"/>
    <cellStyle name="Финансовый 2 2 2 2 16 6" xfId="1122"/>
    <cellStyle name="Финансовый 2 2 2 2 16 6 2" xfId="15424"/>
    <cellStyle name="Финансовый 2 2 2 2 16 6 2 2" xfId="37739"/>
    <cellStyle name="Финансовый 2 2 2 2 16 6 3" xfId="9618"/>
    <cellStyle name="Финансовый 2 2 2 2 16 6 4" xfId="31935"/>
    <cellStyle name="Финансовый 2 2 2 2 16 7" xfId="471"/>
    <cellStyle name="Финансовый 2 2 2 2 16 7 2" xfId="14874"/>
    <cellStyle name="Финансовый 2 2 2 2 16 7 2 2" xfId="37189"/>
    <cellStyle name="Финансовый 2 2 2 2 16 7 3" xfId="9068"/>
    <cellStyle name="Финансовый 2 2 2 2 16 7 4" xfId="31401"/>
    <cellStyle name="Финансовый 2 2 2 2 16 8" xfId="405"/>
    <cellStyle name="Финансовый 2 2 2 2 16 8 2" xfId="14808"/>
    <cellStyle name="Финансовый 2 2 2 2 16 8 2 2" xfId="37123"/>
    <cellStyle name="Финансовый 2 2 2 2 16 8 3" xfId="9002"/>
    <cellStyle name="Финансовый 2 2 2 2 16 8 4" xfId="31335"/>
    <cellStyle name="Финансовый 2 2 2 2 16 9" xfId="1374"/>
    <cellStyle name="Финансовый 2 2 2 2 16 9 2" xfId="15623"/>
    <cellStyle name="Финансовый 2 2 2 2 16 9 2 2" xfId="37938"/>
    <cellStyle name="Финансовый 2 2 2 2 16 9 3" xfId="9817"/>
    <cellStyle name="Финансовый 2 2 2 2 16 9 4" xfId="32132"/>
    <cellStyle name="Финансовый 2 2 2 2 17" xfId="98"/>
    <cellStyle name="Финансовый 2 2 2 2 17 10" xfId="1237"/>
    <cellStyle name="Финансовый 2 2 2 2 17 10 2" xfId="15497"/>
    <cellStyle name="Финансовый 2 2 2 2 17 10 2 2" xfId="37812"/>
    <cellStyle name="Финансовый 2 2 2 2 17 10 3" xfId="9691"/>
    <cellStyle name="Финансовый 2 2 2 2 17 10 4" xfId="32006"/>
    <cellStyle name="Финансовый 2 2 2 2 17 11" xfId="1621"/>
    <cellStyle name="Финансовый 2 2 2 2 17 11 2" xfId="15855"/>
    <cellStyle name="Финансовый 2 2 2 2 17 11 2 2" xfId="38170"/>
    <cellStyle name="Финансовый 2 2 2 2 17 11 3" xfId="10049"/>
    <cellStyle name="Финансовый 2 2 2 2 17 11 4" xfId="32364"/>
    <cellStyle name="Финансовый 2 2 2 2 17 12" xfId="491"/>
    <cellStyle name="Финансовый 2 2 2 2 17 12 2" xfId="14893"/>
    <cellStyle name="Финансовый 2 2 2 2 17 12 2 2" xfId="37208"/>
    <cellStyle name="Финансовый 2 2 2 2 17 12 3" xfId="9087"/>
    <cellStyle name="Финансовый 2 2 2 2 17 12 4" xfId="31420"/>
    <cellStyle name="Финансовый 2 2 2 2 17 13" xfId="1709"/>
    <cellStyle name="Финансовый 2 2 2 2 17 13 2" xfId="15935"/>
    <cellStyle name="Финансовый 2 2 2 2 17 13 2 2" xfId="38250"/>
    <cellStyle name="Финансовый 2 2 2 2 17 13 3" xfId="10129"/>
    <cellStyle name="Финансовый 2 2 2 2 17 13 4" xfId="32444"/>
    <cellStyle name="Финансовый 2 2 2 2 17 14" xfId="1418"/>
    <cellStyle name="Финансовый 2 2 2 2 17 14 2" xfId="15661"/>
    <cellStyle name="Финансовый 2 2 2 2 17 14 2 2" xfId="37976"/>
    <cellStyle name="Финансовый 2 2 2 2 17 14 3" xfId="9855"/>
    <cellStyle name="Финансовый 2 2 2 2 17 14 4" xfId="32170"/>
    <cellStyle name="Финансовый 2 2 2 2 17 15" xfId="1343"/>
    <cellStyle name="Финансовый 2 2 2 2 17 15 2" xfId="15596"/>
    <cellStyle name="Финансовый 2 2 2 2 17 15 2 2" xfId="37911"/>
    <cellStyle name="Финансовый 2 2 2 2 17 15 3" xfId="9790"/>
    <cellStyle name="Финансовый 2 2 2 2 17 15 4" xfId="32105"/>
    <cellStyle name="Финансовый 2 2 2 2 17 16" xfId="1524"/>
    <cellStyle name="Финансовый 2 2 2 2 17 16 2" xfId="15764"/>
    <cellStyle name="Финансовый 2 2 2 2 17 16 2 2" xfId="38079"/>
    <cellStyle name="Финансовый 2 2 2 2 17 16 3" xfId="9958"/>
    <cellStyle name="Финансовый 2 2 2 2 17 16 4" xfId="32273"/>
    <cellStyle name="Финансовый 2 2 2 2 17 17" xfId="1353"/>
    <cellStyle name="Финансовый 2 2 2 2 17 17 2" xfId="15605"/>
    <cellStyle name="Финансовый 2 2 2 2 17 17 2 2" xfId="37920"/>
    <cellStyle name="Финансовый 2 2 2 2 17 17 3" xfId="9799"/>
    <cellStyle name="Финансовый 2 2 2 2 17 17 4" xfId="32114"/>
    <cellStyle name="Финансовый 2 2 2 2 17 18" xfId="1317"/>
    <cellStyle name="Финансовый 2 2 2 2 17 18 2" xfId="15572"/>
    <cellStyle name="Финансовый 2 2 2 2 17 18 2 2" xfId="37887"/>
    <cellStyle name="Финансовый 2 2 2 2 17 18 3" xfId="9766"/>
    <cellStyle name="Финансовый 2 2 2 2 17 18 4" xfId="32081"/>
    <cellStyle name="Финансовый 2 2 2 2 17 19" xfId="6659"/>
    <cellStyle name="Финансовый 2 2 2 2 17 19 2" xfId="19202"/>
    <cellStyle name="Финансовый 2 2 2 2 17 19 2 2" xfId="41517"/>
    <cellStyle name="Финансовый 2 2 2 2 17 19 3" xfId="13396"/>
    <cellStyle name="Финансовый 2 2 2 2 17 19 4" xfId="35711"/>
    <cellStyle name="Финансовый 2 2 2 2 17 2" xfId="441"/>
    <cellStyle name="Финансовый 2 2 2 2 17 2 10" xfId="3174"/>
    <cellStyle name="Финансовый 2 2 2 2 17 2 10 2" xfId="17146"/>
    <cellStyle name="Финансовый 2 2 2 2 17 2 10 2 2" xfId="39461"/>
    <cellStyle name="Финансовый 2 2 2 2 17 2 10 3" xfId="11340"/>
    <cellStyle name="Финансовый 2 2 2 2 17 2 10 4" xfId="33655"/>
    <cellStyle name="Финансовый 2 2 2 2 17 2 11" xfId="3363"/>
    <cellStyle name="Финансовый 2 2 2 2 17 2 11 2" xfId="17296"/>
    <cellStyle name="Финансовый 2 2 2 2 17 2 11 2 2" xfId="39611"/>
    <cellStyle name="Финансовый 2 2 2 2 17 2 11 3" xfId="11490"/>
    <cellStyle name="Финансовый 2 2 2 2 17 2 11 4" xfId="33805"/>
    <cellStyle name="Финансовый 2 2 2 2 17 2 12" xfId="3545"/>
    <cellStyle name="Финансовый 2 2 2 2 17 2 12 2" xfId="17439"/>
    <cellStyle name="Финансовый 2 2 2 2 17 2 12 2 2" xfId="39754"/>
    <cellStyle name="Финансовый 2 2 2 2 17 2 12 3" xfId="11633"/>
    <cellStyle name="Финансовый 2 2 2 2 17 2 12 4" xfId="33948"/>
    <cellStyle name="Финансовый 2 2 2 2 17 2 13" xfId="3707"/>
    <cellStyle name="Финансовый 2 2 2 2 17 2 13 2" xfId="17563"/>
    <cellStyle name="Финансовый 2 2 2 2 17 2 13 2 2" xfId="39878"/>
    <cellStyle name="Финансовый 2 2 2 2 17 2 13 3" xfId="11757"/>
    <cellStyle name="Финансовый 2 2 2 2 17 2 13 4" xfId="34072"/>
    <cellStyle name="Финансовый 2 2 2 2 17 2 14" xfId="3845"/>
    <cellStyle name="Финансовый 2 2 2 2 17 2 14 2" xfId="17667"/>
    <cellStyle name="Финансовый 2 2 2 2 17 2 14 2 2" xfId="39982"/>
    <cellStyle name="Финансовый 2 2 2 2 17 2 14 3" xfId="11861"/>
    <cellStyle name="Финансовый 2 2 2 2 17 2 14 4" xfId="34176"/>
    <cellStyle name="Финансовый 2 2 2 2 17 2 15" xfId="8128"/>
    <cellStyle name="Финансовый 2 2 2 2 17 2 15 2" xfId="20011"/>
    <cellStyle name="Финансовый 2 2 2 2 17 2 15 2 2" xfId="42326"/>
    <cellStyle name="Финансовый 2 2 2 2 17 2 15 3" xfId="14205"/>
    <cellStyle name="Финансовый 2 2 2 2 17 2 15 4" xfId="36520"/>
    <cellStyle name="Финансовый 2 2 2 2 17 2 16" xfId="5173"/>
    <cellStyle name="Финансовый 2 2 2 2 17 2 16 2" xfId="18403"/>
    <cellStyle name="Финансовый 2 2 2 2 17 2 16 2 2" xfId="40718"/>
    <cellStyle name="Финансовый 2 2 2 2 17 2 16 3" xfId="12597"/>
    <cellStyle name="Финансовый 2 2 2 2 17 2 16 4" xfId="34912"/>
    <cellStyle name="Финансовый 2 2 2 2 17 2 17" xfId="7961"/>
    <cellStyle name="Финансовый 2 2 2 2 17 2 17 2" xfId="19915"/>
    <cellStyle name="Финансовый 2 2 2 2 17 2 17 2 2" xfId="42230"/>
    <cellStyle name="Финансовый 2 2 2 2 17 2 17 3" xfId="14109"/>
    <cellStyle name="Финансовый 2 2 2 2 17 2 17 4" xfId="36424"/>
    <cellStyle name="Финансовый 2 2 2 2 17 2 18" xfId="14844"/>
    <cellStyle name="Финансовый 2 2 2 2 17 2 18 2" xfId="37159"/>
    <cellStyle name="Финансовый 2 2 2 2 17 2 19" xfId="9038"/>
    <cellStyle name="Финансовый 2 2 2 2 17 2 2" xfId="677"/>
    <cellStyle name="Финансовый 2 2 2 2 17 2 2 2" xfId="15056"/>
    <cellStyle name="Финансовый 2 2 2 2 17 2 2 2 2" xfId="37371"/>
    <cellStyle name="Финансовый 2 2 2 2 17 2 2 3" xfId="9250"/>
    <cellStyle name="Финансовый 2 2 2 2 17 2 2 4" xfId="31574"/>
    <cellStyle name="Финансовый 2 2 2 2 17 2 20" xfId="31371"/>
    <cellStyle name="Финансовый 2 2 2 2 17 2 3" xfId="1433"/>
    <cellStyle name="Финансовый 2 2 2 2 17 2 3 2" xfId="15676"/>
    <cellStyle name="Финансовый 2 2 2 2 17 2 3 2 2" xfId="37991"/>
    <cellStyle name="Финансовый 2 2 2 2 17 2 3 3" xfId="9870"/>
    <cellStyle name="Финансовый 2 2 2 2 17 2 3 4" xfId="32185"/>
    <cellStyle name="Финансовый 2 2 2 2 17 2 4" xfId="1815"/>
    <cellStyle name="Финансовый 2 2 2 2 17 2 4 2" xfId="16033"/>
    <cellStyle name="Финансовый 2 2 2 2 17 2 4 2 2" xfId="38348"/>
    <cellStyle name="Финансовый 2 2 2 2 17 2 4 3" xfId="10227"/>
    <cellStyle name="Финансовый 2 2 2 2 17 2 4 4" xfId="32542"/>
    <cellStyle name="Финансовый 2 2 2 2 17 2 5" xfId="2053"/>
    <cellStyle name="Финансовый 2 2 2 2 17 2 5 2" xfId="16229"/>
    <cellStyle name="Финансовый 2 2 2 2 17 2 5 2 2" xfId="38544"/>
    <cellStyle name="Финансовый 2 2 2 2 17 2 5 3" xfId="10423"/>
    <cellStyle name="Финансовый 2 2 2 2 17 2 5 4" xfId="32738"/>
    <cellStyle name="Финансовый 2 2 2 2 17 2 6" xfId="2288"/>
    <cellStyle name="Финансовый 2 2 2 2 17 2 6 2" xfId="16422"/>
    <cellStyle name="Финансовый 2 2 2 2 17 2 6 2 2" xfId="38737"/>
    <cellStyle name="Финансовый 2 2 2 2 17 2 6 3" xfId="10616"/>
    <cellStyle name="Финансовый 2 2 2 2 17 2 6 4" xfId="32931"/>
    <cellStyle name="Финансовый 2 2 2 2 17 2 7" xfId="2521"/>
    <cellStyle name="Финансовый 2 2 2 2 17 2 7 2" xfId="16613"/>
    <cellStyle name="Финансовый 2 2 2 2 17 2 7 2 2" xfId="38928"/>
    <cellStyle name="Финансовый 2 2 2 2 17 2 7 3" xfId="10807"/>
    <cellStyle name="Финансовый 2 2 2 2 17 2 7 4" xfId="33122"/>
    <cellStyle name="Финансовый 2 2 2 2 17 2 8" xfId="2748"/>
    <cellStyle name="Финансовый 2 2 2 2 17 2 8 2" xfId="16799"/>
    <cellStyle name="Финансовый 2 2 2 2 17 2 8 2 2" xfId="39114"/>
    <cellStyle name="Финансовый 2 2 2 2 17 2 8 3" xfId="10993"/>
    <cellStyle name="Финансовый 2 2 2 2 17 2 8 4" xfId="33308"/>
    <cellStyle name="Финансовый 2 2 2 2 17 2 9" xfId="2966"/>
    <cellStyle name="Финансовый 2 2 2 2 17 2 9 2" xfId="16977"/>
    <cellStyle name="Финансовый 2 2 2 2 17 2 9 2 2" xfId="39292"/>
    <cellStyle name="Финансовый 2 2 2 2 17 2 9 3" xfId="11171"/>
    <cellStyle name="Финансовый 2 2 2 2 17 2 9 4" xfId="33486"/>
    <cellStyle name="Финансовый 2 2 2 2 17 20" xfId="4423"/>
    <cellStyle name="Финансовый 2 2 2 2 17 20 2" xfId="17996"/>
    <cellStyle name="Финансовый 2 2 2 2 17 20 2 2" xfId="40311"/>
    <cellStyle name="Финансовый 2 2 2 2 17 20 3" xfId="12190"/>
    <cellStyle name="Финансовый 2 2 2 2 17 20 4" xfId="34505"/>
    <cellStyle name="Финансовый 2 2 2 2 17 21" xfId="7267"/>
    <cellStyle name="Финансовый 2 2 2 2 17 21 2" xfId="19535"/>
    <cellStyle name="Финансовый 2 2 2 2 17 21 2 2" xfId="41850"/>
    <cellStyle name="Финансовый 2 2 2 2 17 21 3" xfId="13729"/>
    <cellStyle name="Финансовый 2 2 2 2 17 21 4" xfId="36044"/>
    <cellStyle name="Финансовый 2 2 2 2 17 22" xfId="14621"/>
    <cellStyle name="Финансовый 2 2 2 2 17 22 2" xfId="36936"/>
    <cellStyle name="Финансовый 2 2 2 2 17 23" xfId="8815"/>
    <cellStyle name="Финансовый 2 2 2 2 17 24" xfId="31162"/>
    <cellStyle name="Финансовый 2 2 2 2 17 3" xfId="673"/>
    <cellStyle name="Финансовый 2 2 2 2 17 3 2" xfId="15052"/>
    <cellStyle name="Финансовый 2 2 2 2 17 3 2 2" xfId="37367"/>
    <cellStyle name="Финансовый 2 2 2 2 17 3 3" xfId="9246"/>
    <cellStyle name="Финансовый 2 2 2 2 17 3 4" xfId="31570"/>
    <cellStyle name="Финансовый 2 2 2 2 17 4" xfId="727"/>
    <cellStyle name="Финансовый 2 2 2 2 17 4 2" xfId="15105"/>
    <cellStyle name="Финансовый 2 2 2 2 17 4 2 2" xfId="37420"/>
    <cellStyle name="Финансовый 2 2 2 2 17 4 3" xfId="9299"/>
    <cellStyle name="Финансовый 2 2 2 2 17 4 4" xfId="31622"/>
    <cellStyle name="Финансовый 2 2 2 2 17 5" xfId="1024"/>
    <cellStyle name="Финансовый 2 2 2 2 17 5 2" xfId="15337"/>
    <cellStyle name="Финансовый 2 2 2 2 17 5 2 2" xfId="37652"/>
    <cellStyle name="Финансовый 2 2 2 2 17 5 3" xfId="9531"/>
    <cellStyle name="Финансовый 2 2 2 2 17 5 4" xfId="31850"/>
    <cellStyle name="Финансовый 2 2 2 2 17 6" xfId="993"/>
    <cellStyle name="Финансовый 2 2 2 2 17 6 2" xfId="15306"/>
    <cellStyle name="Финансовый 2 2 2 2 17 6 2 2" xfId="37621"/>
    <cellStyle name="Финансовый 2 2 2 2 17 6 3" xfId="9500"/>
    <cellStyle name="Финансовый 2 2 2 2 17 6 4" xfId="31819"/>
    <cellStyle name="Финансовый 2 2 2 2 17 7" xfId="369"/>
    <cellStyle name="Финансовый 2 2 2 2 17 7 2" xfId="14772"/>
    <cellStyle name="Финансовый 2 2 2 2 17 7 2 2" xfId="37087"/>
    <cellStyle name="Финансовый 2 2 2 2 17 7 3" xfId="8966"/>
    <cellStyle name="Финансовый 2 2 2 2 17 7 4" xfId="31299"/>
    <cellStyle name="Финансовый 2 2 2 2 17 8" xfId="447"/>
    <cellStyle name="Финансовый 2 2 2 2 17 8 2" xfId="14850"/>
    <cellStyle name="Финансовый 2 2 2 2 17 8 2 2" xfId="37165"/>
    <cellStyle name="Финансовый 2 2 2 2 17 8 3" xfId="9044"/>
    <cellStyle name="Финансовый 2 2 2 2 17 8 4" xfId="31377"/>
    <cellStyle name="Финансовый 2 2 2 2 17 9" xfId="374"/>
    <cellStyle name="Финансовый 2 2 2 2 17 9 2" xfId="14777"/>
    <cellStyle name="Финансовый 2 2 2 2 17 9 2 2" xfId="37092"/>
    <cellStyle name="Финансовый 2 2 2 2 17 9 3" xfId="8971"/>
    <cellStyle name="Финансовый 2 2 2 2 17 9 4" xfId="31304"/>
    <cellStyle name="Финансовый 2 2 2 2 18" xfId="103"/>
    <cellStyle name="Финансовый 2 2 2 2 18 10" xfId="2257"/>
    <cellStyle name="Финансовый 2 2 2 2 18 10 2" xfId="16393"/>
    <cellStyle name="Финансовый 2 2 2 2 18 10 2 2" xfId="38708"/>
    <cellStyle name="Финансовый 2 2 2 2 18 10 3" xfId="10587"/>
    <cellStyle name="Финансовый 2 2 2 2 18 10 4" xfId="32902"/>
    <cellStyle name="Финансовый 2 2 2 2 18 11" xfId="2491"/>
    <cellStyle name="Финансовый 2 2 2 2 18 11 2" xfId="16585"/>
    <cellStyle name="Финансовый 2 2 2 2 18 11 2 2" xfId="38900"/>
    <cellStyle name="Финансовый 2 2 2 2 18 11 3" xfId="10779"/>
    <cellStyle name="Финансовый 2 2 2 2 18 11 4" xfId="33094"/>
    <cellStyle name="Финансовый 2 2 2 2 18 12" xfId="2719"/>
    <cellStyle name="Финансовый 2 2 2 2 18 12 2" xfId="16772"/>
    <cellStyle name="Финансовый 2 2 2 2 18 12 2 2" xfId="39087"/>
    <cellStyle name="Финансовый 2 2 2 2 18 12 3" xfId="10966"/>
    <cellStyle name="Финансовый 2 2 2 2 18 12 4" xfId="33281"/>
    <cellStyle name="Финансовый 2 2 2 2 18 13" xfId="2939"/>
    <cellStyle name="Финансовый 2 2 2 2 18 13 2" xfId="16952"/>
    <cellStyle name="Финансовый 2 2 2 2 18 13 2 2" xfId="39267"/>
    <cellStyle name="Финансовый 2 2 2 2 18 13 3" xfId="11146"/>
    <cellStyle name="Финансовый 2 2 2 2 18 13 4" xfId="33461"/>
    <cellStyle name="Финансовый 2 2 2 2 18 14" xfId="3149"/>
    <cellStyle name="Финансовый 2 2 2 2 18 14 2" xfId="17123"/>
    <cellStyle name="Финансовый 2 2 2 2 18 14 2 2" xfId="39438"/>
    <cellStyle name="Финансовый 2 2 2 2 18 14 3" xfId="11317"/>
    <cellStyle name="Финансовый 2 2 2 2 18 14 4" xfId="33632"/>
    <cellStyle name="Финансовый 2 2 2 2 18 15" xfId="3342"/>
    <cellStyle name="Финансовый 2 2 2 2 18 15 2" xfId="17277"/>
    <cellStyle name="Финансовый 2 2 2 2 18 15 2 2" xfId="39592"/>
    <cellStyle name="Финансовый 2 2 2 2 18 15 3" xfId="11471"/>
    <cellStyle name="Финансовый 2 2 2 2 18 15 4" xfId="33786"/>
    <cellStyle name="Финансовый 2 2 2 2 18 16" xfId="3525"/>
    <cellStyle name="Финансовый 2 2 2 2 18 16 2" xfId="17421"/>
    <cellStyle name="Финансовый 2 2 2 2 18 16 2 2" xfId="39736"/>
    <cellStyle name="Финансовый 2 2 2 2 18 16 3" xfId="11615"/>
    <cellStyle name="Финансовый 2 2 2 2 18 16 4" xfId="33930"/>
    <cellStyle name="Финансовый 2 2 2 2 18 17" xfId="3688"/>
    <cellStyle name="Финансовый 2 2 2 2 18 17 2" xfId="17546"/>
    <cellStyle name="Финансовый 2 2 2 2 18 17 2 2" xfId="39861"/>
    <cellStyle name="Финансовый 2 2 2 2 18 17 3" xfId="11740"/>
    <cellStyle name="Финансовый 2 2 2 2 18 17 4" xfId="34055"/>
    <cellStyle name="Финансовый 2 2 2 2 18 18" xfId="3831"/>
    <cellStyle name="Финансовый 2 2 2 2 18 18 2" xfId="17653"/>
    <cellStyle name="Финансовый 2 2 2 2 18 18 2 2" xfId="39968"/>
    <cellStyle name="Финансовый 2 2 2 2 18 18 3" xfId="11847"/>
    <cellStyle name="Финансовый 2 2 2 2 18 18 4" xfId="34162"/>
    <cellStyle name="Финансовый 2 2 2 2 18 19" xfId="8119"/>
    <cellStyle name="Финансовый 2 2 2 2 18 19 2" xfId="20005"/>
    <cellStyle name="Финансовый 2 2 2 2 18 19 2 2" xfId="42320"/>
    <cellStyle name="Финансовый 2 2 2 2 18 19 3" xfId="14199"/>
    <cellStyle name="Финансовый 2 2 2 2 18 19 4" xfId="36514"/>
    <cellStyle name="Финансовый 2 2 2 2 18 2" xfId="446"/>
    <cellStyle name="Финансовый 2 2 2 2 18 2 10" xfId="3229"/>
    <cellStyle name="Финансовый 2 2 2 2 18 2 10 2" xfId="17197"/>
    <cellStyle name="Финансовый 2 2 2 2 18 2 10 2 2" xfId="39512"/>
    <cellStyle name="Финансовый 2 2 2 2 18 2 10 3" xfId="11391"/>
    <cellStyle name="Финансовый 2 2 2 2 18 2 10 4" xfId="33706"/>
    <cellStyle name="Финансовый 2 2 2 2 18 2 11" xfId="3416"/>
    <cellStyle name="Финансовый 2 2 2 2 18 2 11 2" xfId="17345"/>
    <cellStyle name="Финансовый 2 2 2 2 18 2 11 2 2" xfId="39660"/>
    <cellStyle name="Финансовый 2 2 2 2 18 2 11 3" xfId="11539"/>
    <cellStyle name="Финансовый 2 2 2 2 18 2 11 4" xfId="33854"/>
    <cellStyle name="Финансовый 2 2 2 2 18 2 12" xfId="3589"/>
    <cellStyle name="Финансовый 2 2 2 2 18 2 12 2" xfId="17480"/>
    <cellStyle name="Финансовый 2 2 2 2 18 2 12 2 2" xfId="39795"/>
    <cellStyle name="Финансовый 2 2 2 2 18 2 12 3" xfId="11674"/>
    <cellStyle name="Финансовый 2 2 2 2 18 2 12 4" xfId="33989"/>
    <cellStyle name="Финансовый 2 2 2 2 18 2 13" xfId="3746"/>
    <cellStyle name="Финансовый 2 2 2 2 18 2 13 2" xfId="17599"/>
    <cellStyle name="Финансовый 2 2 2 2 18 2 13 2 2" xfId="39914"/>
    <cellStyle name="Финансовый 2 2 2 2 18 2 13 3" xfId="11793"/>
    <cellStyle name="Финансовый 2 2 2 2 18 2 13 4" xfId="34108"/>
    <cellStyle name="Финансовый 2 2 2 2 18 2 14" xfId="3870"/>
    <cellStyle name="Финансовый 2 2 2 2 18 2 14 2" xfId="17690"/>
    <cellStyle name="Финансовый 2 2 2 2 18 2 14 2 2" xfId="40005"/>
    <cellStyle name="Финансовый 2 2 2 2 18 2 14 3" xfId="11884"/>
    <cellStyle name="Финансовый 2 2 2 2 18 2 14 4" xfId="34199"/>
    <cellStyle name="Финансовый 2 2 2 2 18 2 15" xfId="4123"/>
    <cellStyle name="Финансовый 2 2 2 2 18 2 15 2" xfId="17817"/>
    <cellStyle name="Финансовый 2 2 2 2 18 2 15 2 2" xfId="40132"/>
    <cellStyle name="Финансовый 2 2 2 2 18 2 15 3" xfId="12011"/>
    <cellStyle name="Финансовый 2 2 2 2 18 2 15 4" xfId="34326"/>
    <cellStyle name="Финансовый 2 2 2 2 18 2 16" xfId="6775"/>
    <cellStyle name="Финансовый 2 2 2 2 18 2 16 2" xfId="19266"/>
    <cellStyle name="Финансовый 2 2 2 2 18 2 16 2 2" xfId="41581"/>
    <cellStyle name="Финансовый 2 2 2 2 18 2 16 3" xfId="13460"/>
    <cellStyle name="Финансовый 2 2 2 2 18 2 16 4" xfId="35775"/>
    <cellStyle name="Финансовый 2 2 2 2 18 2 17" xfId="4080"/>
    <cellStyle name="Финансовый 2 2 2 2 18 2 17 2" xfId="17800"/>
    <cellStyle name="Финансовый 2 2 2 2 18 2 17 2 2" xfId="40115"/>
    <cellStyle name="Финансовый 2 2 2 2 18 2 17 3" xfId="11994"/>
    <cellStyle name="Финансовый 2 2 2 2 18 2 17 4" xfId="34309"/>
    <cellStyle name="Финансовый 2 2 2 2 18 2 18" xfId="14849"/>
    <cellStyle name="Финансовый 2 2 2 2 18 2 18 2" xfId="37164"/>
    <cellStyle name="Финансовый 2 2 2 2 18 2 19" xfId="9043"/>
    <cellStyle name="Финансовый 2 2 2 2 18 2 2" xfId="681"/>
    <cellStyle name="Финансовый 2 2 2 2 18 2 2 2" xfId="15060"/>
    <cellStyle name="Финансовый 2 2 2 2 18 2 2 2 2" xfId="37375"/>
    <cellStyle name="Финансовый 2 2 2 2 18 2 2 3" xfId="9254"/>
    <cellStyle name="Финансовый 2 2 2 2 18 2 2 4" xfId="31578"/>
    <cellStyle name="Финансовый 2 2 2 2 18 2 20" xfId="31376"/>
    <cellStyle name="Финансовый 2 2 2 2 18 2 3" xfId="1437"/>
    <cellStyle name="Финансовый 2 2 2 2 18 2 3 2" xfId="15680"/>
    <cellStyle name="Финансовый 2 2 2 2 18 2 3 2 2" xfId="37995"/>
    <cellStyle name="Финансовый 2 2 2 2 18 2 3 3" xfId="9874"/>
    <cellStyle name="Финансовый 2 2 2 2 18 2 3 4" xfId="32189"/>
    <cellStyle name="Финансовый 2 2 2 2 18 2 4" xfId="1883"/>
    <cellStyle name="Финансовый 2 2 2 2 18 2 4 2" xfId="16096"/>
    <cellStyle name="Финансовый 2 2 2 2 18 2 4 2 2" xfId="38411"/>
    <cellStyle name="Финансовый 2 2 2 2 18 2 4 3" xfId="10290"/>
    <cellStyle name="Финансовый 2 2 2 2 18 2 4 4" xfId="32605"/>
    <cellStyle name="Финансовый 2 2 2 2 18 2 5" xfId="2121"/>
    <cellStyle name="Финансовый 2 2 2 2 18 2 5 2" xfId="16292"/>
    <cellStyle name="Финансовый 2 2 2 2 18 2 5 2 2" xfId="38607"/>
    <cellStyle name="Финансовый 2 2 2 2 18 2 5 3" xfId="10486"/>
    <cellStyle name="Финансовый 2 2 2 2 18 2 5 4" xfId="32801"/>
    <cellStyle name="Финансовый 2 2 2 2 18 2 6" xfId="2356"/>
    <cellStyle name="Финансовый 2 2 2 2 18 2 6 2" xfId="16485"/>
    <cellStyle name="Финансовый 2 2 2 2 18 2 6 2 2" xfId="38800"/>
    <cellStyle name="Финансовый 2 2 2 2 18 2 6 3" xfId="10679"/>
    <cellStyle name="Финансовый 2 2 2 2 18 2 6 4" xfId="32994"/>
    <cellStyle name="Финансовый 2 2 2 2 18 2 7" xfId="2588"/>
    <cellStyle name="Финансовый 2 2 2 2 18 2 7 2" xfId="16675"/>
    <cellStyle name="Финансовый 2 2 2 2 18 2 7 2 2" xfId="38990"/>
    <cellStyle name="Финансовый 2 2 2 2 18 2 7 3" xfId="10869"/>
    <cellStyle name="Финансовый 2 2 2 2 18 2 7 4" xfId="33184"/>
    <cellStyle name="Финансовый 2 2 2 2 18 2 8" xfId="2811"/>
    <cellStyle name="Финансовый 2 2 2 2 18 2 8 2" xfId="16858"/>
    <cellStyle name="Финансовый 2 2 2 2 18 2 8 2 2" xfId="39173"/>
    <cellStyle name="Финансовый 2 2 2 2 18 2 8 3" xfId="11052"/>
    <cellStyle name="Финансовый 2 2 2 2 18 2 8 4" xfId="33367"/>
    <cellStyle name="Финансовый 2 2 2 2 18 2 9" xfId="3025"/>
    <cellStyle name="Финансовый 2 2 2 2 18 2 9 2" xfId="17032"/>
    <cellStyle name="Финансовый 2 2 2 2 18 2 9 2 2" xfId="39347"/>
    <cellStyle name="Финансовый 2 2 2 2 18 2 9 3" xfId="11226"/>
    <cellStyle name="Финансовый 2 2 2 2 18 2 9 4" xfId="33541"/>
    <cellStyle name="Финансовый 2 2 2 2 18 20" xfId="8352"/>
    <cellStyle name="Финансовый 2 2 2 2 18 20 2" xfId="20145"/>
    <cellStyle name="Финансовый 2 2 2 2 18 20 2 2" xfId="42460"/>
    <cellStyle name="Финансовый 2 2 2 2 18 20 3" xfId="14339"/>
    <cellStyle name="Финансовый 2 2 2 2 18 20 4" xfId="36654"/>
    <cellStyle name="Финансовый 2 2 2 2 18 21" xfId="5309"/>
    <cellStyle name="Финансовый 2 2 2 2 18 21 2" xfId="18477"/>
    <cellStyle name="Финансовый 2 2 2 2 18 21 2 2" xfId="40792"/>
    <cellStyle name="Финансовый 2 2 2 2 18 21 3" xfId="12671"/>
    <cellStyle name="Финансовый 2 2 2 2 18 21 4" xfId="34986"/>
    <cellStyle name="Финансовый 2 2 2 2 18 22" xfId="14623"/>
    <cellStyle name="Финансовый 2 2 2 2 18 22 2" xfId="36938"/>
    <cellStyle name="Финансовый 2 2 2 2 18 23" xfId="8817"/>
    <cellStyle name="Финансовый 2 2 2 2 18 24" xfId="31164"/>
    <cellStyle name="Финансовый 2 2 2 2 18 3" xfId="654"/>
    <cellStyle name="Финансовый 2 2 2 2 18 3 2" xfId="15033"/>
    <cellStyle name="Финансовый 2 2 2 2 18 3 2 2" xfId="37348"/>
    <cellStyle name="Финансовый 2 2 2 2 18 3 3" xfId="9227"/>
    <cellStyle name="Финансовый 2 2 2 2 18 3 4" xfId="31551"/>
    <cellStyle name="Финансовый 2 2 2 2 18 4" xfId="632"/>
    <cellStyle name="Финансовый 2 2 2 2 18 4 2" xfId="15011"/>
    <cellStyle name="Финансовый 2 2 2 2 18 4 2 2" xfId="37326"/>
    <cellStyle name="Финансовый 2 2 2 2 18 4 3" xfId="9205"/>
    <cellStyle name="Финансовый 2 2 2 2 18 4 4" xfId="31529"/>
    <cellStyle name="Финансовый 2 2 2 2 18 5" xfId="1027"/>
    <cellStyle name="Финансовый 2 2 2 2 18 5 2" xfId="15340"/>
    <cellStyle name="Финансовый 2 2 2 2 18 5 2 2" xfId="37655"/>
    <cellStyle name="Финансовый 2 2 2 2 18 5 3" xfId="9534"/>
    <cellStyle name="Финансовый 2 2 2 2 18 5 4" xfId="31853"/>
    <cellStyle name="Финансовый 2 2 2 2 18 6" xfId="983"/>
    <cellStyle name="Финансовый 2 2 2 2 18 6 2" xfId="15296"/>
    <cellStyle name="Финансовый 2 2 2 2 18 6 2 2" xfId="37611"/>
    <cellStyle name="Финансовый 2 2 2 2 18 6 3" xfId="9490"/>
    <cellStyle name="Финансовый 2 2 2 2 18 6 4" xfId="31809"/>
    <cellStyle name="Финансовый 2 2 2 2 18 7" xfId="438"/>
    <cellStyle name="Финансовый 2 2 2 2 18 7 2" xfId="14841"/>
    <cellStyle name="Финансовый 2 2 2 2 18 7 2 2" xfId="37156"/>
    <cellStyle name="Финансовый 2 2 2 2 18 7 3" xfId="9035"/>
    <cellStyle name="Финансовый 2 2 2 2 18 7 4" xfId="31368"/>
    <cellStyle name="Финансовый 2 2 2 2 18 8" xfId="1784"/>
    <cellStyle name="Финансовый 2 2 2 2 18 8 2" xfId="16004"/>
    <cellStyle name="Финансовый 2 2 2 2 18 8 2 2" xfId="38319"/>
    <cellStyle name="Финансовый 2 2 2 2 18 8 3" xfId="10198"/>
    <cellStyle name="Финансовый 2 2 2 2 18 8 4" xfId="32513"/>
    <cellStyle name="Финансовый 2 2 2 2 18 9" xfId="2022"/>
    <cellStyle name="Финансовый 2 2 2 2 18 9 2" xfId="16200"/>
    <cellStyle name="Финансовый 2 2 2 2 18 9 2 2" xfId="38515"/>
    <cellStyle name="Финансовый 2 2 2 2 18 9 3" xfId="10394"/>
    <cellStyle name="Финансовый 2 2 2 2 18 9 4" xfId="32709"/>
    <cellStyle name="Финансовый 2 2 2 2 19" xfId="108"/>
    <cellStyle name="Финансовый 2 2 2 2 19 10" xfId="555"/>
    <cellStyle name="Финансовый 2 2 2 2 19 10 2" xfId="14954"/>
    <cellStyle name="Финансовый 2 2 2 2 19 10 2 2" xfId="37269"/>
    <cellStyle name="Финансовый 2 2 2 2 19 10 3" xfId="9148"/>
    <cellStyle name="Финансовый 2 2 2 2 19 10 4" xfId="31481"/>
    <cellStyle name="Финансовый 2 2 2 2 19 11" xfId="1329"/>
    <cellStyle name="Финансовый 2 2 2 2 19 11 2" xfId="15583"/>
    <cellStyle name="Финансовый 2 2 2 2 19 11 2 2" xfId="37898"/>
    <cellStyle name="Финансовый 2 2 2 2 19 11 3" xfId="9777"/>
    <cellStyle name="Финансовый 2 2 2 2 19 11 4" xfId="32092"/>
    <cellStyle name="Финансовый 2 2 2 2 19 12" xfId="1619"/>
    <cellStyle name="Финансовый 2 2 2 2 19 12 2" xfId="15853"/>
    <cellStyle name="Финансовый 2 2 2 2 19 12 2 2" xfId="38168"/>
    <cellStyle name="Финансовый 2 2 2 2 19 12 3" xfId="10047"/>
    <cellStyle name="Финансовый 2 2 2 2 19 12 4" xfId="32362"/>
    <cellStyle name="Финансовый 2 2 2 2 19 13" xfId="409"/>
    <cellStyle name="Финансовый 2 2 2 2 19 13 2" xfId="14812"/>
    <cellStyle name="Финансовый 2 2 2 2 19 13 2 2" xfId="37127"/>
    <cellStyle name="Финансовый 2 2 2 2 19 13 3" xfId="9006"/>
    <cellStyle name="Финансовый 2 2 2 2 19 13 4" xfId="31339"/>
    <cellStyle name="Финансовый 2 2 2 2 19 14" xfId="1592"/>
    <cellStyle name="Финансовый 2 2 2 2 19 14 2" xfId="15829"/>
    <cellStyle name="Финансовый 2 2 2 2 19 14 2 2" xfId="38144"/>
    <cellStyle name="Финансовый 2 2 2 2 19 14 3" xfId="10023"/>
    <cellStyle name="Финансовый 2 2 2 2 19 14 4" xfId="32338"/>
    <cellStyle name="Финансовый 2 2 2 2 19 15" xfId="1562"/>
    <cellStyle name="Финансовый 2 2 2 2 19 15 2" xfId="15801"/>
    <cellStyle name="Финансовый 2 2 2 2 19 15 2 2" xfId="38116"/>
    <cellStyle name="Финансовый 2 2 2 2 19 15 3" xfId="9995"/>
    <cellStyle name="Финансовый 2 2 2 2 19 15 4" xfId="32310"/>
    <cellStyle name="Финансовый 2 2 2 2 19 16" xfId="458"/>
    <cellStyle name="Финансовый 2 2 2 2 19 16 2" xfId="14861"/>
    <cellStyle name="Финансовый 2 2 2 2 19 16 2 2" xfId="37176"/>
    <cellStyle name="Финансовый 2 2 2 2 19 16 3" xfId="9055"/>
    <cellStyle name="Финансовый 2 2 2 2 19 16 4" xfId="31388"/>
    <cellStyle name="Финансовый 2 2 2 2 19 17" xfId="1536"/>
    <cellStyle name="Финансовый 2 2 2 2 19 17 2" xfId="15776"/>
    <cellStyle name="Финансовый 2 2 2 2 19 17 2 2" xfId="38091"/>
    <cellStyle name="Финансовый 2 2 2 2 19 17 3" xfId="9970"/>
    <cellStyle name="Финансовый 2 2 2 2 19 17 4" xfId="32285"/>
    <cellStyle name="Финансовый 2 2 2 2 19 18" xfId="1650"/>
    <cellStyle name="Финансовый 2 2 2 2 19 18 2" xfId="15881"/>
    <cellStyle name="Финансовый 2 2 2 2 19 18 2 2" xfId="38196"/>
    <cellStyle name="Финансовый 2 2 2 2 19 18 3" xfId="10075"/>
    <cellStyle name="Финансовый 2 2 2 2 19 18 4" xfId="32390"/>
    <cellStyle name="Финансовый 2 2 2 2 19 19" xfId="5680"/>
    <cellStyle name="Финансовый 2 2 2 2 19 19 2" xfId="18679"/>
    <cellStyle name="Финансовый 2 2 2 2 19 19 2 2" xfId="40994"/>
    <cellStyle name="Финансовый 2 2 2 2 19 19 3" xfId="12873"/>
    <cellStyle name="Финансовый 2 2 2 2 19 19 4" xfId="35188"/>
    <cellStyle name="Финансовый 2 2 2 2 19 2" xfId="451"/>
    <cellStyle name="Финансовый 2 2 2 2 19 2 10" xfId="3182"/>
    <cellStyle name="Финансовый 2 2 2 2 19 2 10 2" xfId="17153"/>
    <cellStyle name="Финансовый 2 2 2 2 19 2 10 2 2" xfId="39468"/>
    <cellStyle name="Финансовый 2 2 2 2 19 2 10 3" xfId="11347"/>
    <cellStyle name="Финансовый 2 2 2 2 19 2 10 4" xfId="33662"/>
    <cellStyle name="Финансовый 2 2 2 2 19 2 11" xfId="3371"/>
    <cellStyle name="Финансовый 2 2 2 2 19 2 11 2" xfId="17303"/>
    <cellStyle name="Финансовый 2 2 2 2 19 2 11 2 2" xfId="39618"/>
    <cellStyle name="Финансовый 2 2 2 2 19 2 11 3" xfId="11497"/>
    <cellStyle name="Финансовый 2 2 2 2 19 2 11 4" xfId="33812"/>
    <cellStyle name="Финансовый 2 2 2 2 19 2 12" xfId="3550"/>
    <cellStyle name="Финансовый 2 2 2 2 19 2 12 2" xfId="17444"/>
    <cellStyle name="Финансовый 2 2 2 2 19 2 12 2 2" xfId="39759"/>
    <cellStyle name="Финансовый 2 2 2 2 19 2 12 3" xfId="11638"/>
    <cellStyle name="Финансовый 2 2 2 2 19 2 12 4" xfId="33953"/>
    <cellStyle name="Финансовый 2 2 2 2 19 2 13" xfId="3711"/>
    <cellStyle name="Финансовый 2 2 2 2 19 2 13 2" xfId="17567"/>
    <cellStyle name="Финансовый 2 2 2 2 19 2 13 2 2" xfId="39882"/>
    <cellStyle name="Финансовый 2 2 2 2 19 2 13 3" xfId="11761"/>
    <cellStyle name="Финансовый 2 2 2 2 19 2 13 4" xfId="34076"/>
    <cellStyle name="Финансовый 2 2 2 2 19 2 14" xfId="3849"/>
    <cellStyle name="Финансовый 2 2 2 2 19 2 14 2" xfId="17671"/>
    <cellStyle name="Финансовый 2 2 2 2 19 2 14 2 2" xfId="39986"/>
    <cellStyle name="Финансовый 2 2 2 2 19 2 14 3" xfId="11865"/>
    <cellStyle name="Финансовый 2 2 2 2 19 2 14 4" xfId="34180"/>
    <cellStyle name="Финансовый 2 2 2 2 19 2 15" xfId="6643"/>
    <cellStyle name="Финансовый 2 2 2 2 19 2 15 2" xfId="19195"/>
    <cellStyle name="Финансовый 2 2 2 2 19 2 15 2 2" xfId="41510"/>
    <cellStyle name="Финансовый 2 2 2 2 19 2 15 3" xfId="13389"/>
    <cellStyle name="Финансовый 2 2 2 2 19 2 15 4" xfId="35704"/>
    <cellStyle name="Финансовый 2 2 2 2 19 2 16" xfId="7152"/>
    <cellStyle name="Финансовый 2 2 2 2 19 2 16 2" xfId="19468"/>
    <cellStyle name="Финансовый 2 2 2 2 19 2 16 2 2" xfId="41783"/>
    <cellStyle name="Финансовый 2 2 2 2 19 2 16 3" xfId="13662"/>
    <cellStyle name="Финансовый 2 2 2 2 19 2 16 4" xfId="35977"/>
    <cellStyle name="Финансовый 2 2 2 2 19 2 17" xfId="8341"/>
    <cellStyle name="Финансовый 2 2 2 2 19 2 17 2" xfId="20136"/>
    <cellStyle name="Финансовый 2 2 2 2 19 2 17 2 2" xfId="42451"/>
    <cellStyle name="Финансовый 2 2 2 2 19 2 17 3" xfId="14330"/>
    <cellStyle name="Финансовый 2 2 2 2 19 2 17 4" xfId="36645"/>
    <cellStyle name="Финансовый 2 2 2 2 19 2 18" xfId="14854"/>
    <cellStyle name="Финансовый 2 2 2 2 19 2 18 2" xfId="37169"/>
    <cellStyle name="Финансовый 2 2 2 2 19 2 19" xfId="9048"/>
    <cellStyle name="Финансовый 2 2 2 2 19 2 2" xfId="686"/>
    <cellStyle name="Финансовый 2 2 2 2 19 2 2 2" xfId="15065"/>
    <cellStyle name="Финансовый 2 2 2 2 19 2 2 2 2" xfId="37380"/>
    <cellStyle name="Финансовый 2 2 2 2 19 2 2 3" xfId="9259"/>
    <cellStyle name="Финансовый 2 2 2 2 19 2 2 4" xfId="31582"/>
    <cellStyle name="Финансовый 2 2 2 2 19 2 20" xfId="31381"/>
    <cellStyle name="Финансовый 2 2 2 2 19 2 3" xfId="1440"/>
    <cellStyle name="Финансовый 2 2 2 2 19 2 3 2" xfId="15683"/>
    <cellStyle name="Финансовый 2 2 2 2 19 2 3 2 2" xfId="37998"/>
    <cellStyle name="Финансовый 2 2 2 2 19 2 3 3" xfId="9877"/>
    <cellStyle name="Финансовый 2 2 2 2 19 2 3 4" xfId="32192"/>
    <cellStyle name="Финансовый 2 2 2 2 19 2 4" xfId="1824"/>
    <cellStyle name="Финансовый 2 2 2 2 19 2 4 2" xfId="16041"/>
    <cellStyle name="Финансовый 2 2 2 2 19 2 4 2 2" xfId="38356"/>
    <cellStyle name="Финансовый 2 2 2 2 19 2 4 3" xfId="10235"/>
    <cellStyle name="Финансовый 2 2 2 2 19 2 4 4" xfId="32550"/>
    <cellStyle name="Финансовый 2 2 2 2 19 2 5" xfId="2062"/>
    <cellStyle name="Финансовый 2 2 2 2 19 2 5 2" xfId="16237"/>
    <cellStyle name="Финансовый 2 2 2 2 19 2 5 2 2" xfId="38552"/>
    <cellStyle name="Финансовый 2 2 2 2 19 2 5 3" xfId="10431"/>
    <cellStyle name="Финансовый 2 2 2 2 19 2 5 4" xfId="32746"/>
    <cellStyle name="Финансовый 2 2 2 2 19 2 6" xfId="2297"/>
    <cellStyle name="Финансовый 2 2 2 2 19 2 6 2" xfId="16430"/>
    <cellStyle name="Финансовый 2 2 2 2 19 2 6 2 2" xfId="38745"/>
    <cellStyle name="Финансовый 2 2 2 2 19 2 6 3" xfId="10624"/>
    <cellStyle name="Финансовый 2 2 2 2 19 2 6 4" xfId="32939"/>
    <cellStyle name="Финансовый 2 2 2 2 19 2 7" xfId="2530"/>
    <cellStyle name="Финансовый 2 2 2 2 19 2 7 2" xfId="16621"/>
    <cellStyle name="Финансовый 2 2 2 2 19 2 7 2 2" xfId="38936"/>
    <cellStyle name="Финансовый 2 2 2 2 19 2 7 3" xfId="10815"/>
    <cellStyle name="Финансовый 2 2 2 2 19 2 7 4" xfId="33130"/>
    <cellStyle name="Финансовый 2 2 2 2 19 2 8" xfId="2756"/>
    <cellStyle name="Финансовый 2 2 2 2 19 2 8 2" xfId="16806"/>
    <cellStyle name="Финансовый 2 2 2 2 19 2 8 2 2" xfId="39121"/>
    <cellStyle name="Финансовый 2 2 2 2 19 2 8 3" xfId="11000"/>
    <cellStyle name="Финансовый 2 2 2 2 19 2 8 4" xfId="33315"/>
    <cellStyle name="Финансовый 2 2 2 2 19 2 9" xfId="2974"/>
    <cellStyle name="Финансовый 2 2 2 2 19 2 9 2" xfId="16984"/>
    <cellStyle name="Финансовый 2 2 2 2 19 2 9 2 2" xfId="39299"/>
    <cellStyle name="Финансовый 2 2 2 2 19 2 9 3" xfId="11178"/>
    <cellStyle name="Финансовый 2 2 2 2 19 2 9 4" xfId="33493"/>
    <cellStyle name="Финансовый 2 2 2 2 19 20" xfId="7284"/>
    <cellStyle name="Финансовый 2 2 2 2 19 20 2" xfId="19546"/>
    <cellStyle name="Финансовый 2 2 2 2 19 20 2 2" xfId="41861"/>
    <cellStyle name="Финансовый 2 2 2 2 19 20 3" xfId="13740"/>
    <cellStyle name="Финансовый 2 2 2 2 19 20 4" xfId="36055"/>
    <cellStyle name="Финансовый 2 2 2 2 19 21" xfId="340"/>
    <cellStyle name="Финансовый 2 2 2 2 19 21 2" xfId="14748"/>
    <cellStyle name="Финансовый 2 2 2 2 19 21 2 2" xfId="37063"/>
    <cellStyle name="Финансовый 2 2 2 2 19 21 3" xfId="8942"/>
    <cellStyle name="Финансовый 2 2 2 2 19 21 4" xfId="31277"/>
    <cellStyle name="Финансовый 2 2 2 2 19 22" xfId="14626"/>
    <cellStyle name="Финансовый 2 2 2 2 19 22 2" xfId="36941"/>
    <cellStyle name="Финансовый 2 2 2 2 19 23" xfId="8820"/>
    <cellStyle name="Финансовый 2 2 2 2 19 24" xfId="31166"/>
    <cellStyle name="Финансовый 2 2 2 2 19 3" xfId="664"/>
    <cellStyle name="Финансовый 2 2 2 2 19 3 2" xfId="15043"/>
    <cellStyle name="Финансовый 2 2 2 2 19 3 2 2" xfId="37358"/>
    <cellStyle name="Финансовый 2 2 2 2 19 3 3" xfId="9237"/>
    <cellStyle name="Финансовый 2 2 2 2 19 3 4" xfId="31561"/>
    <cellStyle name="Финансовый 2 2 2 2 19 4" xfId="868"/>
    <cellStyle name="Финансовый 2 2 2 2 19 4 2" xfId="15208"/>
    <cellStyle name="Финансовый 2 2 2 2 19 4 2 2" xfId="37523"/>
    <cellStyle name="Финансовый 2 2 2 2 19 4 3" xfId="9402"/>
    <cellStyle name="Финансовый 2 2 2 2 19 4 4" xfId="31724"/>
    <cellStyle name="Финансовый 2 2 2 2 19 5" xfId="1030"/>
    <cellStyle name="Финансовый 2 2 2 2 19 5 2" xfId="15343"/>
    <cellStyle name="Финансовый 2 2 2 2 19 5 2 2" xfId="37658"/>
    <cellStyle name="Финансовый 2 2 2 2 19 5 3" xfId="9537"/>
    <cellStyle name="Финансовый 2 2 2 2 19 5 4" xfId="31856"/>
    <cellStyle name="Финансовый 2 2 2 2 19 6" xfId="1084"/>
    <cellStyle name="Финансовый 2 2 2 2 19 6 2" xfId="15397"/>
    <cellStyle name="Финансовый 2 2 2 2 19 6 2 2" xfId="37712"/>
    <cellStyle name="Финансовый 2 2 2 2 19 6 3" xfId="9591"/>
    <cellStyle name="Финансовый 2 2 2 2 19 6 4" xfId="31910"/>
    <cellStyle name="Финансовый 2 2 2 2 19 7" xfId="414"/>
    <cellStyle name="Финансовый 2 2 2 2 19 7 2" xfId="14817"/>
    <cellStyle name="Финансовый 2 2 2 2 19 7 2 2" xfId="37132"/>
    <cellStyle name="Финансовый 2 2 2 2 19 7 3" xfId="9011"/>
    <cellStyle name="Финансовый 2 2 2 2 19 7 4" xfId="31344"/>
    <cellStyle name="Финансовый 2 2 2 2 19 8" xfId="1725"/>
    <cellStyle name="Финансовый 2 2 2 2 19 8 2" xfId="15950"/>
    <cellStyle name="Финансовый 2 2 2 2 19 8 2 2" xfId="38265"/>
    <cellStyle name="Финансовый 2 2 2 2 19 8 3" xfId="10144"/>
    <cellStyle name="Финансовый 2 2 2 2 19 8 4" xfId="32459"/>
    <cellStyle name="Финансовый 2 2 2 2 19 9" xfId="365"/>
    <cellStyle name="Финансовый 2 2 2 2 19 9 2" xfId="14768"/>
    <cellStyle name="Финансовый 2 2 2 2 19 9 2 2" xfId="37083"/>
    <cellStyle name="Финансовый 2 2 2 2 19 9 3" xfId="8962"/>
    <cellStyle name="Финансовый 2 2 2 2 19 9 4" xfId="31295"/>
    <cellStyle name="Финансовый 2 2 2 2 2" xfId="12"/>
    <cellStyle name="Финансовый 2 2 2 2 2 10" xfId="64"/>
    <cellStyle name="Финансовый 2 2 2 2 2 11" xfId="69"/>
    <cellStyle name="Финансовый 2 2 2 2 2 12" xfId="74"/>
    <cellStyle name="Финансовый 2 2 2 2 2 13" xfId="79"/>
    <cellStyle name="Финансовый 2 2 2 2 2 14" xfId="84"/>
    <cellStyle name="Финансовый 2 2 2 2 2 15" xfId="89"/>
    <cellStyle name="Финансовый 2 2 2 2 2 16" xfId="94"/>
    <cellStyle name="Финансовый 2 2 2 2 2 17" xfId="99"/>
    <cellStyle name="Финансовый 2 2 2 2 2 18" xfId="104"/>
    <cellStyle name="Финансовый 2 2 2 2 2 19" xfId="109"/>
    <cellStyle name="Финансовый 2 2 2 2 2 2" xfId="23"/>
    <cellStyle name="Финансовый 2 2 2 2 2 2 10" xfId="898"/>
    <cellStyle name="Финансовый 2 2 2 2 2 2 10 2" xfId="15229"/>
    <cellStyle name="Финансовый 2 2 2 2 2 2 10 2 2" xfId="37544"/>
    <cellStyle name="Финансовый 2 2 2 2 2 2 10 3" xfId="9423"/>
    <cellStyle name="Финансовый 2 2 2 2 2 2 10 4" xfId="31743"/>
    <cellStyle name="Финансовый 2 2 2 2 2 2 11" xfId="975"/>
    <cellStyle name="Финансовый 2 2 2 2 2 2 11 2" xfId="15288"/>
    <cellStyle name="Финансовый 2 2 2 2 2 2 11 2 2" xfId="37603"/>
    <cellStyle name="Финансовый 2 2 2 2 2 2 11 3" xfId="9482"/>
    <cellStyle name="Финансовый 2 2 2 2 2 2 11 4" xfId="31802"/>
    <cellStyle name="Финансовый 2 2 2 2 2 2 12" xfId="1114"/>
    <cellStyle name="Финансовый 2 2 2 2 2 2 12 2" xfId="15418"/>
    <cellStyle name="Финансовый 2 2 2 2 2 2 12 2 2" xfId="37733"/>
    <cellStyle name="Финансовый 2 2 2 2 2 2 12 3" xfId="9612"/>
    <cellStyle name="Финансовый 2 2 2 2 2 2 12 4" xfId="31929"/>
    <cellStyle name="Финансовый 2 2 2 2 2 2 2" xfId="24"/>
    <cellStyle name="Финансовый 2 2 2 2 2 2 2 10" xfId="896"/>
    <cellStyle name="Финансовый 2 2 2 2 2 2 2 11" xfId="976"/>
    <cellStyle name="Финансовый 2 2 2 2 2 2 2 12" xfId="1112"/>
    <cellStyle name="Финансовый 2 2 2 2 2 2 2 13" xfId="483"/>
    <cellStyle name="Финансовый 2 2 2 2 2 2 2 13 2" xfId="14885"/>
    <cellStyle name="Финансовый 2 2 2 2 2 2 2 13 2 2" xfId="37200"/>
    <cellStyle name="Финансовый 2 2 2 2 2 2 2 13 3" xfId="9079"/>
    <cellStyle name="Финансовый 2 2 2 2 2 2 2 13 4" xfId="31412"/>
    <cellStyle name="Финансовый 2 2 2 2 2 2 2 14" xfId="362"/>
    <cellStyle name="Финансовый 2 2 2 2 2 2 2 14 2" xfId="14765"/>
    <cellStyle name="Финансовый 2 2 2 2 2 2 2 14 2 2" xfId="37080"/>
    <cellStyle name="Финансовый 2 2 2 2 2 2 2 14 3" xfId="8959"/>
    <cellStyle name="Финансовый 2 2 2 2 2 2 2 14 4" xfId="31292"/>
    <cellStyle name="Финансовый 2 2 2 2 2 2 2 15" xfId="1549"/>
    <cellStyle name="Финансовый 2 2 2 2 2 2 2 15 2" xfId="15789"/>
    <cellStyle name="Финансовый 2 2 2 2 2 2 2 15 2 2" xfId="38104"/>
    <cellStyle name="Финансовый 2 2 2 2 2 2 2 15 3" xfId="9983"/>
    <cellStyle name="Финансовый 2 2 2 2 2 2 2 15 4" xfId="32298"/>
    <cellStyle name="Финансовый 2 2 2 2 2 2 2 16" xfId="1521"/>
    <cellStyle name="Финансовый 2 2 2 2 2 2 2 16 2" xfId="15761"/>
    <cellStyle name="Финансовый 2 2 2 2 2 2 2 16 2 2" xfId="38076"/>
    <cellStyle name="Финансовый 2 2 2 2 2 2 2 16 3" xfId="9955"/>
    <cellStyle name="Финансовый 2 2 2 2 2 2 2 16 4" xfId="32270"/>
    <cellStyle name="Финансовый 2 2 2 2 2 2 2 17" xfId="1642"/>
    <cellStyle name="Финансовый 2 2 2 2 2 2 2 17 2" xfId="15875"/>
    <cellStyle name="Финансовый 2 2 2 2 2 2 2 17 2 2" xfId="38190"/>
    <cellStyle name="Финансовый 2 2 2 2 2 2 2 17 3" xfId="10069"/>
    <cellStyle name="Финансовый 2 2 2 2 2 2 2 17 4" xfId="32384"/>
    <cellStyle name="Финансовый 2 2 2 2 2 2 2 18" xfId="1771"/>
    <cellStyle name="Финансовый 2 2 2 2 2 2 2 18 2" xfId="15992"/>
    <cellStyle name="Финансовый 2 2 2 2 2 2 2 18 2 2" xfId="38307"/>
    <cellStyle name="Финансовый 2 2 2 2 2 2 2 18 3" xfId="10186"/>
    <cellStyle name="Финансовый 2 2 2 2 2 2 2 18 4" xfId="32501"/>
    <cellStyle name="Финансовый 2 2 2 2 2 2 2 19" xfId="2009"/>
    <cellStyle name="Финансовый 2 2 2 2 2 2 2 19 2" xfId="16188"/>
    <cellStyle name="Финансовый 2 2 2 2 2 2 2 19 2 2" xfId="38503"/>
    <cellStyle name="Финансовый 2 2 2 2 2 2 2 19 3" xfId="10382"/>
    <cellStyle name="Финансовый 2 2 2 2 2 2 2 19 4" xfId="32697"/>
    <cellStyle name="Финансовый 2 2 2 2 2 2 2 2" xfId="210"/>
    <cellStyle name="Финансовый 2 2 2 2 2 2 2 2 10" xfId="946"/>
    <cellStyle name="Финансовый 2 2 2 2 2 2 2 2 10 2" xfId="15269"/>
    <cellStyle name="Финансовый 2 2 2 2 2 2 2 2 10 2 2" xfId="37584"/>
    <cellStyle name="Финансовый 2 2 2 2 2 2 2 2 10 3" xfId="9463"/>
    <cellStyle name="Финансовый 2 2 2 2 2 2 2 2 10 4" xfId="31783"/>
    <cellStyle name="Финансовый 2 2 2 2 2 2 2 2 11" xfId="1104"/>
    <cellStyle name="Финансовый 2 2 2 2 2 2 2 2 11 2" xfId="15412"/>
    <cellStyle name="Финансовый 2 2 2 2 2 2 2 2 11 2 2" xfId="37727"/>
    <cellStyle name="Финансовый 2 2 2 2 2 2 2 2 11 3" xfId="9606"/>
    <cellStyle name="Финансовый 2 2 2 2 2 2 2 2 11 4" xfId="31925"/>
    <cellStyle name="Финансовый 2 2 2 2 2 2 2 2 12" xfId="1162"/>
    <cellStyle name="Финансовый 2 2 2 2 2 2 2 2 12 2" xfId="15458"/>
    <cellStyle name="Финансовый 2 2 2 2 2 2 2 2 12 2 2" xfId="37773"/>
    <cellStyle name="Финансовый 2 2 2 2 2 2 2 2 12 3" xfId="9652"/>
    <cellStyle name="Финансовый 2 2 2 2 2 2 2 2 12 4" xfId="31969"/>
    <cellStyle name="Финансовый 2 2 2 2 2 2 2 2 2" xfId="211"/>
    <cellStyle name="Финансовый 2 2 2 2 2 2 2 2 2 10" xfId="14952"/>
    <cellStyle name="Финансовый 2 2 2 2 2 2 2 2 2 10 2" xfId="37267"/>
    <cellStyle name="Финансовый 2 2 2 2 2 2 2 2 2 11" xfId="9146"/>
    <cellStyle name="Финансовый 2 2 2 2 2 2 2 2 2 12" xfId="31479"/>
    <cellStyle name="Финансовый 2 2 2 2 2 2 2 2 2 2" xfId="551"/>
    <cellStyle name="Финансовый 2 2 2 2 2 2 2 2 2 2 2" xfId="552"/>
    <cellStyle name="Финансовый 2 2 2 2 2 2 2 2 2 3" xfId="592"/>
    <cellStyle name="Финансовый 2 2 2 2 2 2 2 2 2 4" xfId="587"/>
    <cellStyle name="Финансовый 2 2 2 2 2 2 2 2 2 5" xfId="774"/>
    <cellStyle name="Финансовый 2 2 2 2 2 2 2 2 2 6" xfId="889"/>
    <cellStyle name="Финансовый 2 2 2 2 2 2 2 2 2 7" xfId="947"/>
    <cellStyle name="Финансовый 2 2 2 2 2 2 2 2 2 8" xfId="1105"/>
    <cellStyle name="Финансовый 2 2 2 2 2 2 2 2 2 9" xfId="1163"/>
    <cellStyle name="Финансовый 2 2 2 2 2 2 2 2 3" xfId="573"/>
    <cellStyle name="Финансовый 2 2 2 2 2 2 2 2 4" xfId="575"/>
    <cellStyle name="Финансовый 2 2 2 2 2 2 2 2 5" xfId="577"/>
    <cellStyle name="Финансовый 2 2 2 2 2 2 2 2 6" xfId="591"/>
    <cellStyle name="Финансовый 2 2 2 2 2 2 2 2 6 2" xfId="14979"/>
    <cellStyle name="Финансовый 2 2 2 2 2 2 2 2 6 2 2" xfId="37294"/>
    <cellStyle name="Финансовый 2 2 2 2 2 2 2 2 6 3" xfId="9173"/>
    <cellStyle name="Финансовый 2 2 2 2 2 2 2 2 6 4" xfId="31500"/>
    <cellStyle name="Финансовый 2 2 2 2 2 2 2 2 7" xfId="588"/>
    <cellStyle name="Финансовый 2 2 2 2 2 2 2 2 7 2" xfId="14977"/>
    <cellStyle name="Финансовый 2 2 2 2 2 2 2 2 7 2 2" xfId="37292"/>
    <cellStyle name="Финансовый 2 2 2 2 2 2 2 2 7 3" xfId="9171"/>
    <cellStyle name="Финансовый 2 2 2 2 2 2 2 2 7 4" xfId="31498"/>
    <cellStyle name="Финансовый 2 2 2 2 2 2 2 2 8" xfId="773"/>
    <cellStyle name="Финансовый 2 2 2 2 2 2 2 2 8 2" xfId="15146"/>
    <cellStyle name="Финансовый 2 2 2 2 2 2 2 2 8 2 2" xfId="37461"/>
    <cellStyle name="Финансовый 2 2 2 2 2 2 2 2 8 3" xfId="9340"/>
    <cellStyle name="Финансовый 2 2 2 2 2 2 2 2 8 4" xfId="31663"/>
    <cellStyle name="Финансовый 2 2 2 2 2 2 2 2 9" xfId="888"/>
    <cellStyle name="Финансовый 2 2 2 2 2 2 2 2 9 2" xfId="15223"/>
    <cellStyle name="Финансовый 2 2 2 2 2 2 2 2 9 2 2" xfId="37538"/>
    <cellStyle name="Финансовый 2 2 2 2 2 2 2 2 9 3" xfId="9417"/>
    <cellStyle name="Финансовый 2 2 2 2 2 2 2 2 9 4" xfId="31739"/>
    <cellStyle name="Финансовый 2 2 2 2 2 2 2 20" xfId="2245"/>
    <cellStyle name="Финансовый 2 2 2 2 2 2 2 20 2" xfId="16382"/>
    <cellStyle name="Финансовый 2 2 2 2 2 2 2 20 2 2" xfId="38697"/>
    <cellStyle name="Финансовый 2 2 2 2 2 2 2 20 3" xfId="10576"/>
    <cellStyle name="Финансовый 2 2 2 2 2 2 2 20 4" xfId="32891"/>
    <cellStyle name="Финансовый 2 2 2 2 2 2 2 21" xfId="2479"/>
    <cellStyle name="Финансовый 2 2 2 2 2 2 2 21 2" xfId="16574"/>
    <cellStyle name="Финансовый 2 2 2 2 2 2 2 21 2 2" xfId="38889"/>
    <cellStyle name="Финансовый 2 2 2 2 2 2 2 21 3" xfId="10768"/>
    <cellStyle name="Финансовый 2 2 2 2 2 2 2 21 4" xfId="33083"/>
    <cellStyle name="Финансовый 2 2 2 2 2 2 2 22" xfId="2708"/>
    <cellStyle name="Финансовый 2 2 2 2 2 2 2 22 2" xfId="16762"/>
    <cellStyle name="Финансовый 2 2 2 2 2 2 2 22 2 2" xfId="39077"/>
    <cellStyle name="Финансовый 2 2 2 2 2 2 2 22 3" xfId="10956"/>
    <cellStyle name="Финансовый 2 2 2 2 2 2 2 22 4" xfId="33271"/>
    <cellStyle name="Финансовый 2 2 2 2 2 2 2 23" xfId="2928"/>
    <cellStyle name="Финансовый 2 2 2 2 2 2 2 23 2" xfId="16942"/>
    <cellStyle name="Финансовый 2 2 2 2 2 2 2 23 2 2" xfId="39257"/>
    <cellStyle name="Финансовый 2 2 2 2 2 2 2 23 3" xfId="11136"/>
    <cellStyle name="Финансовый 2 2 2 2 2 2 2 23 4" xfId="33451"/>
    <cellStyle name="Финансовый 2 2 2 2 2 2 2 24" xfId="3139"/>
    <cellStyle name="Финансовый 2 2 2 2 2 2 2 24 2" xfId="17114"/>
    <cellStyle name="Финансовый 2 2 2 2 2 2 2 24 2 2" xfId="39429"/>
    <cellStyle name="Финансовый 2 2 2 2 2 2 2 24 3" xfId="11308"/>
    <cellStyle name="Финансовый 2 2 2 2 2 2 2 24 4" xfId="33623"/>
    <cellStyle name="Финансовый 2 2 2 2 2 2 2 25" xfId="4816"/>
    <cellStyle name="Финансовый 2 2 2 2 2 2 2 25 2" xfId="18210"/>
    <cellStyle name="Финансовый 2 2 2 2 2 2 2 25 2 2" xfId="40525"/>
    <cellStyle name="Финансовый 2 2 2 2 2 2 2 25 3" xfId="12404"/>
    <cellStyle name="Финансовый 2 2 2 2 2 2 2 25 4" xfId="34719"/>
    <cellStyle name="Финансовый 2 2 2 2 2 2 2 26" xfId="4360"/>
    <cellStyle name="Финансовый 2 2 2 2 2 2 2 26 2" xfId="17959"/>
    <cellStyle name="Финансовый 2 2 2 2 2 2 2 26 2 2" xfId="40274"/>
    <cellStyle name="Финансовый 2 2 2 2 2 2 2 26 3" xfId="12153"/>
    <cellStyle name="Финансовый 2 2 2 2 2 2 2 26 4" xfId="34468"/>
    <cellStyle name="Финансовый 2 2 2 2 2 2 2 27" xfId="8453"/>
    <cellStyle name="Финансовый 2 2 2 2 2 2 2 27 2" xfId="20206"/>
    <cellStyle name="Финансовый 2 2 2 2 2 2 2 27 2 2" xfId="42521"/>
    <cellStyle name="Финансовый 2 2 2 2 2 2 2 27 3" xfId="14400"/>
    <cellStyle name="Финансовый 2 2 2 2 2 2 2 27 4" xfId="36715"/>
    <cellStyle name="Финансовый 2 2 2 2 2 2 2 28" xfId="14679"/>
    <cellStyle name="Финансовый 2 2 2 2 2 2 2 28 2" xfId="36994"/>
    <cellStyle name="Финансовый 2 2 2 2 2 2 2 29" xfId="8873"/>
    <cellStyle name="Финансовый 2 2 2 2 2 2 2 3" xfId="368"/>
    <cellStyle name="Финансовый 2 2 2 2 2 2 2 3 2" xfId="814"/>
    <cellStyle name="Финансовый 2 2 2 2 2 2 2 3 2 2" xfId="15159"/>
    <cellStyle name="Финансовый 2 2 2 2 2 2 2 3 2 2 2" xfId="37474"/>
    <cellStyle name="Финансовый 2 2 2 2 2 2 2 3 2 3" xfId="9353"/>
    <cellStyle name="Финансовый 2 2 2 2 2 2 2 3 2 4" xfId="31675"/>
    <cellStyle name="Финансовый 2 2 2 2 2 2 2 3 3" xfId="913"/>
    <cellStyle name="Финансовый 2 2 2 2 2 2 2 3 3 2" xfId="15242"/>
    <cellStyle name="Финансовый 2 2 2 2 2 2 2 3 3 2 2" xfId="37557"/>
    <cellStyle name="Финансовый 2 2 2 2 2 2 2 3 3 3" xfId="9436"/>
    <cellStyle name="Финансовый 2 2 2 2 2 2 2 3 3 4" xfId="31756"/>
    <cellStyle name="Финансовый 2 2 2 2 2 2 2 3 4" xfId="956"/>
    <cellStyle name="Финансовый 2 2 2 2 2 2 2 3 4 2" xfId="15274"/>
    <cellStyle name="Финансовый 2 2 2 2 2 2 2 3 4 2 2" xfId="37589"/>
    <cellStyle name="Финансовый 2 2 2 2 2 2 2 3 4 3" xfId="9468"/>
    <cellStyle name="Финансовый 2 2 2 2 2 2 2 3 4 4" xfId="31788"/>
    <cellStyle name="Финансовый 2 2 2 2 2 2 2 3 5" xfId="1129"/>
    <cellStyle name="Финансовый 2 2 2 2 2 2 2 3 5 2" xfId="15431"/>
    <cellStyle name="Финансовый 2 2 2 2 2 2 2 3 5 2 2" xfId="37746"/>
    <cellStyle name="Финансовый 2 2 2 2 2 2 2 3 5 3" xfId="9625"/>
    <cellStyle name="Финансовый 2 2 2 2 2 2 2 3 5 4" xfId="31942"/>
    <cellStyle name="Финансовый 2 2 2 2 2 2 2 3 6" xfId="1172"/>
    <cellStyle name="Финансовый 2 2 2 2 2 2 2 3 6 2" xfId="15464"/>
    <cellStyle name="Финансовый 2 2 2 2 2 2 2 3 6 2 2" xfId="37779"/>
    <cellStyle name="Финансовый 2 2 2 2 2 2 2 3 6 3" xfId="9658"/>
    <cellStyle name="Финансовый 2 2 2 2 2 2 2 3 6 4" xfId="31974"/>
    <cellStyle name="Финансовый 2 2 2 2 2 2 2 3 7" xfId="14771"/>
    <cellStyle name="Финансовый 2 2 2 2 2 2 2 3 7 2" xfId="37086"/>
    <cellStyle name="Финансовый 2 2 2 2 2 2 2 3 8" xfId="8965"/>
    <cellStyle name="Финансовый 2 2 2 2 2 2 2 3 9" xfId="31298"/>
    <cellStyle name="Финансовый 2 2 2 2 2 2 2 30" xfId="31209"/>
    <cellStyle name="Финансовый 2 2 2 2 2 2 2 4" xfId="574"/>
    <cellStyle name="Финансовый 2 2 2 2 2 2 2 4 2" xfId="825"/>
    <cellStyle name="Финансовый 2 2 2 2 2 2 2 4 2 2" xfId="15166"/>
    <cellStyle name="Финансовый 2 2 2 2 2 2 2 4 2 2 2" xfId="37481"/>
    <cellStyle name="Финансовый 2 2 2 2 2 2 2 4 2 3" xfId="9360"/>
    <cellStyle name="Финансовый 2 2 2 2 2 2 2 4 2 4" xfId="31682"/>
    <cellStyle name="Финансовый 2 2 2 2 2 2 2 4 3" xfId="917"/>
    <cellStyle name="Финансовый 2 2 2 2 2 2 2 4 3 2" xfId="15246"/>
    <cellStyle name="Финансовый 2 2 2 2 2 2 2 4 3 2 2" xfId="37561"/>
    <cellStyle name="Финансовый 2 2 2 2 2 2 2 4 3 3" xfId="9440"/>
    <cellStyle name="Финансовый 2 2 2 2 2 2 2 4 3 4" xfId="31760"/>
    <cellStyle name="Финансовый 2 2 2 2 2 2 2 4 4" xfId="957"/>
    <cellStyle name="Финансовый 2 2 2 2 2 2 2 4 4 2" xfId="15275"/>
    <cellStyle name="Финансовый 2 2 2 2 2 2 2 4 4 2 2" xfId="37590"/>
    <cellStyle name="Финансовый 2 2 2 2 2 2 2 4 4 3" xfId="9469"/>
    <cellStyle name="Финансовый 2 2 2 2 2 2 2 4 4 4" xfId="31789"/>
    <cellStyle name="Финансовый 2 2 2 2 2 2 2 4 5" xfId="1133"/>
    <cellStyle name="Финансовый 2 2 2 2 2 2 2 4 5 2" xfId="15435"/>
    <cellStyle name="Финансовый 2 2 2 2 2 2 2 4 5 2 2" xfId="37750"/>
    <cellStyle name="Финансовый 2 2 2 2 2 2 2 4 5 3" xfId="9629"/>
    <cellStyle name="Финансовый 2 2 2 2 2 2 2 4 5 4" xfId="31946"/>
    <cellStyle name="Финансовый 2 2 2 2 2 2 2 4 6" xfId="1173"/>
    <cellStyle name="Финансовый 2 2 2 2 2 2 2 4 6 2" xfId="15465"/>
    <cellStyle name="Финансовый 2 2 2 2 2 2 2 4 6 2 2" xfId="37780"/>
    <cellStyle name="Финансовый 2 2 2 2 2 2 2 4 6 3" xfId="9659"/>
    <cellStyle name="Финансовый 2 2 2 2 2 2 2 4 6 4" xfId="31975"/>
    <cellStyle name="Финансовый 2 2 2 2 2 2 2 4 7" xfId="14967"/>
    <cellStyle name="Финансовый 2 2 2 2 2 2 2 4 7 2" xfId="37282"/>
    <cellStyle name="Финансовый 2 2 2 2 2 2 2 4 8" xfId="9161"/>
    <cellStyle name="Финансовый 2 2 2 2 2 2 2 4 9" xfId="31491"/>
    <cellStyle name="Финансовый 2 2 2 2 2 2 2 5" xfId="576"/>
    <cellStyle name="Финансовый 2 2 2 2 2 2 2 5 2" xfId="14969"/>
    <cellStyle name="Финансовый 2 2 2 2 2 2 2 5 2 2" xfId="37284"/>
    <cellStyle name="Финансовый 2 2 2 2 2 2 2 5 3" xfId="9163"/>
    <cellStyle name="Финансовый 2 2 2 2 2 2 2 5 4" xfId="31492"/>
    <cellStyle name="Финансовый 2 2 2 2 2 2 2 6" xfId="586"/>
    <cellStyle name="Финансовый 2 2 2 2 2 2 2 7" xfId="589"/>
    <cellStyle name="Финансовый 2 2 2 2 2 2 2 8" xfId="619"/>
    <cellStyle name="Финансовый 2 2 2 2 2 2 2 9" xfId="684"/>
    <cellStyle name="Финансовый 2 2 2 2 2 2 3" xfId="563"/>
    <cellStyle name="Финансовый 2 2 2 2 2 2 4" xfId="565"/>
    <cellStyle name="Финансовый 2 2 2 2 2 2 5" xfId="571"/>
    <cellStyle name="Финансовый 2 2 2 2 2 2 6" xfId="585"/>
    <cellStyle name="Финансовый 2 2 2 2 2 2 6 2" xfId="14975"/>
    <cellStyle name="Финансовый 2 2 2 2 2 2 6 2 2" xfId="37290"/>
    <cellStyle name="Финансовый 2 2 2 2 2 2 6 3" xfId="9169"/>
    <cellStyle name="Финансовый 2 2 2 2 2 2 6 4" xfId="31497"/>
    <cellStyle name="Финансовый 2 2 2 2 2 2 7" xfId="590"/>
    <cellStyle name="Финансовый 2 2 2 2 2 2 7 2" xfId="14978"/>
    <cellStyle name="Финансовый 2 2 2 2 2 2 7 2 2" xfId="37293"/>
    <cellStyle name="Финансовый 2 2 2 2 2 2 7 3" xfId="9172"/>
    <cellStyle name="Финансовый 2 2 2 2 2 2 7 4" xfId="31499"/>
    <cellStyle name="Финансовый 2 2 2 2 2 2 8" xfId="618"/>
    <cellStyle name="Финансовый 2 2 2 2 2 2 8 2" xfId="14998"/>
    <cellStyle name="Финансовый 2 2 2 2 2 2 8 2 2" xfId="37313"/>
    <cellStyle name="Финансовый 2 2 2 2 2 2 8 3" xfId="9192"/>
    <cellStyle name="Финансовый 2 2 2 2 2 2 8 4" xfId="31517"/>
    <cellStyle name="Финансовый 2 2 2 2 2 2 9" xfId="689"/>
    <cellStyle name="Финансовый 2 2 2 2 2 2 9 2" xfId="15068"/>
    <cellStyle name="Финансовый 2 2 2 2 2 2 9 2 2" xfId="37383"/>
    <cellStyle name="Финансовый 2 2 2 2 2 2 9 3" xfId="9262"/>
    <cellStyle name="Финансовый 2 2 2 2 2 2 9 4" xfId="31585"/>
    <cellStyle name="Финансовый 2 2 2 2 2 20" xfId="114"/>
    <cellStyle name="Финансовый 2 2 2 2 2 21" xfId="119"/>
    <cellStyle name="Финансовый 2 2 2 2 2 22" xfId="124"/>
    <cellStyle name="Финансовый 2 2 2 2 2 23" xfId="129"/>
    <cellStyle name="Финансовый 2 2 2 2 2 24" xfId="134"/>
    <cellStyle name="Финансовый 2 2 2 2 2 25" xfId="139"/>
    <cellStyle name="Финансовый 2 2 2 2 2 26" xfId="144"/>
    <cellStyle name="Финансовый 2 2 2 2 2 27" xfId="149"/>
    <cellStyle name="Финансовый 2 2 2 2 2 28" xfId="154"/>
    <cellStyle name="Финансовый 2 2 2 2 2 29" xfId="159"/>
    <cellStyle name="Финансовый 2 2 2 2 2 3" xfId="29"/>
    <cellStyle name="Финансовый 2 2 2 2 2 30" xfId="164"/>
    <cellStyle name="Финансовый 2 2 2 2 2 31" xfId="169"/>
    <cellStyle name="Финансовый 2 2 2 2 2 32" xfId="174"/>
    <cellStyle name="Финансовый 2 2 2 2 2 33" xfId="179"/>
    <cellStyle name="Финансовый 2 2 2 2 2 34" xfId="184"/>
    <cellStyle name="Финансовый 2 2 2 2 2 35" xfId="189"/>
    <cellStyle name="Финансовый 2 2 2 2 2 36" xfId="193"/>
    <cellStyle name="Финансовый 2 2 2 2 2 37" xfId="197"/>
    <cellStyle name="Финансовый 2 2 2 2 2 38" xfId="201"/>
    <cellStyle name="Финансовый 2 2 2 2 2 39" xfId="204"/>
    <cellStyle name="Финансовый 2 2 2 2 2 4" xfId="34"/>
    <cellStyle name="Финансовый 2 2 2 2 2 40" xfId="209"/>
    <cellStyle name="Финансовый 2 2 2 2 2 40 2" xfId="767"/>
    <cellStyle name="Финансовый 2 2 2 2 2 40 2 2" xfId="772"/>
    <cellStyle name="Финансовый 2 2 2 2 2 40 2 3" xfId="887"/>
    <cellStyle name="Финансовый 2 2 2 2 2 40 2 4" xfId="945"/>
    <cellStyle name="Финансовый 2 2 2 2 2 40 2 5" xfId="1103"/>
    <cellStyle name="Финансовый 2 2 2 2 2 40 2 6" xfId="1161"/>
    <cellStyle name="Финансовый 2 2 2 2 2 40 2 7" xfId="15143"/>
    <cellStyle name="Финансовый 2 2 2 2 2 40 2 7 2" xfId="37458"/>
    <cellStyle name="Финансовый 2 2 2 2 2 40 2 8" xfId="9337"/>
    <cellStyle name="Финансовый 2 2 2 2 2 40 2 9" xfId="31660"/>
    <cellStyle name="Финансовый 2 2 2 2 2 40 3" xfId="813"/>
    <cellStyle name="Финансовый 2 2 2 2 2 40 4" xfId="824"/>
    <cellStyle name="Финансовый 2 2 2 2 2 40 5" xfId="882"/>
    <cellStyle name="Финансовый 2 2 2 2 2 40 5 2" xfId="15220"/>
    <cellStyle name="Финансовый 2 2 2 2 2 40 5 2 2" xfId="37535"/>
    <cellStyle name="Финансовый 2 2 2 2 2 40 5 3" xfId="9414"/>
    <cellStyle name="Финансовый 2 2 2 2 2 40 5 4" xfId="31736"/>
    <cellStyle name="Финансовый 2 2 2 2 2 40 6" xfId="940"/>
    <cellStyle name="Финансовый 2 2 2 2 2 40 6 2" xfId="15266"/>
    <cellStyle name="Финансовый 2 2 2 2 2 40 6 2 2" xfId="37581"/>
    <cellStyle name="Финансовый 2 2 2 2 2 40 6 3" xfId="9460"/>
    <cellStyle name="Финансовый 2 2 2 2 2 40 6 4" xfId="31780"/>
    <cellStyle name="Финансовый 2 2 2 2 2 40 7" xfId="1098"/>
    <cellStyle name="Финансовый 2 2 2 2 2 40 7 2" xfId="15409"/>
    <cellStyle name="Финансовый 2 2 2 2 2 40 7 2 2" xfId="37724"/>
    <cellStyle name="Финансовый 2 2 2 2 2 40 7 3" xfId="9603"/>
    <cellStyle name="Финансовый 2 2 2 2 2 40 7 4" xfId="31922"/>
    <cellStyle name="Финансовый 2 2 2 2 2 40 8" xfId="1156"/>
    <cellStyle name="Финансовый 2 2 2 2 2 40 8 2" xfId="15455"/>
    <cellStyle name="Финансовый 2 2 2 2 2 40 8 2 2" xfId="37770"/>
    <cellStyle name="Финансовый 2 2 2 2 2 40 8 3" xfId="9649"/>
    <cellStyle name="Финансовый 2 2 2 2 2 40 8 4" xfId="31966"/>
    <cellStyle name="Финансовый 2 2 2 2 2 41" xfId="358"/>
    <cellStyle name="Финансовый 2 2 2 2 2 41 2" xfId="806"/>
    <cellStyle name="Финансовый 2 2 2 2 2 41 2 2" xfId="15154"/>
    <cellStyle name="Финансовый 2 2 2 2 2 41 2 2 2" xfId="37469"/>
    <cellStyle name="Финансовый 2 2 2 2 2 41 2 3" xfId="9348"/>
    <cellStyle name="Финансовый 2 2 2 2 2 41 2 4" xfId="31670"/>
    <cellStyle name="Финансовый 2 2 2 2 2 41 3" xfId="909"/>
    <cellStyle name="Финансовый 2 2 2 2 2 41 3 2" xfId="15238"/>
    <cellStyle name="Финансовый 2 2 2 2 2 41 3 2 2" xfId="37553"/>
    <cellStyle name="Финансовый 2 2 2 2 2 41 3 3" xfId="9432"/>
    <cellStyle name="Финансовый 2 2 2 2 2 41 3 4" xfId="31752"/>
    <cellStyle name="Финансовый 2 2 2 2 2 41 4" xfId="955"/>
    <cellStyle name="Финансовый 2 2 2 2 2 41 4 2" xfId="15273"/>
    <cellStyle name="Финансовый 2 2 2 2 2 41 4 2 2" xfId="37588"/>
    <cellStyle name="Финансовый 2 2 2 2 2 41 4 3" xfId="9467"/>
    <cellStyle name="Финансовый 2 2 2 2 2 41 4 4" xfId="31787"/>
    <cellStyle name="Финансовый 2 2 2 2 2 41 5" xfId="1125"/>
    <cellStyle name="Финансовый 2 2 2 2 2 41 5 2" xfId="15427"/>
    <cellStyle name="Финансовый 2 2 2 2 2 41 5 2 2" xfId="37742"/>
    <cellStyle name="Финансовый 2 2 2 2 2 41 5 3" xfId="9621"/>
    <cellStyle name="Финансовый 2 2 2 2 2 41 5 4" xfId="31938"/>
    <cellStyle name="Финансовый 2 2 2 2 2 41 6" xfId="1171"/>
    <cellStyle name="Финансовый 2 2 2 2 2 41 6 2" xfId="15463"/>
    <cellStyle name="Финансовый 2 2 2 2 2 41 6 2 2" xfId="37778"/>
    <cellStyle name="Финансовый 2 2 2 2 2 41 6 3" xfId="9657"/>
    <cellStyle name="Финансовый 2 2 2 2 2 41 6 4" xfId="31973"/>
    <cellStyle name="Финансовый 2 2 2 2 2 41 7" xfId="14761"/>
    <cellStyle name="Финансовый 2 2 2 2 2 41 7 2" xfId="37076"/>
    <cellStyle name="Финансовый 2 2 2 2 2 41 8" xfId="8955"/>
    <cellStyle name="Финансовый 2 2 2 2 2 41 9" xfId="31288"/>
    <cellStyle name="Финансовый 2 2 2 2 2 42" xfId="556"/>
    <cellStyle name="Финансовый 2 2 2 2 2 42 2" xfId="802"/>
    <cellStyle name="Финансовый 2 2 2 2 2 42 2 2" xfId="15150"/>
    <cellStyle name="Финансовый 2 2 2 2 2 42 2 2 2" xfId="37465"/>
    <cellStyle name="Финансовый 2 2 2 2 2 42 2 3" xfId="9344"/>
    <cellStyle name="Финансовый 2 2 2 2 2 42 2 4" xfId="31666"/>
    <cellStyle name="Финансовый 2 2 2 2 2 42 3" xfId="904"/>
    <cellStyle name="Финансовый 2 2 2 2 2 42 3 2" xfId="15233"/>
    <cellStyle name="Финансовый 2 2 2 2 2 42 3 2 2" xfId="37548"/>
    <cellStyle name="Финансовый 2 2 2 2 2 42 3 3" xfId="9427"/>
    <cellStyle name="Финансовый 2 2 2 2 2 42 3 4" xfId="31747"/>
    <cellStyle name="Финансовый 2 2 2 2 2 42 4" xfId="952"/>
    <cellStyle name="Финансовый 2 2 2 2 2 42 4 2" xfId="15270"/>
    <cellStyle name="Финансовый 2 2 2 2 2 42 4 2 2" xfId="37585"/>
    <cellStyle name="Финансовый 2 2 2 2 2 42 4 3" xfId="9464"/>
    <cellStyle name="Финансовый 2 2 2 2 2 42 4 4" xfId="31784"/>
    <cellStyle name="Финансовый 2 2 2 2 2 42 5" xfId="1120"/>
    <cellStyle name="Финансовый 2 2 2 2 2 42 5 2" xfId="15422"/>
    <cellStyle name="Финансовый 2 2 2 2 2 42 5 2 2" xfId="37737"/>
    <cellStyle name="Финансовый 2 2 2 2 2 42 5 3" xfId="9616"/>
    <cellStyle name="Финансовый 2 2 2 2 2 42 5 4" xfId="31933"/>
    <cellStyle name="Финансовый 2 2 2 2 2 42 6" xfId="1168"/>
    <cellStyle name="Финансовый 2 2 2 2 2 42 6 2" xfId="15460"/>
    <cellStyle name="Финансовый 2 2 2 2 2 42 6 2 2" xfId="37775"/>
    <cellStyle name="Финансовый 2 2 2 2 2 42 6 3" xfId="9654"/>
    <cellStyle name="Финансовый 2 2 2 2 2 42 6 4" xfId="31970"/>
    <cellStyle name="Финансовый 2 2 2 2 2 42 7" xfId="14955"/>
    <cellStyle name="Финансовый 2 2 2 2 2 42 7 2" xfId="37270"/>
    <cellStyle name="Финансовый 2 2 2 2 2 42 8" xfId="9149"/>
    <cellStyle name="Финансовый 2 2 2 2 2 42 9" xfId="31482"/>
    <cellStyle name="Финансовый 2 2 2 2 2 43" xfId="570"/>
    <cellStyle name="Финансовый 2 2 2 2 2 43 2" xfId="14963"/>
    <cellStyle name="Финансовый 2 2 2 2 2 43 2 2" xfId="37278"/>
    <cellStyle name="Финансовый 2 2 2 2 2 43 3" xfId="9157"/>
    <cellStyle name="Финансовый 2 2 2 2 2 43 4" xfId="31489"/>
    <cellStyle name="Финансовый 2 2 2 2 2 44" xfId="583"/>
    <cellStyle name="Финансовый 2 2 2 2 2 45" xfId="594"/>
    <cellStyle name="Финансовый 2 2 2 2 2 46" xfId="610"/>
    <cellStyle name="Финансовый 2 2 2 2 2 47" xfId="726"/>
    <cellStyle name="Финансовый 2 2 2 2 2 48" xfId="901"/>
    <cellStyle name="Финансовый 2 2 2 2 2 49" xfId="969"/>
    <cellStyle name="Финансовый 2 2 2 2 2 5" xfId="39"/>
    <cellStyle name="Финансовый 2 2 2 2 2 50" xfId="1117"/>
    <cellStyle name="Финансовый 2 2 2 2 2 51" xfId="366"/>
    <cellStyle name="Финансовый 2 2 2 2 2 51 2" xfId="14769"/>
    <cellStyle name="Финансовый 2 2 2 2 2 51 2 2" xfId="37084"/>
    <cellStyle name="Финансовый 2 2 2 2 2 51 3" xfId="8963"/>
    <cellStyle name="Финансовый 2 2 2 2 2 51 4" xfId="31296"/>
    <cellStyle name="Финансовый 2 2 2 2 2 52" xfId="503"/>
    <cellStyle name="Финансовый 2 2 2 2 2 52 2" xfId="14905"/>
    <cellStyle name="Финансовый 2 2 2 2 2 52 2 2" xfId="37220"/>
    <cellStyle name="Финансовый 2 2 2 2 2 52 3" xfId="9099"/>
    <cellStyle name="Финансовый 2 2 2 2 2 52 4" xfId="31432"/>
    <cellStyle name="Финансовый 2 2 2 2 2 53" xfId="1544"/>
    <cellStyle name="Финансовый 2 2 2 2 2 53 2" xfId="15784"/>
    <cellStyle name="Финансовый 2 2 2 2 2 53 2 2" xfId="38099"/>
    <cellStyle name="Финансовый 2 2 2 2 2 53 3" xfId="9978"/>
    <cellStyle name="Финансовый 2 2 2 2 2 53 4" xfId="32293"/>
    <cellStyle name="Финансовый 2 2 2 2 2 54" xfId="1561"/>
    <cellStyle name="Финансовый 2 2 2 2 2 54 2" xfId="15800"/>
    <cellStyle name="Финансовый 2 2 2 2 2 54 2 2" xfId="38115"/>
    <cellStyle name="Финансовый 2 2 2 2 2 54 3" xfId="9994"/>
    <cellStyle name="Финансовый 2 2 2 2 2 54 4" xfId="32309"/>
    <cellStyle name="Финансовый 2 2 2 2 2 55" xfId="1264"/>
    <cellStyle name="Финансовый 2 2 2 2 2 55 2" xfId="15524"/>
    <cellStyle name="Финансовый 2 2 2 2 2 55 2 2" xfId="37839"/>
    <cellStyle name="Финансовый 2 2 2 2 2 55 3" xfId="9718"/>
    <cellStyle name="Финансовый 2 2 2 2 2 55 4" xfId="32033"/>
    <cellStyle name="Финансовый 2 2 2 2 2 56" xfId="1814"/>
    <cellStyle name="Финансовый 2 2 2 2 2 56 2" xfId="16032"/>
    <cellStyle name="Финансовый 2 2 2 2 2 56 2 2" xfId="38347"/>
    <cellStyle name="Финансовый 2 2 2 2 2 56 3" xfId="10226"/>
    <cellStyle name="Финансовый 2 2 2 2 2 56 4" xfId="32541"/>
    <cellStyle name="Финансовый 2 2 2 2 2 57" xfId="2052"/>
    <cellStyle name="Финансовый 2 2 2 2 2 57 2" xfId="16228"/>
    <cellStyle name="Финансовый 2 2 2 2 2 57 2 2" xfId="38543"/>
    <cellStyle name="Финансовый 2 2 2 2 2 57 3" xfId="10422"/>
    <cellStyle name="Финансовый 2 2 2 2 2 57 4" xfId="32737"/>
    <cellStyle name="Финансовый 2 2 2 2 2 58" xfId="2287"/>
    <cellStyle name="Финансовый 2 2 2 2 2 58 2" xfId="16421"/>
    <cellStyle name="Финансовый 2 2 2 2 2 58 2 2" xfId="38736"/>
    <cellStyle name="Финансовый 2 2 2 2 2 58 3" xfId="10615"/>
    <cellStyle name="Финансовый 2 2 2 2 2 58 4" xfId="32930"/>
    <cellStyle name="Финансовый 2 2 2 2 2 59" xfId="2520"/>
    <cellStyle name="Финансовый 2 2 2 2 2 59 2" xfId="16612"/>
    <cellStyle name="Финансовый 2 2 2 2 2 59 2 2" xfId="38927"/>
    <cellStyle name="Финансовый 2 2 2 2 2 59 3" xfId="10806"/>
    <cellStyle name="Финансовый 2 2 2 2 2 59 4" xfId="33121"/>
    <cellStyle name="Финансовый 2 2 2 2 2 6" xfId="43"/>
    <cellStyle name="Финансовый 2 2 2 2 2 60" xfId="2747"/>
    <cellStyle name="Финансовый 2 2 2 2 2 60 2" xfId="16798"/>
    <cellStyle name="Финансовый 2 2 2 2 2 60 2 2" xfId="39113"/>
    <cellStyle name="Финансовый 2 2 2 2 2 60 3" xfId="10992"/>
    <cellStyle name="Финансовый 2 2 2 2 2 60 4" xfId="33307"/>
    <cellStyle name="Финансовый 2 2 2 2 2 61" xfId="2965"/>
    <cellStyle name="Финансовый 2 2 2 2 2 61 2" xfId="16976"/>
    <cellStyle name="Финансовый 2 2 2 2 2 61 2 2" xfId="39291"/>
    <cellStyle name="Финансовый 2 2 2 2 2 61 3" xfId="11170"/>
    <cellStyle name="Финансовый 2 2 2 2 2 61 4" xfId="33485"/>
    <cellStyle name="Финансовый 2 2 2 2 2 62" xfId="3173"/>
    <cellStyle name="Финансовый 2 2 2 2 2 62 2" xfId="17145"/>
    <cellStyle name="Финансовый 2 2 2 2 2 62 2 2" xfId="39460"/>
    <cellStyle name="Финансовый 2 2 2 2 2 62 3" xfId="11339"/>
    <cellStyle name="Финансовый 2 2 2 2 2 62 4" xfId="33654"/>
    <cellStyle name="Финансовый 2 2 2 2 2 63" xfId="5328"/>
    <cellStyle name="Финансовый 2 2 2 2 2 63 2" xfId="18492"/>
    <cellStyle name="Финансовый 2 2 2 2 2 63 2 2" xfId="40807"/>
    <cellStyle name="Финансовый 2 2 2 2 2 63 3" xfId="12686"/>
    <cellStyle name="Финансовый 2 2 2 2 2 63 4" xfId="35001"/>
    <cellStyle name="Финансовый 2 2 2 2 2 64" xfId="4069"/>
    <cellStyle name="Финансовый 2 2 2 2 2 64 2" xfId="17795"/>
    <cellStyle name="Финансовый 2 2 2 2 2 64 2 2" xfId="40110"/>
    <cellStyle name="Финансовый 2 2 2 2 2 64 3" xfId="11989"/>
    <cellStyle name="Финансовый 2 2 2 2 2 64 4" xfId="34304"/>
    <cellStyle name="Финансовый 2 2 2 2 2 65" xfId="4796"/>
    <cellStyle name="Финансовый 2 2 2 2 2 65 2" xfId="18204"/>
    <cellStyle name="Финансовый 2 2 2 2 2 65 2 2" xfId="40519"/>
    <cellStyle name="Финансовый 2 2 2 2 2 65 3" xfId="12398"/>
    <cellStyle name="Финансовый 2 2 2 2 2 65 4" xfId="34713"/>
    <cellStyle name="Финансовый 2 2 2 2 2 66" xfId="14569"/>
    <cellStyle name="Финансовый 2 2 2 2 2 66 2" xfId="36884"/>
    <cellStyle name="Финансовый 2 2 2 2 2 67" xfId="8763"/>
    <cellStyle name="Финансовый 2 2 2 2 2 68" xfId="31132"/>
    <cellStyle name="Финансовый 2 2 2 2 2 7" xfId="47"/>
    <cellStyle name="Финансовый 2 2 2 2 2 8" xfId="51"/>
    <cellStyle name="Финансовый 2 2 2 2 2 9" xfId="54"/>
    <cellStyle name="Финансовый 2 2 2 2 20" xfId="113"/>
    <cellStyle name="Финансовый 2 2 2 2 20 10" xfId="1726"/>
    <cellStyle name="Финансовый 2 2 2 2 20 10 2" xfId="15951"/>
    <cellStyle name="Финансовый 2 2 2 2 20 10 2 2" xfId="38266"/>
    <cellStyle name="Финансовый 2 2 2 2 20 10 3" xfId="10145"/>
    <cellStyle name="Финансовый 2 2 2 2 20 10 4" xfId="32460"/>
    <cellStyle name="Финансовый 2 2 2 2 20 11" xfId="1926"/>
    <cellStyle name="Финансовый 2 2 2 2 20 11 2" xfId="16129"/>
    <cellStyle name="Финансовый 2 2 2 2 20 11 2 2" xfId="38444"/>
    <cellStyle name="Финансовый 2 2 2 2 20 11 3" xfId="10323"/>
    <cellStyle name="Финансовый 2 2 2 2 20 11 4" xfId="32638"/>
    <cellStyle name="Финансовый 2 2 2 2 20 12" xfId="2163"/>
    <cellStyle name="Финансовый 2 2 2 2 20 12 2" xfId="16324"/>
    <cellStyle name="Финансовый 2 2 2 2 20 12 2 2" xfId="38639"/>
    <cellStyle name="Финансовый 2 2 2 2 20 12 3" xfId="10518"/>
    <cellStyle name="Финансовый 2 2 2 2 20 12 4" xfId="32833"/>
    <cellStyle name="Финансовый 2 2 2 2 20 13" xfId="2398"/>
    <cellStyle name="Финансовый 2 2 2 2 20 13 2" xfId="16517"/>
    <cellStyle name="Финансовый 2 2 2 2 20 13 2 2" xfId="38832"/>
    <cellStyle name="Финансовый 2 2 2 2 20 13 3" xfId="10711"/>
    <cellStyle name="Финансовый 2 2 2 2 20 13 4" xfId="33026"/>
    <cellStyle name="Финансовый 2 2 2 2 20 14" xfId="2630"/>
    <cellStyle name="Финансовый 2 2 2 2 20 14 2" xfId="16707"/>
    <cellStyle name="Финансовый 2 2 2 2 20 14 2 2" xfId="39022"/>
    <cellStyle name="Финансовый 2 2 2 2 20 14 3" xfId="10901"/>
    <cellStyle name="Финансовый 2 2 2 2 20 14 4" xfId="33216"/>
    <cellStyle name="Финансовый 2 2 2 2 20 15" xfId="2851"/>
    <cellStyle name="Финансовый 2 2 2 2 20 15 2" xfId="16888"/>
    <cellStyle name="Финансовый 2 2 2 2 20 15 2 2" xfId="39203"/>
    <cellStyle name="Финансовый 2 2 2 2 20 15 3" xfId="11082"/>
    <cellStyle name="Финансовый 2 2 2 2 20 15 4" xfId="33397"/>
    <cellStyle name="Финансовый 2 2 2 2 20 16" xfId="3064"/>
    <cellStyle name="Финансовый 2 2 2 2 20 16 2" xfId="17061"/>
    <cellStyle name="Финансовый 2 2 2 2 20 16 2 2" xfId="39376"/>
    <cellStyle name="Финансовый 2 2 2 2 20 16 3" xfId="11255"/>
    <cellStyle name="Финансовый 2 2 2 2 20 16 4" xfId="33570"/>
    <cellStyle name="Финансовый 2 2 2 2 20 17" xfId="3264"/>
    <cellStyle name="Финансовый 2 2 2 2 20 17 2" xfId="17222"/>
    <cellStyle name="Финансовый 2 2 2 2 20 17 2 2" xfId="39537"/>
    <cellStyle name="Финансовый 2 2 2 2 20 17 3" xfId="11416"/>
    <cellStyle name="Финансовый 2 2 2 2 20 17 4" xfId="33731"/>
    <cellStyle name="Финансовый 2 2 2 2 20 18" xfId="3451"/>
    <cellStyle name="Финансовый 2 2 2 2 20 18 2" xfId="17370"/>
    <cellStyle name="Финансовый 2 2 2 2 20 18 2 2" xfId="39685"/>
    <cellStyle name="Финансовый 2 2 2 2 20 18 3" xfId="11564"/>
    <cellStyle name="Финансовый 2 2 2 2 20 18 4" xfId="33879"/>
    <cellStyle name="Финансовый 2 2 2 2 20 19" xfId="8251"/>
    <cellStyle name="Финансовый 2 2 2 2 20 19 2" xfId="20087"/>
    <cellStyle name="Финансовый 2 2 2 2 20 19 2 2" xfId="42402"/>
    <cellStyle name="Финансовый 2 2 2 2 20 19 3" xfId="14281"/>
    <cellStyle name="Финансовый 2 2 2 2 20 19 4" xfId="36596"/>
    <cellStyle name="Финансовый 2 2 2 2 20 2" xfId="456"/>
    <cellStyle name="Финансовый 2 2 2 2 20 2 10" xfId="1344"/>
    <cellStyle name="Финансовый 2 2 2 2 20 2 10 2" xfId="15597"/>
    <cellStyle name="Финансовый 2 2 2 2 20 2 10 2 2" xfId="37912"/>
    <cellStyle name="Финансовый 2 2 2 2 20 2 10 3" xfId="9791"/>
    <cellStyle name="Финансовый 2 2 2 2 20 2 10 4" xfId="32106"/>
    <cellStyle name="Финансовый 2 2 2 2 20 2 11" xfId="1362"/>
    <cellStyle name="Финансовый 2 2 2 2 20 2 11 2" xfId="15612"/>
    <cellStyle name="Финансовый 2 2 2 2 20 2 11 2 2" xfId="37927"/>
    <cellStyle name="Финансовый 2 2 2 2 20 2 11 3" xfId="9806"/>
    <cellStyle name="Финансовый 2 2 2 2 20 2 11 4" xfId="32121"/>
    <cellStyle name="Финансовый 2 2 2 2 20 2 12" xfId="1622"/>
    <cellStyle name="Финансовый 2 2 2 2 20 2 12 2" xfId="15856"/>
    <cellStyle name="Финансовый 2 2 2 2 20 2 12 2 2" xfId="38171"/>
    <cellStyle name="Финансовый 2 2 2 2 20 2 12 3" xfId="10050"/>
    <cellStyle name="Финансовый 2 2 2 2 20 2 12 4" xfId="32365"/>
    <cellStyle name="Финансовый 2 2 2 2 20 2 13" xfId="511"/>
    <cellStyle name="Финансовый 2 2 2 2 20 2 13 2" xfId="14913"/>
    <cellStyle name="Финансовый 2 2 2 2 20 2 13 2 2" xfId="37228"/>
    <cellStyle name="Финансовый 2 2 2 2 20 2 13 3" xfId="9107"/>
    <cellStyle name="Финансовый 2 2 2 2 20 2 13 4" xfId="31440"/>
    <cellStyle name="Финансовый 2 2 2 2 20 2 14" xfId="1246"/>
    <cellStyle name="Финансовый 2 2 2 2 20 2 14 2" xfId="15506"/>
    <cellStyle name="Финансовый 2 2 2 2 20 2 14 2 2" xfId="37821"/>
    <cellStyle name="Финансовый 2 2 2 2 20 2 14 3" xfId="9700"/>
    <cellStyle name="Финансовый 2 2 2 2 20 2 14 4" xfId="32015"/>
    <cellStyle name="Финансовый 2 2 2 2 20 2 15" xfId="6124"/>
    <cellStyle name="Финансовый 2 2 2 2 20 2 15 2" xfId="18915"/>
    <cellStyle name="Финансовый 2 2 2 2 20 2 15 2 2" xfId="41230"/>
    <cellStyle name="Финансовый 2 2 2 2 20 2 15 3" xfId="13109"/>
    <cellStyle name="Финансовый 2 2 2 2 20 2 15 4" xfId="35424"/>
    <cellStyle name="Финансовый 2 2 2 2 20 2 16" xfId="4683"/>
    <cellStyle name="Финансовый 2 2 2 2 20 2 16 2" xfId="18136"/>
    <cellStyle name="Финансовый 2 2 2 2 20 2 16 2 2" xfId="40451"/>
    <cellStyle name="Финансовый 2 2 2 2 20 2 16 3" xfId="12330"/>
    <cellStyle name="Финансовый 2 2 2 2 20 2 16 4" xfId="34645"/>
    <cellStyle name="Финансовый 2 2 2 2 20 2 17" xfId="5474"/>
    <cellStyle name="Финансовый 2 2 2 2 20 2 17 2" xfId="18572"/>
    <cellStyle name="Финансовый 2 2 2 2 20 2 17 2 2" xfId="40887"/>
    <cellStyle name="Финансовый 2 2 2 2 20 2 17 3" xfId="12766"/>
    <cellStyle name="Финансовый 2 2 2 2 20 2 17 4" xfId="35081"/>
    <cellStyle name="Финансовый 2 2 2 2 20 2 18" xfId="14859"/>
    <cellStyle name="Финансовый 2 2 2 2 20 2 18 2" xfId="37174"/>
    <cellStyle name="Финансовый 2 2 2 2 20 2 19" xfId="9053"/>
    <cellStyle name="Финансовый 2 2 2 2 20 2 2" xfId="691"/>
    <cellStyle name="Финансовый 2 2 2 2 20 2 2 2" xfId="15070"/>
    <cellStyle name="Финансовый 2 2 2 2 20 2 2 2 2" xfId="37385"/>
    <cellStyle name="Финансовый 2 2 2 2 20 2 2 3" xfId="9264"/>
    <cellStyle name="Финансовый 2 2 2 2 20 2 2 4" xfId="31587"/>
    <cellStyle name="Финансовый 2 2 2 2 20 2 20" xfId="31386"/>
    <cellStyle name="Финансовый 2 2 2 2 20 2 3" xfId="1445"/>
    <cellStyle name="Финансовый 2 2 2 2 20 2 3 2" xfId="15688"/>
    <cellStyle name="Финансовый 2 2 2 2 20 2 3 2 2" xfId="38003"/>
    <cellStyle name="Финансовый 2 2 2 2 20 2 3 3" xfId="9882"/>
    <cellStyle name="Финансовый 2 2 2 2 20 2 3 4" xfId="32197"/>
    <cellStyle name="Финансовый 2 2 2 2 20 2 4" xfId="1672"/>
    <cellStyle name="Финансовый 2 2 2 2 20 2 4 2" xfId="15901"/>
    <cellStyle name="Финансовый 2 2 2 2 20 2 4 2 2" xfId="38216"/>
    <cellStyle name="Финансовый 2 2 2 2 20 2 4 3" xfId="10095"/>
    <cellStyle name="Финансовый 2 2 2 2 20 2 4 4" xfId="32410"/>
    <cellStyle name="Финансовый 2 2 2 2 20 2 5" xfId="384"/>
    <cellStyle name="Финансовый 2 2 2 2 20 2 5 2" xfId="14787"/>
    <cellStyle name="Финансовый 2 2 2 2 20 2 5 2 2" xfId="37102"/>
    <cellStyle name="Финансовый 2 2 2 2 20 2 5 3" xfId="8981"/>
    <cellStyle name="Финансовый 2 2 2 2 20 2 5 4" xfId="31314"/>
    <cellStyle name="Финансовый 2 2 2 2 20 2 6" xfId="1517"/>
    <cellStyle name="Финансовый 2 2 2 2 20 2 6 2" xfId="15757"/>
    <cellStyle name="Финансовый 2 2 2 2 20 2 6 2 2" xfId="38072"/>
    <cellStyle name="Финансовый 2 2 2 2 20 2 6 3" xfId="9951"/>
    <cellStyle name="Финансовый 2 2 2 2 20 2 6 4" xfId="32266"/>
    <cellStyle name="Финансовый 2 2 2 2 20 2 7" xfId="557"/>
    <cellStyle name="Финансовый 2 2 2 2 20 2 7 2" xfId="14956"/>
    <cellStyle name="Финансовый 2 2 2 2 20 2 7 2 2" xfId="37271"/>
    <cellStyle name="Финансовый 2 2 2 2 20 2 7 3" xfId="9150"/>
    <cellStyle name="Финансовый 2 2 2 2 20 2 7 4" xfId="31483"/>
    <cellStyle name="Финансовый 2 2 2 2 20 2 8" xfId="578"/>
    <cellStyle name="Финансовый 2 2 2 2 20 2 8 2" xfId="14971"/>
    <cellStyle name="Финансовый 2 2 2 2 20 2 8 2 2" xfId="37286"/>
    <cellStyle name="Финансовый 2 2 2 2 20 2 8 3" xfId="9165"/>
    <cellStyle name="Финансовый 2 2 2 2 20 2 8 4" xfId="31493"/>
    <cellStyle name="Финансовый 2 2 2 2 20 2 9" xfId="1575"/>
    <cellStyle name="Финансовый 2 2 2 2 20 2 9 2" xfId="15813"/>
    <cellStyle name="Финансовый 2 2 2 2 20 2 9 2 2" xfId="38128"/>
    <cellStyle name="Финансовый 2 2 2 2 20 2 9 3" xfId="10007"/>
    <cellStyle name="Финансовый 2 2 2 2 20 2 9 4" xfId="32322"/>
    <cellStyle name="Финансовый 2 2 2 2 20 20" xfId="7975"/>
    <cellStyle name="Финансовый 2 2 2 2 20 20 2" xfId="19928"/>
    <cellStyle name="Финансовый 2 2 2 2 20 20 2 2" xfId="42243"/>
    <cellStyle name="Финансовый 2 2 2 2 20 20 3" xfId="14122"/>
    <cellStyle name="Финансовый 2 2 2 2 20 20 4" xfId="36437"/>
    <cellStyle name="Финансовый 2 2 2 2 20 21" xfId="4596"/>
    <cellStyle name="Финансовый 2 2 2 2 20 21 2" xfId="18086"/>
    <cellStyle name="Финансовый 2 2 2 2 20 21 2 2" xfId="40401"/>
    <cellStyle name="Финансовый 2 2 2 2 20 21 3" xfId="12280"/>
    <cellStyle name="Финансовый 2 2 2 2 20 21 4" xfId="34595"/>
    <cellStyle name="Финансовый 2 2 2 2 20 22" xfId="14629"/>
    <cellStyle name="Финансовый 2 2 2 2 20 22 2" xfId="36944"/>
    <cellStyle name="Финансовый 2 2 2 2 20 23" xfId="8823"/>
    <cellStyle name="Финансовый 2 2 2 2 20 24" xfId="31168"/>
    <cellStyle name="Финансовый 2 2 2 2 20 3" xfId="645"/>
    <cellStyle name="Финансовый 2 2 2 2 20 3 2" xfId="15024"/>
    <cellStyle name="Финансовый 2 2 2 2 20 3 2 2" xfId="37339"/>
    <cellStyle name="Финансовый 2 2 2 2 20 3 3" xfId="9218"/>
    <cellStyle name="Финансовый 2 2 2 2 20 3 4" xfId="31542"/>
    <cellStyle name="Финансовый 2 2 2 2 20 4" xfId="852"/>
    <cellStyle name="Финансовый 2 2 2 2 20 4 2" xfId="15192"/>
    <cellStyle name="Финансовый 2 2 2 2 20 4 2 2" xfId="37507"/>
    <cellStyle name="Финансовый 2 2 2 2 20 4 3" xfId="9386"/>
    <cellStyle name="Финансовый 2 2 2 2 20 4 4" xfId="31708"/>
    <cellStyle name="Финансовый 2 2 2 2 20 5" xfId="1034"/>
    <cellStyle name="Финансовый 2 2 2 2 20 5 2" xfId="15347"/>
    <cellStyle name="Финансовый 2 2 2 2 20 5 2 2" xfId="37662"/>
    <cellStyle name="Финансовый 2 2 2 2 20 5 3" xfId="9541"/>
    <cellStyle name="Финансовый 2 2 2 2 20 5 4" xfId="31860"/>
    <cellStyle name="Финансовый 2 2 2 2 20 6" xfId="1068"/>
    <cellStyle name="Финансовый 2 2 2 2 20 6 2" xfId="15381"/>
    <cellStyle name="Финансовый 2 2 2 2 20 6 2 2" xfId="37696"/>
    <cellStyle name="Финансовый 2 2 2 2 20 6 3" xfId="9575"/>
    <cellStyle name="Финансовый 2 2 2 2 20 6 4" xfId="31894"/>
    <cellStyle name="Финансовый 2 2 2 2 20 7" xfId="432"/>
    <cellStyle name="Финансовый 2 2 2 2 20 7 2" xfId="14835"/>
    <cellStyle name="Финансовый 2 2 2 2 20 7 2 2" xfId="37150"/>
    <cellStyle name="Финансовый 2 2 2 2 20 7 3" xfId="9029"/>
    <cellStyle name="Финансовый 2 2 2 2 20 7 4" xfId="31362"/>
    <cellStyle name="Финансовый 2 2 2 2 20 8" xfId="1464"/>
    <cellStyle name="Финансовый 2 2 2 2 20 8 2" xfId="15706"/>
    <cellStyle name="Финансовый 2 2 2 2 20 8 2 2" xfId="38021"/>
    <cellStyle name="Финансовый 2 2 2 2 20 8 3" xfId="9900"/>
    <cellStyle name="Финансовый 2 2 2 2 20 8 4" xfId="32215"/>
    <cellStyle name="Финансовый 2 2 2 2 20 9" xfId="1662"/>
    <cellStyle name="Финансовый 2 2 2 2 20 9 2" xfId="15891"/>
    <cellStyle name="Финансовый 2 2 2 2 20 9 2 2" xfId="38206"/>
    <cellStyle name="Финансовый 2 2 2 2 20 9 3" xfId="10085"/>
    <cellStyle name="Финансовый 2 2 2 2 20 9 4" xfId="32400"/>
    <cellStyle name="Финансовый 2 2 2 2 21" xfId="118"/>
    <cellStyle name="Финансовый 2 2 2 2 21 10" xfId="1786"/>
    <cellStyle name="Финансовый 2 2 2 2 21 10 2" xfId="16006"/>
    <cellStyle name="Финансовый 2 2 2 2 21 10 2 2" xfId="38321"/>
    <cellStyle name="Финансовый 2 2 2 2 21 10 3" xfId="10200"/>
    <cellStyle name="Финансовый 2 2 2 2 21 10 4" xfId="32515"/>
    <cellStyle name="Финансовый 2 2 2 2 21 11" xfId="2024"/>
    <cellStyle name="Финансовый 2 2 2 2 21 11 2" xfId="16202"/>
    <cellStyle name="Финансовый 2 2 2 2 21 11 2 2" xfId="38517"/>
    <cellStyle name="Финансовый 2 2 2 2 21 11 3" xfId="10396"/>
    <cellStyle name="Финансовый 2 2 2 2 21 11 4" xfId="32711"/>
    <cellStyle name="Финансовый 2 2 2 2 21 12" xfId="2259"/>
    <cellStyle name="Финансовый 2 2 2 2 21 12 2" xfId="16395"/>
    <cellStyle name="Финансовый 2 2 2 2 21 12 2 2" xfId="38710"/>
    <cellStyle name="Финансовый 2 2 2 2 21 12 3" xfId="10589"/>
    <cellStyle name="Финансовый 2 2 2 2 21 12 4" xfId="32904"/>
    <cellStyle name="Финансовый 2 2 2 2 21 13" xfId="2493"/>
    <cellStyle name="Финансовый 2 2 2 2 21 13 2" xfId="16587"/>
    <cellStyle name="Финансовый 2 2 2 2 21 13 2 2" xfId="38902"/>
    <cellStyle name="Финансовый 2 2 2 2 21 13 3" xfId="10781"/>
    <cellStyle name="Финансовый 2 2 2 2 21 13 4" xfId="33096"/>
    <cellStyle name="Финансовый 2 2 2 2 21 14" xfId="2721"/>
    <cellStyle name="Финансовый 2 2 2 2 21 14 2" xfId="16774"/>
    <cellStyle name="Финансовый 2 2 2 2 21 14 2 2" xfId="39089"/>
    <cellStyle name="Финансовый 2 2 2 2 21 14 3" xfId="10968"/>
    <cellStyle name="Финансовый 2 2 2 2 21 14 4" xfId="33283"/>
    <cellStyle name="Финансовый 2 2 2 2 21 15" xfId="2941"/>
    <cellStyle name="Финансовый 2 2 2 2 21 15 2" xfId="16954"/>
    <cellStyle name="Финансовый 2 2 2 2 21 15 2 2" xfId="39269"/>
    <cellStyle name="Финансовый 2 2 2 2 21 15 3" xfId="11148"/>
    <cellStyle name="Финансовый 2 2 2 2 21 15 4" xfId="33463"/>
    <cellStyle name="Финансовый 2 2 2 2 21 16" xfId="3151"/>
    <cellStyle name="Финансовый 2 2 2 2 21 16 2" xfId="17125"/>
    <cellStyle name="Финансовый 2 2 2 2 21 16 2 2" xfId="39440"/>
    <cellStyle name="Финансовый 2 2 2 2 21 16 3" xfId="11319"/>
    <cellStyle name="Финансовый 2 2 2 2 21 16 4" xfId="33634"/>
    <cellStyle name="Финансовый 2 2 2 2 21 17" xfId="3344"/>
    <cellStyle name="Финансовый 2 2 2 2 21 17 2" xfId="17279"/>
    <cellStyle name="Финансовый 2 2 2 2 21 17 2 2" xfId="39594"/>
    <cellStyle name="Финансовый 2 2 2 2 21 17 3" xfId="11473"/>
    <cellStyle name="Финансовый 2 2 2 2 21 17 4" xfId="33788"/>
    <cellStyle name="Финансовый 2 2 2 2 21 18" xfId="3527"/>
    <cellStyle name="Финансовый 2 2 2 2 21 18 2" xfId="17423"/>
    <cellStyle name="Финансовый 2 2 2 2 21 18 2 2" xfId="39738"/>
    <cellStyle name="Финансовый 2 2 2 2 21 18 3" xfId="11617"/>
    <cellStyle name="Финансовый 2 2 2 2 21 18 4" xfId="33932"/>
    <cellStyle name="Финансовый 2 2 2 2 21 19" xfId="6651"/>
    <cellStyle name="Финансовый 2 2 2 2 21 19 2" xfId="19198"/>
    <cellStyle name="Финансовый 2 2 2 2 21 19 2 2" xfId="41513"/>
    <cellStyle name="Финансовый 2 2 2 2 21 19 3" xfId="13392"/>
    <cellStyle name="Финансовый 2 2 2 2 21 19 4" xfId="35707"/>
    <cellStyle name="Финансовый 2 2 2 2 21 2" xfId="460"/>
    <cellStyle name="Финансовый 2 2 2 2 21 2 10" xfId="2527"/>
    <cellStyle name="Финансовый 2 2 2 2 21 2 10 2" xfId="16618"/>
    <cellStyle name="Финансовый 2 2 2 2 21 2 10 2 2" xfId="38933"/>
    <cellStyle name="Финансовый 2 2 2 2 21 2 10 3" xfId="10812"/>
    <cellStyle name="Финансовый 2 2 2 2 21 2 10 4" xfId="33127"/>
    <cellStyle name="Финансовый 2 2 2 2 21 2 11" xfId="2753"/>
    <cellStyle name="Финансовый 2 2 2 2 21 2 11 2" xfId="16803"/>
    <cellStyle name="Финансовый 2 2 2 2 21 2 11 2 2" xfId="39118"/>
    <cellStyle name="Финансовый 2 2 2 2 21 2 11 3" xfId="10997"/>
    <cellStyle name="Финансовый 2 2 2 2 21 2 11 4" xfId="33312"/>
    <cellStyle name="Финансовый 2 2 2 2 21 2 12" xfId="2971"/>
    <cellStyle name="Финансовый 2 2 2 2 21 2 12 2" xfId="16981"/>
    <cellStyle name="Финансовый 2 2 2 2 21 2 12 2 2" xfId="39296"/>
    <cellStyle name="Финансовый 2 2 2 2 21 2 12 3" xfId="11175"/>
    <cellStyle name="Финансовый 2 2 2 2 21 2 12 4" xfId="33490"/>
    <cellStyle name="Финансовый 2 2 2 2 21 2 13" xfId="3179"/>
    <cellStyle name="Финансовый 2 2 2 2 21 2 13 2" xfId="17150"/>
    <cellStyle name="Финансовый 2 2 2 2 21 2 13 2 2" xfId="39465"/>
    <cellStyle name="Финансовый 2 2 2 2 21 2 13 3" xfId="11344"/>
    <cellStyle name="Финансовый 2 2 2 2 21 2 13 4" xfId="33659"/>
    <cellStyle name="Финансовый 2 2 2 2 21 2 14" xfId="3368"/>
    <cellStyle name="Финансовый 2 2 2 2 21 2 14 2" xfId="17300"/>
    <cellStyle name="Финансовый 2 2 2 2 21 2 14 2 2" xfId="39615"/>
    <cellStyle name="Финансовый 2 2 2 2 21 2 14 3" xfId="11494"/>
    <cellStyle name="Финансовый 2 2 2 2 21 2 14 4" xfId="33809"/>
    <cellStyle name="Финансовый 2 2 2 2 21 2 15" xfId="7514"/>
    <cellStyle name="Финансовый 2 2 2 2 21 2 15 2" xfId="19664"/>
    <cellStyle name="Финансовый 2 2 2 2 21 2 15 2 2" xfId="41979"/>
    <cellStyle name="Финансовый 2 2 2 2 21 2 15 3" xfId="13858"/>
    <cellStyle name="Финансовый 2 2 2 2 21 2 15 4" xfId="36173"/>
    <cellStyle name="Финансовый 2 2 2 2 21 2 16" xfId="7554"/>
    <cellStyle name="Финансовый 2 2 2 2 21 2 16 2" xfId="19688"/>
    <cellStyle name="Финансовый 2 2 2 2 21 2 16 2 2" xfId="42003"/>
    <cellStyle name="Финансовый 2 2 2 2 21 2 16 3" xfId="13882"/>
    <cellStyle name="Финансовый 2 2 2 2 21 2 16 4" xfId="36197"/>
    <cellStyle name="Финансовый 2 2 2 2 21 2 17" xfId="7443"/>
    <cellStyle name="Финансовый 2 2 2 2 21 2 17 2" xfId="19627"/>
    <cellStyle name="Финансовый 2 2 2 2 21 2 17 2 2" xfId="41942"/>
    <cellStyle name="Финансовый 2 2 2 2 21 2 17 3" xfId="13821"/>
    <cellStyle name="Финансовый 2 2 2 2 21 2 17 4" xfId="36136"/>
    <cellStyle name="Финансовый 2 2 2 2 21 2 18" xfId="14863"/>
    <cellStyle name="Финансовый 2 2 2 2 21 2 18 2" xfId="37178"/>
    <cellStyle name="Финансовый 2 2 2 2 21 2 19" xfId="9057"/>
    <cellStyle name="Финансовый 2 2 2 2 21 2 2" xfId="695"/>
    <cellStyle name="Финансовый 2 2 2 2 21 2 2 2" xfId="15074"/>
    <cellStyle name="Финансовый 2 2 2 2 21 2 2 2 2" xfId="37389"/>
    <cellStyle name="Финансовый 2 2 2 2 21 2 2 3" xfId="9268"/>
    <cellStyle name="Финансовый 2 2 2 2 21 2 2 4" xfId="31591"/>
    <cellStyle name="Финансовый 2 2 2 2 21 2 20" xfId="31390"/>
    <cellStyle name="Финансовый 2 2 2 2 21 2 3" xfId="1449"/>
    <cellStyle name="Финансовый 2 2 2 2 21 2 3 2" xfId="15691"/>
    <cellStyle name="Финансовый 2 2 2 2 21 2 3 2 2" xfId="38006"/>
    <cellStyle name="Финансовый 2 2 2 2 21 2 3 3" xfId="9885"/>
    <cellStyle name="Финансовый 2 2 2 2 21 2 3 4" xfId="32200"/>
    <cellStyle name="Финансовый 2 2 2 2 21 2 4" xfId="1670"/>
    <cellStyle name="Финансовый 2 2 2 2 21 2 4 2" xfId="15899"/>
    <cellStyle name="Финансовый 2 2 2 2 21 2 4 2 2" xfId="38214"/>
    <cellStyle name="Финансовый 2 2 2 2 21 2 4 3" xfId="10093"/>
    <cellStyle name="Финансовый 2 2 2 2 21 2 4 4" xfId="32408"/>
    <cellStyle name="Финансовый 2 2 2 2 21 2 5" xfId="521"/>
    <cellStyle name="Финансовый 2 2 2 2 21 2 5 2" xfId="14922"/>
    <cellStyle name="Финансовый 2 2 2 2 21 2 5 2 2" xfId="37237"/>
    <cellStyle name="Финансовый 2 2 2 2 21 2 5 3" xfId="9116"/>
    <cellStyle name="Финансовый 2 2 2 2 21 2 5 4" xfId="31449"/>
    <cellStyle name="Финансовый 2 2 2 2 21 2 6" xfId="1256"/>
    <cellStyle name="Финансовый 2 2 2 2 21 2 6 2" xfId="15516"/>
    <cellStyle name="Финансовый 2 2 2 2 21 2 6 2 2" xfId="37831"/>
    <cellStyle name="Финансовый 2 2 2 2 21 2 6 3" xfId="9710"/>
    <cellStyle name="Финансовый 2 2 2 2 21 2 6 4" xfId="32025"/>
    <cellStyle name="Финансовый 2 2 2 2 21 2 7" xfId="1821"/>
    <cellStyle name="Финансовый 2 2 2 2 21 2 7 2" xfId="16038"/>
    <cellStyle name="Финансовый 2 2 2 2 21 2 7 2 2" xfId="38353"/>
    <cellStyle name="Финансовый 2 2 2 2 21 2 7 3" xfId="10232"/>
    <cellStyle name="Финансовый 2 2 2 2 21 2 7 4" xfId="32547"/>
    <cellStyle name="Финансовый 2 2 2 2 21 2 8" xfId="2059"/>
    <cellStyle name="Финансовый 2 2 2 2 21 2 8 2" xfId="16234"/>
    <cellStyle name="Финансовый 2 2 2 2 21 2 8 2 2" xfId="38549"/>
    <cellStyle name="Финансовый 2 2 2 2 21 2 8 3" xfId="10428"/>
    <cellStyle name="Финансовый 2 2 2 2 21 2 8 4" xfId="32743"/>
    <cellStyle name="Финансовый 2 2 2 2 21 2 9" xfId="2294"/>
    <cellStyle name="Финансовый 2 2 2 2 21 2 9 2" xfId="16427"/>
    <cellStyle name="Финансовый 2 2 2 2 21 2 9 2 2" xfId="38742"/>
    <cellStyle name="Финансовый 2 2 2 2 21 2 9 3" xfId="10621"/>
    <cellStyle name="Финансовый 2 2 2 2 21 2 9 4" xfId="32936"/>
    <cellStyle name="Финансовый 2 2 2 2 21 20" xfId="7970"/>
    <cellStyle name="Финансовый 2 2 2 2 21 20 2" xfId="19923"/>
    <cellStyle name="Финансовый 2 2 2 2 21 20 2 2" xfId="42238"/>
    <cellStyle name="Финансовый 2 2 2 2 21 20 3" xfId="14117"/>
    <cellStyle name="Финансовый 2 2 2 2 21 20 4" xfId="36432"/>
    <cellStyle name="Финансовый 2 2 2 2 21 21" xfId="7893"/>
    <cellStyle name="Финансовый 2 2 2 2 21 21 2" xfId="19878"/>
    <cellStyle name="Финансовый 2 2 2 2 21 21 2 2" xfId="42193"/>
    <cellStyle name="Финансовый 2 2 2 2 21 21 3" xfId="14072"/>
    <cellStyle name="Финансовый 2 2 2 2 21 21 4" xfId="36387"/>
    <cellStyle name="Финансовый 2 2 2 2 21 22" xfId="14632"/>
    <cellStyle name="Финансовый 2 2 2 2 21 22 2" xfId="36947"/>
    <cellStyle name="Финансовый 2 2 2 2 21 23" xfId="8826"/>
    <cellStyle name="Финансовый 2 2 2 2 21 24" xfId="31170"/>
    <cellStyle name="Финансовый 2 2 2 2 21 3" xfId="646"/>
    <cellStyle name="Финансовый 2 2 2 2 21 3 2" xfId="15025"/>
    <cellStyle name="Финансовый 2 2 2 2 21 3 2 2" xfId="37340"/>
    <cellStyle name="Финансовый 2 2 2 2 21 3 3" xfId="9219"/>
    <cellStyle name="Финансовый 2 2 2 2 21 3 4" xfId="31543"/>
    <cellStyle name="Финансовый 2 2 2 2 21 4" xfId="838"/>
    <cellStyle name="Финансовый 2 2 2 2 21 4 2" xfId="15178"/>
    <cellStyle name="Финансовый 2 2 2 2 21 4 2 2" xfId="37493"/>
    <cellStyle name="Финансовый 2 2 2 2 21 4 3" xfId="9372"/>
    <cellStyle name="Финансовый 2 2 2 2 21 4 4" xfId="31694"/>
    <cellStyle name="Финансовый 2 2 2 2 21 5" xfId="1037"/>
    <cellStyle name="Финансовый 2 2 2 2 21 5 2" xfId="15350"/>
    <cellStyle name="Финансовый 2 2 2 2 21 5 2 2" xfId="37665"/>
    <cellStyle name="Финансовый 2 2 2 2 21 5 3" xfId="9544"/>
    <cellStyle name="Финансовый 2 2 2 2 21 5 4" xfId="31863"/>
    <cellStyle name="Финансовый 2 2 2 2 21 6" xfId="1054"/>
    <cellStyle name="Финансовый 2 2 2 2 21 6 2" xfId="15367"/>
    <cellStyle name="Финансовый 2 2 2 2 21 6 2 2" xfId="37682"/>
    <cellStyle name="Финансовый 2 2 2 2 21 6 3" xfId="9561"/>
    <cellStyle name="Финансовый 2 2 2 2 21 6 4" xfId="31880"/>
    <cellStyle name="Финансовый 2 2 2 2 21 7" xfId="407"/>
    <cellStyle name="Финансовый 2 2 2 2 21 7 2" xfId="14810"/>
    <cellStyle name="Финансовый 2 2 2 2 21 7 2 2" xfId="37125"/>
    <cellStyle name="Финансовый 2 2 2 2 21 7 3" xfId="9004"/>
    <cellStyle name="Финансовый 2 2 2 2 21 7 4" xfId="31337"/>
    <cellStyle name="Финансовый 2 2 2 2 21 8" xfId="1553"/>
    <cellStyle name="Финансовый 2 2 2 2 21 8 2" xfId="15793"/>
    <cellStyle name="Финансовый 2 2 2 2 21 8 2 2" xfId="38108"/>
    <cellStyle name="Финансовый 2 2 2 2 21 8 3" xfId="9987"/>
    <cellStyle name="Финансовый 2 2 2 2 21 8 4" xfId="32302"/>
    <cellStyle name="Финансовый 2 2 2 2 21 9" xfId="1301"/>
    <cellStyle name="Финансовый 2 2 2 2 21 9 2" xfId="15558"/>
    <cellStyle name="Финансовый 2 2 2 2 21 9 2 2" xfId="37873"/>
    <cellStyle name="Финансовый 2 2 2 2 21 9 3" xfId="9752"/>
    <cellStyle name="Финансовый 2 2 2 2 21 9 4" xfId="32067"/>
    <cellStyle name="Финансовый 2 2 2 2 22" xfId="123"/>
    <cellStyle name="Финансовый 2 2 2 2 22 10" xfId="1281"/>
    <cellStyle name="Финансовый 2 2 2 2 22 10 2" xfId="15539"/>
    <cellStyle name="Финансовый 2 2 2 2 22 10 2 2" xfId="37854"/>
    <cellStyle name="Финансовый 2 2 2 2 22 10 3" xfId="9733"/>
    <cellStyle name="Финансовый 2 2 2 2 22 10 4" xfId="32048"/>
    <cellStyle name="Финансовый 2 2 2 2 22 11" xfId="1548"/>
    <cellStyle name="Финансовый 2 2 2 2 22 11 2" xfId="15788"/>
    <cellStyle name="Финансовый 2 2 2 2 22 11 2 2" xfId="38103"/>
    <cellStyle name="Финансовый 2 2 2 2 22 11 3" xfId="9982"/>
    <cellStyle name="Финансовый 2 2 2 2 22 11 4" xfId="32297"/>
    <cellStyle name="Финансовый 2 2 2 2 22 12" xfId="1629"/>
    <cellStyle name="Финансовый 2 2 2 2 22 12 2" xfId="15863"/>
    <cellStyle name="Финансовый 2 2 2 2 22 12 2 2" xfId="38178"/>
    <cellStyle name="Финансовый 2 2 2 2 22 12 3" xfId="10057"/>
    <cellStyle name="Финансовый 2 2 2 2 22 12 4" xfId="32372"/>
    <cellStyle name="Финансовый 2 2 2 2 22 13" xfId="1612"/>
    <cellStyle name="Финансовый 2 2 2 2 22 13 2" xfId="15846"/>
    <cellStyle name="Финансовый 2 2 2 2 22 13 2 2" xfId="38161"/>
    <cellStyle name="Финансовый 2 2 2 2 22 13 3" xfId="10040"/>
    <cellStyle name="Финансовый 2 2 2 2 22 13 4" xfId="32355"/>
    <cellStyle name="Финансовый 2 2 2 2 22 14" xfId="1846"/>
    <cellStyle name="Финансовый 2 2 2 2 22 14 2" xfId="16062"/>
    <cellStyle name="Финансовый 2 2 2 2 22 14 2 2" xfId="38377"/>
    <cellStyle name="Финансовый 2 2 2 2 22 14 3" xfId="10256"/>
    <cellStyle name="Финансовый 2 2 2 2 22 14 4" xfId="32571"/>
    <cellStyle name="Финансовый 2 2 2 2 22 15" xfId="2084"/>
    <cellStyle name="Финансовый 2 2 2 2 22 15 2" xfId="16258"/>
    <cellStyle name="Финансовый 2 2 2 2 22 15 2 2" xfId="38573"/>
    <cellStyle name="Финансовый 2 2 2 2 22 15 3" xfId="10452"/>
    <cellStyle name="Финансовый 2 2 2 2 22 15 4" xfId="32767"/>
    <cellStyle name="Финансовый 2 2 2 2 22 16" xfId="2319"/>
    <cellStyle name="Финансовый 2 2 2 2 22 16 2" xfId="16451"/>
    <cellStyle name="Финансовый 2 2 2 2 22 16 2 2" xfId="38766"/>
    <cellStyle name="Финансовый 2 2 2 2 22 16 3" xfId="10645"/>
    <cellStyle name="Финансовый 2 2 2 2 22 16 4" xfId="32960"/>
    <cellStyle name="Финансовый 2 2 2 2 22 17" xfId="2551"/>
    <cellStyle name="Финансовый 2 2 2 2 22 17 2" xfId="16641"/>
    <cellStyle name="Финансовый 2 2 2 2 22 17 2 2" xfId="38956"/>
    <cellStyle name="Финансовый 2 2 2 2 22 17 3" xfId="10835"/>
    <cellStyle name="Финансовый 2 2 2 2 22 17 4" xfId="33150"/>
    <cellStyle name="Финансовый 2 2 2 2 22 18" xfId="2776"/>
    <cellStyle name="Финансовый 2 2 2 2 22 18 2" xfId="16825"/>
    <cellStyle name="Финансовый 2 2 2 2 22 18 2 2" xfId="39140"/>
    <cellStyle name="Финансовый 2 2 2 2 22 18 3" xfId="11019"/>
    <cellStyle name="Финансовый 2 2 2 2 22 18 4" xfId="33334"/>
    <cellStyle name="Финансовый 2 2 2 2 22 19" xfId="7800"/>
    <cellStyle name="Финансовый 2 2 2 2 22 19 2" xfId="19827"/>
    <cellStyle name="Финансовый 2 2 2 2 22 19 2 2" xfId="42142"/>
    <cellStyle name="Финансовый 2 2 2 2 22 19 3" xfId="14021"/>
    <cellStyle name="Финансовый 2 2 2 2 22 19 4" xfId="36336"/>
    <cellStyle name="Финансовый 2 2 2 2 22 2" xfId="465"/>
    <cellStyle name="Финансовый 2 2 2 2 22 2 10" xfId="3176"/>
    <cellStyle name="Финансовый 2 2 2 2 22 2 10 2" xfId="17148"/>
    <cellStyle name="Финансовый 2 2 2 2 22 2 10 2 2" xfId="39463"/>
    <cellStyle name="Финансовый 2 2 2 2 22 2 10 3" xfId="11342"/>
    <cellStyle name="Финансовый 2 2 2 2 22 2 10 4" xfId="33657"/>
    <cellStyle name="Финансовый 2 2 2 2 22 2 11" xfId="3365"/>
    <cellStyle name="Финансовый 2 2 2 2 22 2 11 2" xfId="17298"/>
    <cellStyle name="Финансовый 2 2 2 2 22 2 11 2 2" xfId="39613"/>
    <cellStyle name="Финансовый 2 2 2 2 22 2 11 3" xfId="11492"/>
    <cellStyle name="Финансовый 2 2 2 2 22 2 11 4" xfId="33807"/>
    <cellStyle name="Финансовый 2 2 2 2 22 2 12" xfId="3547"/>
    <cellStyle name="Финансовый 2 2 2 2 22 2 12 2" xfId="17441"/>
    <cellStyle name="Финансовый 2 2 2 2 22 2 12 2 2" xfId="39756"/>
    <cellStyle name="Финансовый 2 2 2 2 22 2 12 3" xfId="11635"/>
    <cellStyle name="Финансовый 2 2 2 2 22 2 12 4" xfId="33950"/>
    <cellStyle name="Финансовый 2 2 2 2 22 2 13" xfId="3708"/>
    <cellStyle name="Финансовый 2 2 2 2 22 2 13 2" xfId="17564"/>
    <cellStyle name="Финансовый 2 2 2 2 22 2 13 2 2" xfId="39879"/>
    <cellStyle name="Финансовый 2 2 2 2 22 2 13 3" xfId="11758"/>
    <cellStyle name="Финансовый 2 2 2 2 22 2 13 4" xfId="34073"/>
    <cellStyle name="Финансовый 2 2 2 2 22 2 14" xfId="3846"/>
    <cellStyle name="Финансовый 2 2 2 2 22 2 14 2" xfId="17668"/>
    <cellStyle name="Финансовый 2 2 2 2 22 2 14 2 2" xfId="39983"/>
    <cellStyle name="Финансовый 2 2 2 2 22 2 14 3" xfId="11862"/>
    <cellStyle name="Финансовый 2 2 2 2 22 2 14 4" xfId="34177"/>
    <cellStyle name="Финансовый 2 2 2 2 22 2 15" xfId="318"/>
    <cellStyle name="Финансовый 2 2 2 2 22 2 15 2" xfId="14736"/>
    <cellStyle name="Финансовый 2 2 2 2 22 2 15 2 2" xfId="37051"/>
    <cellStyle name="Финансовый 2 2 2 2 22 2 15 3" xfId="8930"/>
    <cellStyle name="Финансовый 2 2 2 2 22 2 15 4" xfId="31265"/>
    <cellStyle name="Финансовый 2 2 2 2 22 2 16" xfId="248"/>
    <cellStyle name="Финансовый 2 2 2 2 22 2 16 2" xfId="14695"/>
    <cellStyle name="Финансовый 2 2 2 2 22 2 16 2 2" xfId="37010"/>
    <cellStyle name="Финансовый 2 2 2 2 22 2 16 3" xfId="8889"/>
    <cellStyle name="Финансовый 2 2 2 2 22 2 16 4" xfId="31224"/>
    <cellStyle name="Финансовый 2 2 2 2 22 2 17" xfId="8534"/>
    <cellStyle name="Финансовый 2 2 2 2 22 2 17 2" xfId="20247"/>
    <cellStyle name="Финансовый 2 2 2 2 22 2 17 2 2" xfId="42562"/>
    <cellStyle name="Финансовый 2 2 2 2 22 2 17 3" xfId="14441"/>
    <cellStyle name="Финансовый 2 2 2 2 22 2 17 4" xfId="36756"/>
    <cellStyle name="Финансовый 2 2 2 2 22 2 18" xfId="14868"/>
    <cellStyle name="Финансовый 2 2 2 2 22 2 18 2" xfId="37183"/>
    <cellStyle name="Финансовый 2 2 2 2 22 2 19" xfId="9062"/>
    <cellStyle name="Финансовый 2 2 2 2 22 2 2" xfId="698"/>
    <cellStyle name="Финансовый 2 2 2 2 22 2 2 2" xfId="15077"/>
    <cellStyle name="Финансовый 2 2 2 2 22 2 2 2 2" xfId="37392"/>
    <cellStyle name="Финансовый 2 2 2 2 22 2 2 3" xfId="9271"/>
    <cellStyle name="Финансовый 2 2 2 2 22 2 2 4" xfId="31594"/>
    <cellStyle name="Финансовый 2 2 2 2 22 2 20" xfId="31395"/>
    <cellStyle name="Финансовый 2 2 2 2 22 2 3" xfId="1452"/>
    <cellStyle name="Финансовый 2 2 2 2 22 2 3 2" xfId="15694"/>
    <cellStyle name="Финансовый 2 2 2 2 22 2 3 2 2" xfId="38009"/>
    <cellStyle name="Финансовый 2 2 2 2 22 2 3 3" xfId="9888"/>
    <cellStyle name="Финансовый 2 2 2 2 22 2 3 4" xfId="32203"/>
    <cellStyle name="Финансовый 2 2 2 2 22 2 4" xfId="1817"/>
    <cellStyle name="Финансовый 2 2 2 2 22 2 4 2" xfId="16035"/>
    <cellStyle name="Финансовый 2 2 2 2 22 2 4 2 2" xfId="38350"/>
    <cellStyle name="Финансовый 2 2 2 2 22 2 4 3" xfId="10229"/>
    <cellStyle name="Финансовый 2 2 2 2 22 2 4 4" xfId="32544"/>
    <cellStyle name="Финансовый 2 2 2 2 22 2 5" xfId="2055"/>
    <cellStyle name="Финансовый 2 2 2 2 22 2 5 2" xfId="16231"/>
    <cellStyle name="Финансовый 2 2 2 2 22 2 5 2 2" xfId="38546"/>
    <cellStyle name="Финансовый 2 2 2 2 22 2 5 3" xfId="10425"/>
    <cellStyle name="Финансовый 2 2 2 2 22 2 5 4" xfId="32740"/>
    <cellStyle name="Финансовый 2 2 2 2 22 2 6" xfId="2290"/>
    <cellStyle name="Финансовый 2 2 2 2 22 2 6 2" xfId="16424"/>
    <cellStyle name="Финансовый 2 2 2 2 22 2 6 2 2" xfId="38739"/>
    <cellStyle name="Финансовый 2 2 2 2 22 2 6 3" xfId="10618"/>
    <cellStyle name="Финансовый 2 2 2 2 22 2 6 4" xfId="32933"/>
    <cellStyle name="Финансовый 2 2 2 2 22 2 7" xfId="2523"/>
    <cellStyle name="Финансовый 2 2 2 2 22 2 7 2" xfId="16615"/>
    <cellStyle name="Финансовый 2 2 2 2 22 2 7 2 2" xfId="38930"/>
    <cellStyle name="Финансовый 2 2 2 2 22 2 7 3" xfId="10809"/>
    <cellStyle name="Финансовый 2 2 2 2 22 2 7 4" xfId="33124"/>
    <cellStyle name="Финансовый 2 2 2 2 22 2 8" xfId="2750"/>
    <cellStyle name="Финансовый 2 2 2 2 22 2 8 2" xfId="16801"/>
    <cellStyle name="Финансовый 2 2 2 2 22 2 8 2 2" xfId="39116"/>
    <cellStyle name="Финансовый 2 2 2 2 22 2 8 3" xfId="10995"/>
    <cellStyle name="Финансовый 2 2 2 2 22 2 8 4" xfId="33310"/>
    <cellStyle name="Финансовый 2 2 2 2 22 2 9" xfId="2968"/>
    <cellStyle name="Финансовый 2 2 2 2 22 2 9 2" xfId="16979"/>
    <cellStyle name="Финансовый 2 2 2 2 22 2 9 2 2" xfId="39294"/>
    <cellStyle name="Финансовый 2 2 2 2 22 2 9 3" xfId="11173"/>
    <cellStyle name="Финансовый 2 2 2 2 22 2 9 4" xfId="33488"/>
    <cellStyle name="Финансовый 2 2 2 2 22 20" xfId="4701"/>
    <cellStyle name="Финансовый 2 2 2 2 22 20 2" xfId="18147"/>
    <cellStyle name="Финансовый 2 2 2 2 22 20 2 2" xfId="40462"/>
    <cellStyle name="Финансовый 2 2 2 2 22 20 3" xfId="12341"/>
    <cellStyle name="Финансовый 2 2 2 2 22 20 4" xfId="34656"/>
    <cellStyle name="Финансовый 2 2 2 2 22 21" xfId="4197"/>
    <cellStyle name="Финансовый 2 2 2 2 22 21 2" xfId="17866"/>
    <cellStyle name="Финансовый 2 2 2 2 22 21 2 2" xfId="40181"/>
    <cellStyle name="Финансовый 2 2 2 2 22 21 3" xfId="12060"/>
    <cellStyle name="Финансовый 2 2 2 2 22 21 4" xfId="34375"/>
    <cellStyle name="Финансовый 2 2 2 2 22 22" xfId="14635"/>
    <cellStyle name="Финансовый 2 2 2 2 22 22 2" xfId="36950"/>
    <cellStyle name="Финансовый 2 2 2 2 22 23" xfId="8829"/>
    <cellStyle name="Финансовый 2 2 2 2 22 24" xfId="31172"/>
    <cellStyle name="Финансовый 2 2 2 2 22 3" xfId="628"/>
    <cellStyle name="Финансовый 2 2 2 2 22 3 2" xfId="15007"/>
    <cellStyle name="Финансовый 2 2 2 2 22 3 2 2" xfId="37322"/>
    <cellStyle name="Финансовый 2 2 2 2 22 3 3" xfId="9201"/>
    <cellStyle name="Финансовый 2 2 2 2 22 3 4" xfId="31525"/>
    <cellStyle name="Финансовый 2 2 2 2 22 4" xfId="647"/>
    <cellStyle name="Финансовый 2 2 2 2 22 4 2" xfId="15026"/>
    <cellStyle name="Финансовый 2 2 2 2 22 4 2 2" xfId="37341"/>
    <cellStyle name="Финансовый 2 2 2 2 22 4 3" xfId="9220"/>
    <cellStyle name="Финансовый 2 2 2 2 22 4 4" xfId="31544"/>
    <cellStyle name="Финансовый 2 2 2 2 22 5" xfId="1041"/>
    <cellStyle name="Финансовый 2 2 2 2 22 5 2" xfId="15354"/>
    <cellStyle name="Финансовый 2 2 2 2 22 5 2 2" xfId="37669"/>
    <cellStyle name="Финансовый 2 2 2 2 22 5 3" xfId="9548"/>
    <cellStyle name="Финансовый 2 2 2 2 22 5 4" xfId="31867"/>
    <cellStyle name="Финансовый 2 2 2 2 22 6" xfId="1038"/>
    <cellStyle name="Финансовый 2 2 2 2 22 6 2" xfId="15351"/>
    <cellStyle name="Финансовый 2 2 2 2 22 6 2 2" xfId="37666"/>
    <cellStyle name="Финансовый 2 2 2 2 22 6 3" xfId="9545"/>
    <cellStyle name="Финансовый 2 2 2 2 22 6 4" xfId="31864"/>
    <cellStyle name="Финансовый 2 2 2 2 22 7" xfId="416"/>
    <cellStyle name="Финансовый 2 2 2 2 22 7 2" xfId="14819"/>
    <cellStyle name="Финансовый 2 2 2 2 22 7 2 2" xfId="37134"/>
    <cellStyle name="Финансовый 2 2 2 2 22 7 3" xfId="9013"/>
    <cellStyle name="Финансовый 2 2 2 2 22 7 4" xfId="31346"/>
    <cellStyle name="Финансовый 2 2 2 2 22 8" xfId="1714"/>
    <cellStyle name="Финансовый 2 2 2 2 22 8 2" xfId="15940"/>
    <cellStyle name="Финансовый 2 2 2 2 22 8 2 2" xfId="38255"/>
    <cellStyle name="Финансовый 2 2 2 2 22 8 3" xfId="10134"/>
    <cellStyle name="Финансовый 2 2 2 2 22 8 4" xfId="32449"/>
    <cellStyle name="Финансовый 2 2 2 2 22 9" xfId="545"/>
    <cellStyle name="Финансовый 2 2 2 2 22 9 2" xfId="14946"/>
    <cellStyle name="Финансовый 2 2 2 2 22 9 2 2" xfId="37261"/>
    <cellStyle name="Финансовый 2 2 2 2 22 9 3" xfId="9140"/>
    <cellStyle name="Финансовый 2 2 2 2 22 9 4" xfId="31473"/>
    <cellStyle name="Финансовый 2 2 2 2 23" xfId="128"/>
    <cellStyle name="Финансовый 2 2 2 2 23 10" xfId="2138"/>
    <cellStyle name="Финансовый 2 2 2 2 23 10 2" xfId="16309"/>
    <cellStyle name="Финансовый 2 2 2 2 23 10 2 2" xfId="38624"/>
    <cellStyle name="Финансовый 2 2 2 2 23 10 3" xfId="10503"/>
    <cellStyle name="Финансовый 2 2 2 2 23 10 4" xfId="32818"/>
    <cellStyle name="Финансовый 2 2 2 2 23 11" xfId="2373"/>
    <cellStyle name="Финансовый 2 2 2 2 23 11 2" xfId="16502"/>
    <cellStyle name="Финансовый 2 2 2 2 23 11 2 2" xfId="38817"/>
    <cellStyle name="Финансовый 2 2 2 2 23 11 3" xfId="10696"/>
    <cellStyle name="Финансовый 2 2 2 2 23 11 4" xfId="33011"/>
    <cellStyle name="Финансовый 2 2 2 2 23 12" xfId="2605"/>
    <cellStyle name="Финансовый 2 2 2 2 23 12 2" xfId="16692"/>
    <cellStyle name="Финансовый 2 2 2 2 23 12 2 2" xfId="39007"/>
    <cellStyle name="Финансовый 2 2 2 2 23 12 3" xfId="10886"/>
    <cellStyle name="Финансовый 2 2 2 2 23 12 4" xfId="33201"/>
    <cellStyle name="Финансовый 2 2 2 2 23 13" xfId="2827"/>
    <cellStyle name="Финансовый 2 2 2 2 23 13 2" xfId="16874"/>
    <cellStyle name="Финансовый 2 2 2 2 23 13 2 2" xfId="39189"/>
    <cellStyle name="Финансовый 2 2 2 2 23 13 3" xfId="11068"/>
    <cellStyle name="Финансовый 2 2 2 2 23 13 4" xfId="33383"/>
    <cellStyle name="Финансовый 2 2 2 2 23 14" xfId="3040"/>
    <cellStyle name="Финансовый 2 2 2 2 23 14 2" xfId="17047"/>
    <cellStyle name="Финансовый 2 2 2 2 23 14 2 2" xfId="39362"/>
    <cellStyle name="Финансовый 2 2 2 2 23 14 3" xfId="11241"/>
    <cellStyle name="Финансовый 2 2 2 2 23 14 4" xfId="33556"/>
    <cellStyle name="Финансовый 2 2 2 2 23 15" xfId="3240"/>
    <cellStyle name="Финансовый 2 2 2 2 23 15 2" xfId="17208"/>
    <cellStyle name="Финансовый 2 2 2 2 23 15 2 2" xfId="39523"/>
    <cellStyle name="Финансовый 2 2 2 2 23 15 3" xfId="11402"/>
    <cellStyle name="Финансовый 2 2 2 2 23 15 4" xfId="33717"/>
    <cellStyle name="Финансовый 2 2 2 2 23 16" xfId="3427"/>
    <cellStyle name="Финансовый 2 2 2 2 23 16 2" xfId="17356"/>
    <cellStyle name="Финансовый 2 2 2 2 23 16 2 2" xfId="39671"/>
    <cellStyle name="Финансовый 2 2 2 2 23 16 3" xfId="11550"/>
    <cellStyle name="Финансовый 2 2 2 2 23 16 4" xfId="33865"/>
    <cellStyle name="Финансовый 2 2 2 2 23 17" xfId="3599"/>
    <cellStyle name="Финансовый 2 2 2 2 23 17 2" xfId="17490"/>
    <cellStyle name="Финансовый 2 2 2 2 23 17 2 2" xfId="39805"/>
    <cellStyle name="Финансовый 2 2 2 2 23 17 3" xfId="11684"/>
    <cellStyle name="Финансовый 2 2 2 2 23 17 4" xfId="33999"/>
    <cellStyle name="Финансовый 2 2 2 2 23 18" xfId="3755"/>
    <cellStyle name="Финансовый 2 2 2 2 23 18 2" xfId="17608"/>
    <cellStyle name="Финансовый 2 2 2 2 23 18 2 2" xfId="39923"/>
    <cellStyle name="Финансовый 2 2 2 2 23 18 3" xfId="11802"/>
    <cellStyle name="Финансовый 2 2 2 2 23 18 4" xfId="34117"/>
    <cellStyle name="Финансовый 2 2 2 2 23 19" xfId="6489"/>
    <cellStyle name="Финансовый 2 2 2 2 23 19 2" xfId="19114"/>
    <cellStyle name="Финансовый 2 2 2 2 23 19 2 2" xfId="41429"/>
    <cellStyle name="Финансовый 2 2 2 2 23 19 3" xfId="13308"/>
    <cellStyle name="Финансовый 2 2 2 2 23 19 4" xfId="35623"/>
    <cellStyle name="Финансовый 2 2 2 2 23 2" xfId="470"/>
    <cellStyle name="Финансовый 2 2 2 2 23 2 10" xfId="3221"/>
    <cellStyle name="Финансовый 2 2 2 2 23 2 10 2" xfId="17189"/>
    <cellStyle name="Финансовый 2 2 2 2 23 2 10 2 2" xfId="39504"/>
    <cellStyle name="Финансовый 2 2 2 2 23 2 10 3" xfId="11383"/>
    <cellStyle name="Финансовый 2 2 2 2 23 2 10 4" xfId="33698"/>
    <cellStyle name="Финансовый 2 2 2 2 23 2 11" xfId="3409"/>
    <cellStyle name="Финансовый 2 2 2 2 23 2 11 2" xfId="17338"/>
    <cellStyle name="Финансовый 2 2 2 2 23 2 11 2 2" xfId="39653"/>
    <cellStyle name="Финансовый 2 2 2 2 23 2 11 3" xfId="11532"/>
    <cellStyle name="Финансовый 2 2 2 2 23 2 11 4" xfId="33847"/>
    <cellStyle name="Финансовый 2 2 2 2 23 2 12" xfId="3582"/>
    <cellStyle name="Финансовый 2 2 2 2 23 2 12 2" xfId="17473"/>
    <cellStyle name="Финансовый 2 2 2 2 23 2 12 2 2" xfId="39788"/>
    <cellStyle name="Финансовый 2 2 2 2 23 2 12 3" xfId="11667"/>
    <cellStyle name="Финансовый 2 2 2 2 23 2 12 4" xfId="33982"/>
    <cellStyle name="Финансовый 2 2 2 2 23 2 13" xfId="3740"/>
    <cellStyle name="Финансовый 2 2 2 2 23 2 13 2" xfId="17593"/>
    <cellStyle name="Финансовый 2 2 2 2 23 2 13 2 2" xfId="39908"/>
    <cellStyle name="Финансовый 2 2 2 2 23 2 13 3" xfId="11787"/>
    <cellStyle name="Финансовый 2 2 2 2 23 2 13 4" xfId="34102"/>
    <cellStyle name="Финансовый 2 2 2 2 23 2 14" xfId="3865"/>
    <cellStyle name="Финансовый 2 2 2 2 23 2 14 2" xfId="17685"/>
    <cellStyle name="Финансовый 2 2 2 2 23 2 14 2 2" xfId="40000"/>
    <cellStyle name="Финансовый 2 2 2 2 23 2 14 3" xfId="11879"/>
    <cellStyle name="Финансовый 2 2 2 2 23 2 14 4" xfId="34194"/>
    <cellStyle name="Финансовый 2 2 2 2 23 2 15" xfId="8310"/>
    <cellStyle name="Финансовый 2 2 2 2 23 2 15 2" xfId="20117"/>
    <cellStyle name="Финансовый 2 2 2 2 23 2 15 2 2" xfId="42432"/>
    <cellStyle name="Финансовый 2 2 2 2 23 2 15 3" xfId="14311"/>
    <cellStyle name="Финансовый 2 2 2 2 23 2 15 4" xfId="36626"/>
    <cellStyle name="Финансовый 2 2 2 2 23 2 16" xfId="8533"/>
    <cellStyle name="Финансовый 2 2 2 2 23 2 16 2" xfId="20246"/>
    <cellStyle name="Финансовый 2 2 2 2 23 2 16 2 2" xfId="42561"/>
    <cellStyle name="Финансовый 2 2 2 2 23 2 16 3" xfId="14440"/>
    <cellStyle name="Финансовый 2 2 2 2 23 2 16 4" xfId="36755"/>
    <cellStyle name="Финансовый 2 2 2 2 23 2 17" xfId="7544"/>
    <cellStyle name="Финансовый 2 2 2 2 23 2 17 2" xfId="19682"/>
    <cellStyle name="Финансовый 2 2 2 2 23 2 17 2 2" xfId="41997"/>
    <cellStyle name="Финансовый 2 2 2 2 23 2 17 3" xfId="13876"/>
    <cellStyle name="Финансовый 2 2 2 2 23 2 17 4" xfId="36191"/>
    <cellStyle name="Финансовый 2 2 2 2 23 2 18" xfId="14873"/>
    <cellStyle name="Финансовый 2 2 2 2 23 2 18 2" xfId="37188"/>
    <cellStyle name="Финансовый 2 2 2 2 23 2 19" xfId="9067"/>
    <cellStyle name="Финансовый 2 2 2 2 23 2 2" xfId="701"/>
    <cellStyle name="Финансовый 2 2 2 2 23 2 2 2" xfId="15080"/>
    <cellStyle name="Финансовый 2 2 2 2 23 2 2 2 2" xfId="37395"/>
    <cellStyle name="Финансовый 2 2 2 2 23 2 2 3" xfId="9274"/>
    <cellStyle name="Финансовый 2 2 2 2 23 2 2 4" xfId="31597"/>
    <cellStyle name="Финансовый 2 2 2 2 23 2 20" xfId="31400"/>
    <cellStyle name="Финансовый 2 2 2 2 23 2 3" xfId="1455"/>
    <cellStyle name="Финансовый 2 2 2 2 23 2 3 2" xfId="15697"/>
    <cellStyle name="Финансовый 2 2 2 2 23 2 3 2 2" xfId="38012"/>
    <cellStyle name="Финансовый 2 2 2 2 23 2 3 3" xfId="9891"/>
    <cellStyle name="Финансовый 2 2 2 2 23 2 3 4" xfId="32206"/>
    <cellStyle name="Финансовый 2 2 2 2 23 2 4" xfId="1874"/>
    <cellStyle name="Финансовый 2 2 2 2 23 2 4 2" xfId="16087"/>
    <cellStyle name="Финансовый 2 2 2 2 23 2 4 2 2" xfId="38402"/>
    <cellStyle name="Финансовый 2 2 2 2 23 2 4 3" xfId="10281"/>
    <cellStyle name="Финансовый 2 2 2 2 23 2 4 4" xfId="32596"/>
    <cellStyle name="Финансовый 2 2 2 2 23 2 5" xfId="2112"/>
    <cellStyle name="Финансовый 2 2 2 2 23 2 5 2" xfId="16283"/>
    <cellStyle name="Финансовый 2 2 2 2 23 2 5 2 2" xfId="38598"/>
    <cellStyle name="Финансовый 2 2 2 2 23 2 5 3" xfId="10477"/>
    <cellStyle name="Финансовый 2 2 2 2 23 2 5 4" xfId="32792"/>
    <cellStyle name="Финансовый 2 2 2 2 23 2 6" xfId="2347"/>
    <cellStyle name="Финансовый 2 2 2 2 23 2 6 2" xfId="16476"/>
    <cellStyle name="Финансовый 2 2 2 2 23 2 6 2 2" xfId="38791"/>
    <cellStyle name="Финансовый 2 2 2 2 23 2 6 3" xfId="10670"/>
    <cellStyle name="Финансовый 2 2 2 2 23 2 6 4" xfId="32985"/>
    <cellStyle name="Финансовый 2 2 2 2 23 2 7" xfId="2579"/>
    <cellStyle name="Финансовый 2 2 2 2 23 2 7 2" xfId="16666"/>
    <cellStyle name="Финансовый 2 2 2 2 23 2 7 2 2" xfId="38981"/>
    <cellStyle name="Финансовый 2 2 2 2 23 2 7 3" xfId="10860"/>
    <cellStyle name="Финансовый 2 2 2 2 23 2 7 4" xfId="33175"/>
    <cellStyle name="Финансовый 2 2 2 2 23 2 8" xfId="2802"/>
    <cellStyle name="Финансовый 2 2 2 2 23 2 8 2" xfId="16849"/>
    <cellStyle name="Финансовый 2 2 2 2 23 2 8 2 2" xfId="39164"/>
    <cellStyle name="Финансовый 2 2 2 2 23 2 8 3" xfId="11043"/>
    <cellStyle name="Финансовый 2 2 2 2 23 2 8 4" xfId="33358"/>
    <cellStyle name="Финансовый 2 2 2 2 23 2 9" xfId="3017"/>
    <cellStyle name="Финансовый 2 2 2 2 23 2 9 2" xfId="17024"/>
    <cellStyle name="Финансовый 2 2 2 2 23 2 9 2 2" xfId="39339"/>
    <cellStyle name="Финансовый 2 2 2 2 23 2 9 3" xfId="11218"/>
    <cellStyle name="Финансовый 2 2 2 2 23 2 9 4" xfId="33533"/>
    <cellStyle name="Финансовый 2 2 2 2 23 20" xfId="7641"/>
    <cellStyle name="Финансовый 2 2 2 2 23 20 2" xfId="19734"/>
    <cellStyle name="Финансовый 2 2 2 2 23 20 2 2" xfId="42049"/>
    <cellStyle name="Финансовый 2 2 2 2 23 20 3" xfId="13928"/>
    <cellStyle name="Финансовый 2 2 2 2 23 20 4" xfId="36243"/>
    <cellStyle name="Финансовый 2 2 2 2 23 21" xfId="8240"/>
    <cellStyle name="Финансовый 2 2 2 2 23 21 2" xfId="20079"/>
    <cellStyle name="Финансовый 2 2 2 2 23 21 2 2" xfId="42394"/>
    <cellStyle name="Финансовый 2 2 2 2 23 21 3" xfId="14273"/>
    <cellStyle name="Финансовый 2 2 2 2 23 21 4" xfId="36588"/>
    <cellStyle name="Финансовый 2 2 2 2 23 22" xfId="14638"/>
    <cellStyle name="Финансовый 2 2 2 2 23 22 2" xfId="36953"/>
    <cellStyle name="Финансовый 2 2 2 2 23 23" xfId="8832"/>
    <cellStyle name="Финансовый 2 2 2 2 23 24" xfId="31174"/>
    <cellStyle name="Финансовый 2 2 2 2 23 3" xfId="605"/>
    <cellStyle name="Финансовый 2 2 2 2 23 3 2" xfId="14988"/>
    <cellStyle name="Финансовый 2 2 2 2 23 3 2 2" xfId="37303"/>
    <cellStyle name="Финансовый 2 2 2 2 23 3 3" xfId="9182"/>
    <cellStyle name="Финансовый 2 2 2 2 23 3 4" xfId="31507"/>
    <cellStyle name="Финансовый 2 2 2 2 23 4" xfId="918"/>
    <cellStyle name="Финансовый 2 2 2 2 23 4 2" xfId="15247"/>
    <cellStyle name="Финансовый 2 2 2 2 23 4 2 2" xfId="37562"/>
    <cellStyle name="Финансовый 2 2 2 2 23 4 3" xfId="9441"/>
    <cellStyle name="Финансовый 2 2 2 2 23 4 4" xfId="31761"/>
    <cellStyle name="Финансовый 2 2 2 2 23 5" xfId="1043"/>
    <cellStyle name="Финансовый 2 2 2 2 23 5 2" xfId="15356"/>
    <cellStyle name="Финансовый 2 2 2 2 23 5 2 2" xfId="37671"/>
    <cellStyle name="Финансовый 2 2 2 2 23 5 3" xfId="9550"/>
    <cellStyle name="Финансовый 2 2 2 2 23 5 4" xfId="31869"/>
    <cellStyle name="Финансовый 2 2 2 2 23 6" xfId="1134"/>
    <cellStyle name="Финансовый 2 2 2 2 23 6 2" xfId="15436"/>
    <cellStyle name="Финансовый 2 2 2 2 23 6 2 2" xfId="37751"/>
    <cellStyle name="Финансовый 2 2 2 2 23 6 3" xfId="9630"/>
    <cellStyle name="Финансовый 2 2 2 2 23 6 4" xfId="31947"/>
    <cellStyle name="Финансовый 2 2 2 2 23 7" xfId="406"/>
    <cellStyle name="Финансовый 2 2 2 2 23 7 2" xfId="14809"/>
    <cellStyle name="Финансовый 2 2 2 2 23 7 2 2" xfId="37124"/>
    <cellStyle name="Финансовый 2 2 2 2 23 7 3" xfId="9003"/>
    <cellStyle name="Финансовый 2 2 2 2 23 7 4" xfId="31336"/>
    <cellStyle name="Финансовый 2 2 2 2 23 8" xfId="1354"/>
    <cellStyle name="Финансовый 2 2 2 2 23 8 2" xfId="15606"/>
    <cellStyle name="Финансовый 2 2 2 2 23 8 2 2" xfId="37921"/>
    <cellStyle name="Финансовый 2 2 2 2 23 8 3" xfId="9800"/>
    <cellStyle name="Финансовый 2 2 2 2 23 8 4" xfId="32115"/>
    <cellStyle name="Финансовый 2 2 2 2 23 9" xfId="1900"/>
    <cellStyle name="Финансовый 2 2 2 2 23 9 2" xfId="16113"/>
    <cellStyle name="Финансовый 2 2 2 2 23 9 2 2" xfId="38428"/>
    <cellStyle name="Финансовый 2 2 2 2 23 9 3" xfId="10307"/>
    <cellStyle name="Финансовый 2 2 2 2 23 9 4" xfId="32622"/>
    <cellStyle name="Финансовый 2 2 2 2 24" xfId="133"/>
    <cellStyle name="Финансовый 2 2 2 2 24 10" xfId="2358"/>
    <cellStyle name="Финансовый 2 2 2 2 24 10 2" xfId="16487"/>
    <cellStyle name="Финансовый 2 2 2 2 24 10 2 2" xfId="38802"/>
    <cellStyle name="Финансовый 2 2 2 2 24 10 3" xfId="10681"/>
    <cellStyle name="Финансовый 2 2 2 2 24 10 4" xfId="32996"/>
    <cellStyle name="Финансовый 2 2 2 2 24 11" xfId="2590"/>
    <cellStyle name="Финансовый 2 2 2 2 24 11 2" xfId="16677"/>
    <cellStyle name="Финансовый 2 2 2 2 24 11 2 2" xfId="38992"/>
    <cellStyle name="Финансовый 2 2 2 2 24 11 3" xfId="10871"/>
    <cellStyle name="Финансовый 2 2 2 2 24 11 4" xfId="33186"/>
    <cellStyle name="Финансовый 2 2 2 2 24 12" xfId="2812"/>
    <cellStyle name="Финансовый 2 2 2 2 24 12 2" xfId="16859"/>
    <cellStyle name="Финансовый 2 2 2 2 24 12 2 2" xfId="39174"/>
    <cellStyle name="Финансовый 2 2 2 2 24 12 3" xfId="11053"/>
    <cellStyle name="Финансовый 2 2 2 2 24 12 4" xfId="33368"/>
    <cellStyle name="Финансовый 2 2 2 2 24 13" xfId="3026"/>
    <cellStyle name="Финансовый 2 2 2 2 24 13 2" xfId="17033"/>
    <cellStyle name="Финансовый 2 2 2 2 24 13 2 2" xfId="39348"/>
    <cellStyle name="Финансовый 2 2 2 2 24 13 3" xfId="11227"/>
    <cellStyle name="Финансовый 2 2 2 2 24 13 4" xfId="33542"/>
    <cellStyle name="Финансовый 2 2 2 2 24 14" xfId="3230"/>
    <cellStyle name="Финансовый 2 2 2 2 24 14 2" xfId="17198"/>
    <cellStyle name="Финансовый 2 2 2 2 24 14 2 2" xfId="39513"/>
    <cellStyle name="Финансовый 2 2 2 2 24 14 3" xfId="11392"/>
    <cellStyle name="Финансовый 2 2 2 2 24 14 4" xfId="33707"/>
    <cellStyle name="Финансовый 2 2 2 2 24 15" xfId="3417"/>
    <cellStyle name="Финансовый 2 2 2 2 24 15 2" xfId="17346"/>
    <cellStyle name="Финансовый 2 2 2 2 24 15 2 2" xfId="39661"/>
    <cellStyle name="Финансовый 2 2 2 2 24 15 3" xfId="11540"/>
    <cellStyle name="Финансовый 2 2 2 2 24 15 4" xfId="33855"/>
    <cellStyle name="Финансовый 2 2 2 2 24 16" xfId="3590"/>
    <cellStyle name="Финансовый 2 2 2 2 24 16 2" xfId="17481"/>
    <cellStyle name="Финансовый 2 2 2 2 24 16 2 2" xfId="39796"/>
    <cellStyle name="Финансовый 2 2 2 2 24 16 3" xfId="11675"/>
    <cellStyle name="Финансовый 2 2 2 2 24 16 4" xfId="33990"/>
    <cellStyle name="Финансовый 2 2 2 2 24 17" xfId="3747"/>
    <cellStyle name="Финансовый 2 2 2 2 24 17 2" xfId="17600"/>
    <cellStyle name="Финансовый 2 2 2 2 24 17 2 2" xfId="39915"/>
    <cellStyle name="Финансовый 2 2 2 2 24 17 3" xfId="11794"/>
    <cellStyle name="Финансовый 2 2 2 2 24 17 4" xfId="34109"/>
    <cellStyle name="Финансовый 2 2 2 2 24 18" xfId="3871"/>
    <cellStyle name="Финансовый 2 2 2 2 24 18 2" xfId="17691"/>
    <cellStyle name="Финансовый 2 2 2 2 24 18 2 2" xfId="40006"/>
    <cellStyle name="Финансовый 2 2 2 2 24 18 3" xfId="11885"/>
    <cellStyle name="Финансовый 2 2 2 2 24 18 4" xfId="34200"/>
    <cellStyle name="Финансовый 2 2 2 2 24 19" xfId="4063"/>
    <cellStyle name="Финансовый 2 2 2 2 24 19 2" xfId="17791"/>
    <cellStyle name="Финансовый 2 2 2 2 24 19 2 2" xfId="40106"/>
    <cellStyle name="Финансовый 2 2 2 2 24 19 3" xfId="11985"/>
    <cellStyle name="Финансовый 2 2 2 2 24 19 4" xfId="34300"/>
    <cellStyle name="Финансовый 2 2 2 2 24 2" xfId="475"/>
    <cellStyle name="Финансовый 2 2 2 2 24 2 10" xfId="2221"/>
    <cellStyle name="Финансовый 2 2 2 2 24 2 10 2" xfId="16360"/>
    <cellStyle name="Финансовый 2 2 2 2 24 2 10 2 2" xfId="38675"/>
    <cellStyle name="Финансовый 2 2 2 2 24 2 10 3" xfId="10554"/>
    <cellStyle name="Финансовый 2 2 2 2 24 2 10 4" xfId="32869"/>
    <cellStyle name="Финансовый 2 2 2 2 24 2 11" xfId="2456"/>
    <cellStyle name="Финансовый 2 2 2 2 24 2 11 2" xfId="16553"/>
    <cellStyle name="Финансовый 2 2 2 2 24 2 11 2 2" xfId="38868"/>
    <cellStyle name="Финансовый 2 2 2 2 24 2 11 3" xfId="10747"/>
    <cellStyle name="Финансовый 2 2 2 2 24 2 11 4" xfId="33062"/>
    <cellStyle name="Финансовый 2 2 2 2 24 2 12" xfId="2688"/>
    <cellStyle name="Финансовый 2 2 2 2 24 2 12 2" xfId="16743"/>
    <cellStyle name="Финансовый 2 2 2 2 24 2 12 2 2" xfId="39058"/>
    <cellStyle name="Финансовый 2 2 2 2 24 2 12 3" xfId="10937"/>
    <cellStyle name="Финансовый 2 2 2 2 24 2 12 4" xfId="33252"/>
    <cellStyle name="Финансовый 2 2 2 2 24 2 13" xfId="2909"/>
    <cellStyle name="Финансовый 2 2 2 2 24 2 13 2" xfId="16924"/>
    <cellStyle name="Финансовый 2 2 2 2 24 2 13 2 2" xfId="39239"/>
    <cellStyle name="Финансовый 2 2 2 2 24 2 13 3" xfId="11118"/>
    <cellStyle name="Финансовый 2 2 2 2 24 2 13 4" xfId="33433"/>
    <cellStyle name="Финансовый 2 2 2 2 24 2 14" xfId="3120"/>
    <cellStyle name="Финансовый 2 2 2 2 24 2 14 2" xfId="17096"/>
    <cellStyle name="Финансовый 2 2 2 2 24 2 14 2 2" xfId="39411"/>
    <cellStyle name="Финансовый 2 2 2 2 24 2 14 3" xfId="11290"/>
    <cellStyle name="Финансовый 2 2 2 2 24 2 14 4" xfId="33605"/>
    <cellStyle name="Финансовый 2 2 2 2 24 2 15" xfId="5926"/>
    <cellStyle name="Финансовый 2 2 2 2 24 2 15 2" xfId="18809"/>
    <cellStyle name="Финансовый 2 2 2 2 24 2 15 2 2" xfId="41124"/>
    <cellStyle name="Финансовый 2 2 2 2 24 2 15 3" xfId="13003"/>
    <cellStyle name="Финансовый 2 2 2 2 24 2 15 4" xfId="35318"/>
    <cellStyle name="Финансовый 2 2 2 2 24 2 16" xfId="8350"/>
    <cellStyle name="Финансовый 2 2 2 2 24 2 16 2" xfId="20143"/>
    <cellStyle name="Финансовый 2 2 2 2 24 2 16 2 2" xfId="42458"/>
    <cellStyle name="Финансовый 2 2 2 2 24 2 16 3" xfId="14337"/>
    <cellStyle name="Финансовый 2 2 2 2 24 2 16 4" xfId="36652"/>
    <cellStyle name="Финансовый 2 2 2 2 24 2 17" xfId="4149"/>
    <cellStyle name="Финансовый 2 2 2 2 24 2 17 2" xfId="17833"/>
    <cellStyle name="Финансовый 2 2 2 2 24 2 17 2 2" xfId="40148"/>
    <cellStyle name="Финансовый 2 2 2 2 24 2 17 3" xfId="12027"/>
    <cellStyle name="Финансовый 2 2 2 2 24 2 17 4" xfId="34342"/>
    <cellStyle name="Финансовый 2 2 2 2 24 2 18" xfId="14877"/>
    <cellStyle name="Финансовый 2 2 2 2 24 2 18 2" xfId="37192"/>
    <cellStyle name="Финансовый 2 2 2 2 24 2 19" xfId="9071"/>
    <cellStyle name="Финансовый 2 2 2 2 24 2 2" xfId="703"/>
    <cellStyle name="Финансовый 2 2 2 2 24 2 2 2" xfId="15082"/>
    <cellStyle name="Финансовый 2 2 2 2 24 2 2 2 2" xfId="37397"/>
    <cellStyle name="Финансовый 2 2 2 2 24 2 2 3" xfId="9276"/>
    <cellStyle name="Финансовый 2 2 2 2 24 2 2 4" xfId="31599"/>
    <cellStyle name="Финансовый 2 2 2 2 24 2 20" xfId="31404"/>
    <cellStyle name="Финансовый 2 2 2 2 24 2 3" xfId="1457"/>
    <cellStyle name="Финансовый 2 2 2 2 24 2 3 2" xfId="15699"/>
    <cellStyle name="Финансовый 2 2 2 2 24 2 3 2 2" xfId="38014"/>
    <cellStyle name="Финансовый 2 2 2 2 24 2 3 3" xfId="9893"/>
    <cellStyle name="Финансовый 2 2 2 2 24 2 3 4" xfId="32208"/>
    <cellStyle name="Финансовый 2 2 2 2 24 2 4" xfId="1666"/>
    <cellStyle name="Финансовый 2 2 2 2 24 2 4 2" xfId="15895"/>
    <cellStyle name="Финансовый 2 2 2 2 24 2 4 2 2" xfId="38210"/>
    <cellStyle name="Финансовый 2 2 2 2 24 2 4 3" xfId="10089"/>
    <cellStyle name="Финансовый 2 2 2 2 24 2 4 4" xfId="32404"/>
    <cellStyle name="Финансовый 2 2 2 2 24 2 5" xfId="356"/>
    <cellStyle name="Финансовый 2 2 2 2 24 2 5 2" xfId="14759"/>
    <cellStyle name="Финансовый 2 2 2 2 24 2 5 2 2" xfId="37074"/>
    <cellStyle name="Финансовый 2 2 2 2 24 2 5 3" xfId="8953"/>
    <cellStyle name="Финансовый 2 2 2 2 24 2 5 4" xfId="31286"/>
    <cellStyle name="Финансовый 2 2 2 2 24 2 6" xfId="1313"/>
    <cellStyle name="Финансовый 2 2 2 2 24 2 6 2" xfId="15569"/>
    <cellStyle name="Финансовый 2 2 2 2 24 2 6 2 2" xfId="37884"/>
    <cellStyle name="Финансовый 2 2 2 2 24 2 6 3" xfId="9763"/>
    <cellStyle name="Финансовый 2 2 2 2 24 2 6 4" xfId="32078"/>
    <cellStyle name="Финансовый 2 2 2 2 24 2 7" xfId="1651"/>
    <cellStyle name="Финансовый 2 2 2 2 24 2 7 2" xfId="15882"/>
    <cellStyle name="Финансовый 2 2 2 2 24 2 7 2 2" xfId="38197"/>
    <cellStyle name="Финансовый 2 2 2 2 24 2 7 3" xfId="10076"/>
    <cellStyle name="Финансовый 2 2 2 2 24 2 7 4" xfId="32391"/>
    <cellStyle name="Финансовый 2 2 2 2 24 2 8" xfId="1746"/>
    <cellStyle name="Финансовый 2 2 2 2 24 2 8 2" xfId="15969"/>
    <cellStyle name="Финансовый 2 2 2 2 24 2 8 2 2" xfId="38284"/>
    <cellStyle name="Финансовый 2 2 2 2 24 2 8 3" xfId="10163"/>
    <cellStyle name="Финансовый 2 2 2 2 24 2 8 4" xfId="32478"/>
    <cellStyle name="Финансовый 2 2 2 2 24 2 9" xfId="1984"/>
    <cellStyle name="Финансовый 2 2 2 2 24 2 9 2" xfId="16165"/>
    <cellStyle name="Финансовый 2 2 2 2 24 2 9 2 2" xfId="38480"/>
    <cellStyle name="Финансовый 2 2 2 2 24 2 9 3" xfId="10359"/>
    <cellStyle name="Финансовый 2 2 2 2 24 2 9 4" xfId="32674"/>
    <cellStyle name="Финансовый 2 2 2 2 24 20" xfId="5985"/>
    <cellStyle name="Финансовый 2 2 2 2 24 20 2" xfId="18839"/>
    <cellStyle name="Финансовый 2 2 2 2 24 20 2 2" xfId="41154"/>
    <cellStyle name="Финансовый 2 2 2 2 24 20 3" xfId="13033"/>
    <cellStyle name="Финансовый 2 2 2 2 24 20 4" xfId="35348"/>
    <cellStyle name="Финансовый 2 2 2 2 24 21" xfId="5114"/>
    <cellStyle name="Финансовый 2 2 2 2 24 21 2" xfId="18375"/>
    <cellStyle name="Финансовый 2 2 2 2 24 21 2 2" xfId="40690"/>
    <cellStyle name="Финансовый 2 2 2 2 24 21 3" xfId="12569"/>
    <cellStyle name="Финансовый 2 2 2 2 24 21 4" xfId="34884"/>
    <cellStyle name="Финансовый 2 2 2 2 24 22" xfId="14641"/>
    <cellStyle name="Финансовый 2 2 2 2 24 22 2" xfId="36956"/>
    <cellStyle name="Финансовый 2 2 2 2 24 23" xfId="8835"/>
    <cellStyle name="Финансовый 2 2 2 2 24 24" xfId="31176"/>
    <cellStyle name="Финансовый 2 2 2 2 24 3" xfId="830"/>
    <cellStyle name="Финансовый 2 2 2 2 24 3 2" xfId="15170"/>
    <cellStyle name="Финансовый 2 2 2 2 24 3 2 2" xfId="37485"/>
    <cellStyle name="Финансовый 2 2 2 2 24 3 3" xfId="9364"/>
    <cellStyle name="Финансовый 2 2 2 2 24 3 4" xfId="31686"/>
    <cellStyle name="Финансовый 2 2 2 2 24 4" xfId="815"/>
    <cellStyle name="Финансовый 2 2 2 2 24 4 2" xfId="15160"/>
    <cellStyle name="Финансовый 2 2 2 2 24 4 2 2" xfId="37475"/>
    <cellStyle name="Финансовый 2 2 2 2 24 4 3" xfId="9354"/>
    <cellStyle name="Финансовый 2 2 2 2 24 4 4" xfId="31676"/>
    <cellStyle name="Финансовый 2 2 2 2 24 5" xfId="1046"/>
    <cellStyle name="Финансовый 2 2 2 2 24 5 2" xfId="15359"/>
    <cellStyle name="Финансовый 2 2 2 2 24 5 2 2" xfId="37674"/>
    <cellStyle name="Финансовый 2 2 2 2 24 5 3" xfId="9553"/>
    <cellStyle name="Финансовый 2 2 2 2 24 5 4" xfId="31872"/>
    <cellStyle name="Финансовый 2 2 2 2 24 6" xfId="1020"/>
    <cellStyle name="Финансовый 2 2 2 2 24 6 2" xfId="15333"/>
    <cellStyle name="Финансовый 2 2 2 2 24 6 2 2" xfId="37648"/>
    <cellStyle name="Финансовый 2 2 2 2 24 6 3" xfId="9527"/>
    <cellStyle name="Финансовый 2 2 2 2 24 6 4" xfId="31846"/>
    <cellStyle name="Финансовый 2 2 2 2 24 7" xfId="355"/>
    <cellStyle name="Финансовый 2 2 2 2 24 7 2" xfId="14758"/>
    <cellStyle name="Финансовый 2 2 2 2 24 7 2 2" xfId="37073"/>
    <cellStyle name="Финансовый 2 2 2 2 24 7 3" xfId="8952"/>
    <cellStyle name="Финансовый 2 2 2 2 24 7 4" xfId="31285"/>
    <cellStyle name="Финансовый 2 2 2 2 24 8" xfId="1885"/>
    <cellStyle name="Финансовый 2 2 2 2 24 8 2" xfId="16098"/>
    <cellStyle name="Финансовый 2 2 2 2 24 8 2 2" xfId="38413"/>
    <cellStyle name="Финансовый 2 2 2 2 24 8 3" xfId="10292"/>
    <cellStyle name="Финансовый 2 2 2 2 24 8 4" xfId="32607"/>
    <cellStyle name="Финансовый 2 2 2 2 24 9" xfId="2123"/>
    <cellStyle name="Финансовый 2 2 2 2 24 9 2" xfId="16294"/>
    <cellStyle name="Финансовый 2 2 2 2 24 9 2 2" xfId="38609"/>
    <cellStyle name="Финансовый 2 2 2 2 24 9 3" xfId="10488"/>
    <cellStyle name="Финансовый 2 2 2 2 24 9 4" xfId="32803"/>
    <cellStyle name="Финансовый 2 2 2 2 25" xfId="138"/>
    <cellStyle name="Финансовый 2 2 2 2 25 10" xfId="1698"/>
    <cellStyle name="Финансовый 2 2 2 2 25 10 2" xfId="15927"/>
    <cellStyle name="Финансовый 2 2 2 2 25 10 2 2" xfId="38242"/>
    <cellStyle name="Финансовый 2 2 2 2 25 10 3" xfId="10121"/>
    <cellStyle name="Финансовый 2 2 2 2 25 10 4" xfId="32436"/>
    <cellStyle name="Финансовый 2 2 2 2 25 11" xfId="1508"/>
    <cellStyle name="Финансовый 2 2 2 2 25 11 2" xfId="15750"/>
    <cellStyle name="Финансовый 2 2 2 2 25 11 2 2" xfId="38065"/>
    <cellStyle name="Финансовый 2 2 2 2 25 11 3" xfId="9944"/>
    <cellStyle name="Финансовый 2 2 2 2 25 11 4" xfId="32259"/>
    <cellStyle name="Финансовый 2 2 2 2 25 12" xfId="1772"/>
    <cellStyle name="Финансовый 2 2 2 2 25 12 2" xfId="15993"/>
    <cellStyle name="Финансовый 2 2 2 2 25 12 2 2" xfId="38308"/>
    <cellStyle name="Финансовый 2 2 2 2 25 12 3" xfId="10187"/>
    <cellStyle name="Финансовый 2 2 2 2 25 12 4" xfId="32502"/>
    <cellStyle name="Финансовый 2 2 2 2 25 13" xfId="2010"/>
    <cellStyle name="Финансовый 2 2 2 2 25 13 2" xfId="16189"/>
    <cellStyle name="Финансовый 2 2 2 2 25 13 2 2" xfId="38504"/>
    <cellStyle name="Финансовый 2 2 2 2 25 13 3" xfId="10383"/>
    <cellStyle name="Финансовый 2 2 2 2 25 13 4" xfId="32698"/>
    <cellStyle name="Финансовый 2 2 2 2 25 14" xfId="2246"/>
    <cellStyle name="Финансовый 2 2 2 2 25 14 2" xfId="16383"/>
    <cellStyle name="Финансовый 2 2 2 2 25 14 2 2" xfId="38698"/>
    <cellStyle name="Финансовый 2 2 2 2 25 14 3" xfId="10577"/>
    <cellStyle name="Финансовый 2 2 2 2 25 14 4" xfId="32892"/>
    <cellStyle name="Финансовый 2 2 2 2 25 15" xfId="2480"/>
    <cellStyle name="Финансовый 2 2 2 2 25 15 2" xfId="16575"/>
    <cellStyle name="Финансовый 2 2 2 2 25 15 2 2" xfId="38890"/>
    <cellStyle name="Финансовый 2 2 2 2 25 15 3" xfId="10769"/>
    <cellStyle name="Финансовый 2 2 2 2 25 15 4" xfId="33084"/>
    <cellStyle name="Финансовый 2 2 2 2 25 16" xfId="2709"/>
    <cellStyle name="Финансовый 2 2 2 2 25 16 2" xfId="16763"/>
    <cellStyle name="Финансовый 2 2 2 2 25 16 2 2" xfId="39078"/>
    <cellStyle name="Финансовый 2 2 2 2 25 16 3" xfId="10957"/>
    <cellStyle name="Финансовый 2 2 2 2 25 16 4" xfId="33272"/>
    <cellStyle name="Финансовый 2 2 2 2 25 17" xfId="2929"/>
    <cellStyle name="Финансовый 2 2 2 2 25 17 2" xfId="16943"/>
    <cellStyle name="Финансовый 2 2 2 2 25 17 2 2" xfId="39258"/>
    <cellStyle name="Финансовый 2 2 2 2 25 17 3" xfId="11137"/>
    <cellStyle name="Финансовый 2 2 2 2 25 17 4" xfId="33452"/>
    <cellStyle name="Финансовый 2 2 2 2 25 18" xfId="3140"/>
    <cellStyle name="Финансовый 2 2 2 2 25 18 2" xfId="17115"/>
    <cellStyle name="Финансовый 2 2 2 2 25 18 2 2" xfId="39430"/>
    <cellStyle name="Финансовый 2 2 2 2 25 18 3" xfId="11309"/>
    <cellStyle name="Финансовый 2 2 2 2 25 18 4" xfId="33624"/>
    <cellStyle name="Финансовый 2 2 2 2 25 19" xfId="6083"/>
    <cellStyle name="Финансовый 2 2 2 2 25 19 2" xfId="18892"/>
    <cellStyle name="Финансовый 2 2 2 2 25 19 2 2" xfId="41207"/>
    <cellStyle name="Финансовый 2 2 2 2 25 19 3" xfId="13086"/>
    <cellStyle name="Финансовый 2 2 2 2 25 19 4" xfId="35401"/>
    <cellStyle name="Финансовый 2 2 2 2 25 2" xfId="480"/>
    <cellStyle name="Финансовый 2 2 2 2 25 2 10" xfId="1254"/>
    <cellStyle name="Финансовый 2 2 2 2 25 2 10 2" xfId="15514"/>
    <cellStyle name="Финансовый 2 2 2 2 25 2 10 2 2" xfId="37829"/>
    <cellStyle name="Финансовый 2 2 2 2 25 2 10 3" xfId="9708"/>
    <cellStyle name="Финансовый 2 2 2 2 25 2 10 4" xfId="32023"/>
    <cellStyle name="Финансовый 2 2 2 2 25 2 11" xfId="1459"/>
    <cellStyle name="Финансовый 2 2 2 2 25 2 11 2" xfId="15701"/>
    <cellStyle name="Финансовый 2 2 2 2 25 2 11 2 2" xfId="38016"/>
    <cellStyle name="Финансовый 2 2 2 2 25 2 11 3" xfId="9895"/>
    <cellStyle name="Финансовый 2 2 2 2 25 2 11 4" xfId="32210"/>
    <cellStyle name="Финансовый 2 2 2 2 25 2 12" xfId="1810"/>
    <cellStyle name="Финансовый 2 2 2 2 25 2 12 2" xfId="16028"/>
    <cellStyle name="Финансовый 2 2 2 2 25 2 12 2 2" xfId="38343"/>
    <cellStyle name="Финансовый 2 2 2 2 25 2 12 3" xfId="10222"/>
    <cellStyle name="Финансовый 2 2 2 2 25 2 12 4" xfId="32537"/>
    <cellStyle name="Финансовый 2 2 2 2 25 2 13" xfId="2048"/>
    <cellStyle name="Финансовый 2 2 2 2 25 2 13 2" xfId="16224"/>
    <cellStyle name="Финансовый 2 2 2 2 25 2 13 2 2" xfId="38539"/>
    <cellStyle name="Финансовый 2 2 2 2 25 2 13 3" xfId="10418"/>
    <cellStyle name="Финансовый 2 2 2 2 25 2 13 4" xfId="32733"/>
    <cellStyle name="Финансовый 2 2 2 2 25 2 14" xfId="2283"/>
    <cellStyle name="Финансовый 2 2 2 2 25 2 14 2" xfId="16417"/>
    <cellStyle name="Финансовый 2 2 2 2 25 2 14 2 2" xfId="38732"/>
    <cellStyle name="Финансовый 2 2 2 2 25 2 14 3" xfId="10611"/>
    <cellStyle name="Финансовый 2 2 2 2 25 2 14 4" xfId="32926"/>
    <cellStyle name="Финансовый 2 2 2 2 25 2 15" xfId="4054"/>
    <cellStyle name="Финансовый 2 2 2 2 25 2 15 2" xfId="17787"/>
    <cellStyle name="Финансовый 2 2 2 2 25 2 15 2 2" xfId="40102"/>
    <cellStyle name="Финансовый 2 2 2 2 25 2 15 3" xfId="11981"/>
    <cellStyle name="Финансовый 2 2 2 2 25 2 15 4" xfId="34296"/>
    <cellStyle name="Финансовый 2 2 2 2 25 2 16" xfId="4183"/>
    <cellStyle name="Финансовый 2 2 2 2 25 2 16 2" xfId="17857"/>
    <cellStyle name="Финансовый 2 2 2 2 25 2 16 2 2" xfId="40172"/>
    <cellStyle name="Финансовый 2 2 2 2 25 2 16 3" xfId="12051"/>
    <cellStyle name="Финансовый 2 2 2 2 25 2 16 4" xfId="34366"/>
    <cellStyle name="Финансовый 2 2 2 2 25 2 17" xfId="8234"/>
    <cellStyle name="Финансовый 2 2 2 2 25 2 17 2" xfId="20074"/>
    <cellStyle name="Финансовый 2 2 2 2 25 2 17 2 2" xfId="42389"/>
    <cellStyle name="Финансовый 2 2 2 2 25 2 17 3" xfId="14268"/>
    <cellStyle name="Финансовый 2 2 2 2 25 2 17 4" xfId="36583"/>
    <cellStyle name="Финансовый 2 2 2 2 25 2 18" xfId="14882"/>
    <cellStyle name="Финансовый 2 2 2 2 25 2 18 2" xfId="37197"/>
    <cellStyle name="Финансовый 2 2 2 2 25 2 19" xfId="9076"/>
    <cellStyle name="Финансовый 2 2 2 2 25 2 2" xfId="708"/>
    <cellStyle name="Финансовый 2 2 2 2 25 2 2 2" xfId="15087"/>
    <cellStyle name="Финансовый 2 2 2 2 25 2 2 2 2" xfId="37402"/>
    <cellStyle name="Финансовый 2 2 2 2 25 2 2 3" xfId="9281"/>
    <cellStyle name="Финансовый 2 2 2 2 25 2 2 4" xfId="31604"/>
    <cellStyle name="Финансовый 2 2 2 2 25 2 20" xfId="31409"/>
    <cellStyle name="Финансовый 2 2 2 2 25 2 3" xfId="1461"/>
    <cellStyle name="Финансовый 2 2 2 2 25 2 3 2" xfId="15703"/>
    <cellStyle name="Финансовый 2 2 2 2 25 2 3 2 2" xfId="38018"/>
    <cellStyle name="Финансовый 2 2 2 2 25 2 3 3" xfId="9897"/>
    <cellStyle name="Финансовый 2 2 2 2 25 2 3 4" xfId="32212"/>
    <cellStyle name="Финансовый 2 2 2 2 25 2 4" xfId="1605"/>
    <cellStyle name="Финансовый 2 2 2 2 25 2 4 2" xfId="15839"/>
    <cellStyle name="Финансовый 2 2 2 2 25 2 4 2 2" xfId="38154"/>
    <cellStyle name="Финансовый 2 2 2 2 25 2 4 3" xfId="10033"/>
    <cellStyle name="Финансовый 2 2 2 2 25 2 4 4" xfId="32348"/>
    <cellStyle name="Финансовый 2 2 2 2 25 2 5" xfId="1346"/>
    <cellStyle name="Финансовый 2 2 2 2 25 2 5 2" xfId="15599"/>
    <cellStyle name="Финансовый 2 2 2 2 25 2 5 2 2" xfId="37914"/>
    <cellStyle name="Финансовый 2 2 2 2 25 2 5 3" xfId="9793"/>
    <cellStyle name="Финансовый 2 2 2 2 25 2 5 4" xfId="32108"/>
    <cellStyle name="Финансовый 2 2 2 2 25 2 6" xfId="1339"/>
    <cellStyle name="Финансовый 2 2 2 2 25 2 6 2" xfId="15592"/>
    <cellStyle name="Финансовый 2 2 2 2 25 2 6 2 2" xfId="37907"/>
    <cellStyle name="Финансовый 2 2 2 2 25 2 6 3" xfId="9786"/>
    <cellStyle name="Финансовый 2 2 2 2 25 2 6 4" xfId="32101"/>
    <cellStyle name="Финансовый 2 2 2 2 25 2 7" xfId="1711"/>
    <cellStyle name="Финансовый 2 2 2 2 25 2 7 2" xfId="15937"/>
    <cellStyle name="Финансовый 2 2 2 2 25 2 7 2 2" xfId="38252"/>
    <cellStyle name="Финансовый 2 2 2 2 25 2 7 3" xfId="10131"/>
    <cellStyle name="Финансовый 2 2 2 2 25 2 7 4" xfId="32446"/>
    <cellStyle name="Финансовый 2 2 2 2 25 2 8" xfId="1729"/>
    <cellStyle name="Финансовый 2 2 2 2 25 2 8 2" xfId="15954"/>
    <cellStyle name="Финансовый 2 2 2 2 25 2 8 2 2" xfId="38269"/>
    <cellStyle name="Финансовый 2 2 2 2 25 2 8 3" xfId="10148"/>
    <cellStyle name="Финансовый 2 2 2 2 25 2 8 4" xfId="32463"/>
    <cellStyle name="Финансовый 2 2 2 2 25 2 9" xfId="1564"/>
    <cellStyle name="Финансовый 2 2 2 2 25 2 9 2" xfId="15803"/>
    <cellStyle name="Финансовый 2 2 2 2 25 2 9 2 2" xfId="38118"/>
    <cellStyle name="Финансовый 2 2 2 2 25 2 9 3" xfId="9997"/>
    <cellStyle name="Финансовый 2 2 2 2 25 2 9 4" xfId="32312"/>
    <cellStyle name="Финансовый 2 2 2 2 25 20" xfId="4177"/>
    <cellStyle name="Финансовый 2 2 2 2 25 20 2" xfId="17852"/>
    <cellStyle name="Финансовый 2 2 2 2 25 20 2 2" xfId="40167"/>
    <cellStyle name="Финансовый 2 2 2 2 25 20 3" xfId="12046"/>
    <cellStyle name="Финансовый 2 2 2 2 25 20 4" xfId="34361"/>
    <cellStyle name="Финансовый 2 2 2 2 25 21" xfId="247"/>
    <cellStyle name="Финансовый 2 2 2 2 25 21 2" xfId="14694"/>
    <cellStyle name="Финансовый 2 2 2 2 25 21 2 2" xfId="37009"/>
    <cellStyle name="Финансовый 2 2 2 2 25 21 3" xfId="8888"/>
    <cellStyle name="Финансовый 2 2 2 2 25 21 4" xfId="31223"/>
    <cellStyle name="Финансовый 2 2 2 2 25 22" xfId="14644"/>
    <cellStyle name="Финансовый 2 2 2 2 25 22 2" xfId="36959"/>
    <cellStyle name="Финансовый 2 2 2 2 25 23" xfId="8838"/>
    <cellStyle name="Финансовый 2 2 2 2 25 24" xfId="31178"/>
    <cellStyle name="Финансовый 2 2 2 2 25 3" xfId="834"/>
    <cellStyle name="Финансовый 2 2 2 2 25 3 2" xfId="15174"/>
    <cellStyle name="Финансовый 2 2 2 2 25 3 2 2" xfId="37489"/>
    <cellStyle name="Финансовый 2 2 2 2 25 3 3" xfId="9368"/>
    <cellStyle name="Финансовый 2 2 2 2 25 3 4" xfId="31690"/>
    <cellStyle name="Финансовый 2 2 2 2 25 4" xfId="761"/>
    <cellStyle name="Финансовый 2 2 2 2 25 4 2" xfId="15139"/>
    <cellStyle name="Финансовый 2 2 2 2 25 4 2 2" xfId="37454"/>
    <cellStyle name="Финансовый 2 2 2 2 25 4 3" xfId="9333"/>
    <cellStyle name="Финансовый 2 2 2 2 25 4 4" xfId="31656"/>
    <cellStyle name="Финансовый 2 2 2 2 25 5" xfId="1050"/>
    <cellStyle name="Финансовый 2 2 2 2 25 5 2" xfId="15363"/>
    <cellStyle name="Финансовый 2 2 2 2 25 5 2 2" xfId="37678"/>
    <cellStyle name="Финансовый 2 2 2 2 25 5 3" xfId="9557"/>
    <cellStyle name="Финансовый 2 2 2 2 25 5 4" xfId="31876"/>
    <cellStyle name="Финансовый 2 2 2 2 25 6" xfId="1005"/>
    <cellStyle name="Финансовый 2 2 2 2 25 6 2" xfId="15318"/>
    <cellStyle name="Финансовый 2 2 2 2 25 6 2 2" xfId="37633"/>
    <cellStyle name="Финансовый 2 2 2 2 25 6 3" xfId="9512"/>
    <cellStyle name="Финансовый 2 2 2 2 25 6 4" xfId="31831"/>
    <cellStyle name="Финансовый 2 2 2 2 25 7" xfId="1239"/>
    <cellStyle name="Финансовый 2 2 2 2 25 7 2" xfId="15499"/>
    <cellStyle name="Финансовый 2 2 2 2 25 7 2 2" xfId="37814"/>
    <cellStyle name="Финансовый 2 2 2 2 25 7 3" xfId="9693"/>
    <cellStyle name="Финансовый 2 2 2 2 25 7 4" xfId="32008"/>
    <cellStyle name="Финансовый 2 2 2 2 25 8" xfId="1558"/>
    <cellStyle name="Финансовый 2 2 2 2 25 8 2" xfId="15798"/>
    <cellStyle name="Финансовый 2 2 2 2 25 8 2 2" xfId="38113"/>
    <cellStyle name="Финансовый 2 2 2 2 25 8 3" xfId="9992"/>
    <cellStyle name="Финансовый 2 2 2 2 25 8 4" xfId="32307"/>
    <cellStyle name="Финансовый 2 2 2 2 25 9" xfId="1279"/>
    <cellStyle name="Финансовый 2 2 2 2 25 9 2" xfId="15537"/>
    <cellStyle name="Финансовый 2 2 2 2 25 9 2 2" xfId="37852"/>
    <cellStyle name="Финансовый 2 2 2 2 25 9 3" xfId="9731"/>
    <cellStyle name="Финансовый 2 2 2 2 25 9 4" xfId="32046"/>
    <cellStyle name="Финансовый 2 2 2 2 26" xfId="143"/>
    <cellStyle name="Финансовый 2 2 2 2 26 10" xfId="2355"/>
    <cellStyle name="Финансовый 2 2 2 2 26 10 2" xfId="16484"/>
    <cellStyle name="Финансовый 2 2 2 2 26 10 2 2" xfId="38799"/>
    <cellStyle name="Финансовый 2 2 2 2 26 10 3" xfId="10678"/>
    <cellStyle name="Финансовый 2 2 2 2 26 10 4" xfId="32993"/>
    <cellStyle name="Финансовый 2 2 2 2 26 11" xfId="2587"/>
    <cellStyle name="Финансовый 2 2 2 2 26 11 2" xfId="16674"/>
    <cellStyle name="Финансовый 2 2 2 2 26 11 2 2" xfId="38989"/>
    <cellStyle name="Финансовый 2 2 2 2 26 11 3" xfId="10868"/>
    <cellStyle name="Финансовый 2 2 2 2 26 11 4" xfId="33183"/>
    <cellStyle name="Финансовый 2 2 2 2 26 12" xfId="2810"/>
    <cellStyle name="Финансовый 2 2 2 2 26 12 2" xfId="16857"/>
    <cellStyle name="Финансовый 2 2 2 2 26 12 2 2" xfId="39172"/>
    <cellStyle name="Финансовый 2 2 2 2 26 12 3" xfId="11051"/>
    <cellStyle name="Финансовый 2 2 2 2 26 12 4" xfId="33366"/>
    <cellStyle name="Финансовый 2 2 2 2 26 13" xfId="3024"/>
    <cellStyle name="Финансовый 2 2 2 2 26 13 2" xfId="17031"/>
    <cellStyle name="Финансовый 2 2 2 2 26 13 2 2" xfId="39346"/>
    <cellStyle name="Финансовый 2 2 2 2 26 13 3" xfId="11225"/>
    <cellStyle name="Финансовый 2 2 2 2 26 13 4" xfId="33540"/>
    <cellStyle name="Финансовый 2 2 2 2 26 14" xfId="3228"/>
    <cellStyle name="Финансовый 2 2 2 2 26 14 2" xfId="17196"/>
    <cellStyle name="Финансовый 2 2 2 2 26 14 2 2" xfId="39511"/>
    <cellStyle name="Финансовый 2 2 2 2 26 14 3" xfId="11390"/>
    <cellStyle name="Финансовый 2 2 2 2 26 14 4" xfId="33705"/>
    <cellStyle name="Финансовый 2 2 2 2 26 15" xfId="3415"/>
    <cellStyle name="Финансовый 2 2 2 2 26 15 2" xfId="17344"/>
    <cellStyle name="Финансовый 2 2 2 2 26 15 2 2" xfId="39659"/>
    <cellStyle name="Финансовый 2 2 2 2 26 15 3" xfId="11538"/>
    <cellStyle name="Финансовый 2 2 2 2 26 15 4" xfId="33853"/>
    <cellStyle name="Финансовый 2 2 2 2 26 16" xfId="3588"/>
    <cellStyle name="Финансовый 2 2 2 2 26 16 2" xfId="17479"/>
    <cellStyle name="Финансовый 2 2 2 2 26 16 2 2" xfId="39794"/>
    <cellStyle name="Финансовый 2 2 2 2 26 16 3" xfId="11673"/>
    <cellStyle name="Финансовый 2 2 2 2 26 16 4" xfId="33988"/>
    <cellStyle name="Финансовый 2 2 2 2 26 17" xfId="3745"/>
    <cellStyle name="Финансовый 2 2 2 2 26 17 2" xfId="17598"/>
    <cellStyle name="Финансовый 2 2 2 2 26 17 2 2" xfId="39913"/>
    <cellStyle name="Финансовый 2 2 2 2 26 17 3" xfId="11792"/>
    <cellStyle name="Финансовый 2 2 2 2 26 17 4" xfId="34107"/>
    <cellStyle name="Финансовый 2 2 2 2 26 18" xfId="3869"/>
    <cellStyle name="Финансовый 2 2 2 2 26 18 2" xfId="17689"/>
    <cellStyle name="Финансовый 2 2 2 2 26 18 2 2" xfId="40004"/>
    <cellStyle name="Финансовый 2 2 2 2 26 18 3" xfId="11883"/>
    <cellStyle name="Финансовый 2 2 2 2 26 18 4" xfId="34198"/>
    <cellStyle name="Финансовый 2 2 2 2 26 19" xfId="4258"/>
    <cellStyle name="Финансовый 2 2 2 2 26 19 2" xfId="17898"/>
    <cellStyle name="Финансовый 2 2 2 2 26 19 2 2" xfId="40213"/>
    <cellStyle name="Финансовый 2 2 2 2 26 19 3" xfId="12092"/>
    <cellStyle name="Финансовый 2 2 2 2 26 19 4" xfId="34407"/>
    <cellStyle name="Финансовый 2 2 2 2 26 2" xfId="485"/>
    <cellStyle name="Финансовый 2 2 2 2 26 2 10" xfId="2806"/>
    <cellStyle name="Финансовый 2 2 2 2 26 2 10 2" xfId="16853"/>
    <cellStyle name="Финансовый 2 2 2 2 26 2 10 2 2" xfId="39168"/>
    <cellStyle name="Финансовый 2 2 2 2 26 2 10 3" xfId="11047"/>
    <cellStyle name="Финансовый 2 2 2 2 26 2 10 4" xfId="33362"/>
    <cellStyle name="Финансовый 2 2 2 2 26 2 11" xfId="3021"/>
    <cellStyle name="Финансовый 2 2 2 2 26 2 11 2" xfId="17028"/>
    <cellStyle name="Финансовый 2 2 2 2 26 2 11 2 2" xfId="39343"/>
    <cellStyle name="Финансовый 2 2 2 2 26 2 11 3" xfId="11222"/>
    <cellStyle name="Финансовый 2 2 2 2 26 2 11 4" xfId="33537"/>
    <cellStyle name="Финансовый 2 2 2 2 26 2 12" xfId="3225"/>
    <cellStyle name="Финансовый 2 2 2 2 26 2 12 2" xfId="17193"/>
    <cellStyle name="Финансовый 2 2 2 2 26 2 12 2 2" xfId="39508"/>
    <cellStyle name="Финансовый 2 2 2 2 26 2 12 3" xfId="11387"/>
    <cellStyle name="Финансовый 2 2 2 2 26 2 12 4" xfId="33702"/>
    <cellStyle name="Финансовый 2 2 2 2 26 2 13" xfId="3412"/>
    <cellStyle name="Финансовый 2 2 2 2 26 2 13 2" xfId="17341"/>
    <cellStyle name="Финансовый 2 2 2 2 26 2 13 2 2" xfId="39656"/>
    <cellStyle name="Финансовый 2 2 2 2 26 2 13 3" xfId="11535"/>
    <cellStyle name="Финансовый 2 2 2 2 26 2 13 4" xfId="33850"/>
    <cellStyle name="Финансовый 2 2 2 2 26 2 14" xfId="3585"/>
    <cellStyle name="Финансовый 2 2 2 2 26 2 14 2" xfId="17476"/>
    <cellStyle name="Финансовый 2 2 2 2 26 2 14 2 2" xfId="39791"/>
    <cellStyle name="Финансовый 2 2 2 2 26 2 14 3" xfId="11670"/>
    <cellStyle name="Финансовый 2 2 2 2 26 2 14 4" xfId="33985"/>
    <cellStyle name="Финансовый 2 2 2 2 26 2 15" xfId="7683"/>
    <cellStyle name="Финансовый 2 2 2 2 26 2 15 2" xfId="19758"/>
    <cellStyle name="Финансовый 2 2 2 2 26 2 15 2 2" xfId="42073"/>
    <cellStyle name="Финансовый 2 2 2 2 26 2 15 3" xfId="13952"/>
    <cellStyle name="Финансовый 2 2 2 2 26 2 15 4" xfId="36267"/>
    <cellStyle name="Финансовый 2 2 2 2 26 2 16" xfId="4269"/>
    <cellStyle name="Финансовый 2 2 2 2 26 2 16 2" xfId="17904"/>
    <cellStyle name="Финансовый 2 2 2 2 26 2 16 2 2" xfId="40219"/>
    <cellStyle name="Финансовый 2 2 2 2 26 2 16 3" xfId="12098"/>
    <cellStyle name="Финансовый 2 2 2 2 26 2 16 4" xfId="34413"/>
    <cellStyle name="Финансовый 2 2 2 2 26 2 17" xfId="6894"/>
    <cellStyle name="Финансовый 2 2 2 2 26 2 17 2" xfId="19330"/>
    <cellStyle name="Финансовый 2 2 2 2 26 2 17 2 2" xfId="41645"/>
    <cellStyle name="Финансовый 2 2 2 2 26 2 17 3" xfId="13524"/>
    <cellStyle name="Финансовый 2 2 2 2 26 2 17 4" xfId="35839"/>
    <cellStyle name="Финансовый 2 2 2 2 26 2 18" xfId="14887"/>
    <cellStyle name="Финансовый 2 2 2 2 26 2 18 2" xfId="37202"/>
    <cellStyle name="Финансовый 2 2 2 2 26 2 19" xfId="9081"/>
    <cellStyle name="Финансовый 2 2 2 2 26 2 2" xfId="713"/>
    <cellStyle name="Финансовый 2 2 2 2 26 2 2 2" xfId="15092"/>
    <cellStyle name="Финансовый 2 2 2 2 26 2 2 2 2" xfId="37407"/>
    <cellStyle name="Финансовый 2 2 2 2 26 2 2 3" xfId="9286"/>
    <cellStyle name="Финансовый 2 2 2 2 26 2 2 4" xfId="31609"/>
    <cellStyle name="Финансовый 2 2 2 2 26 2 20" xfId="31414"/>
    <cellStyle name="Финансовый 2 2 2 2 26 2 3" xfId="1465"/>
    <cellStyle name="Финансовый 2 2 2 2 26 2 3 2" xfId="15707"/>
    <cellStyle name="Финансовый 2 2 2 2 26 2 3 2 2" xfId="38022"/>
    <cellStyle name="Финансовый 2 2 2 2 26 2 3 3" xfId="9901"/>
    <cellStyle name="Финансовый 2 2 2 2 26 2 3 4" xfId="32216"/>
    <cellStyle name="Финансовый 2 2 2 2 26 2 4" xfId="1697"/>
    <cellStyle name="Финансовый 2 2 2 2 26 2 4 2" xfId="15926"/>
    <cellStyle name="Финансовый 2 2 2 2 26 2 4 2 2" xfId="38241"/>
    <cellStyle name="Финансовый 2 2 2 2 26 2 4 3" xfId="10120"/>
    <cellStyle name="Финансовый 2 2 2 2 26 2 4 4" xfId="32435"/>
    <cellStyle name="Финансовый 2 2 2 2 26 2 5" xfId="1447"/>
    <cellStyle name="Финансовый 2 2 2 2 26 2 5 2" xfId="15690"/>
    <cellStyle name="Финансовый 2 2 2 2 26 2 5 2 2" xfId="38005"/>
    <cellStyle name="Финансовый 2 2 2 2 26 2 5 3" xfId="9884"/>
    <cellStyle name="Финансовый 2 2 2 2 26 2 5 4" xfId="32199"/>
    <cellStyle name="Финансовый 2 2 2 2 26 2 6" xfId="1878"/>
    <cellStyle name="Финансовый 2 2 2 2 26 2 6 2" xfId="16091"/>
    <cellStyle name="Финансовый 2 2 2 2 26 2 6 2 2" xfId="38406"/>
    <cellStyle name="Финансовый 2 2 2 2 26 2 6 3" xfId="10285"/>
    <cellStyle name="Финансовый 2 2 2 2 26 2 6 4" xfId="32600"/>
    <cellStyle name="Финансовый 2 2 2 2 26 2 7" xfId="2116"/>
    <cellStyle name="Финансовый 2 2 2 2 26 2 7 2" xfId="16287"/>
    <cellStyle name="Финансовый 2 2 2 2 26 2 7 2 2" xfId="38602"/>
    <cellStyle name="Финансовый 2 2 2 2 26 2 7 3" xfId="10481"/>
    <cellStyle name="Финансовый 2 2 2 2 26 2 7 4" xfId="32796"/>
    <cellStyle name="Финансовый 2 2 2 2 26 2 8" xfId="2351"/>
    <cellStyle name="Финансовый 2 2 2 2 26 2 8 2" xfId="16480"/>
    <cellStyle name="Финансовый 2 2 2 2 26 2 8 2 2" xfId="38795"/>
    <cellStyle name="Финансовый 2 2 2 2 26 2 8 3" xfId="10674"/>
    <cellStyle name="Финансовый 2 2 2 2 26 2 8 4" xfId="32989"/>
    <cellStyle name="Финансовый 2 2 2 2 26 2 9" xfId="2583"/>
    <cellStyle name="Финансовый 2 2 2 2 26 2 9 2" xfId="16670"/>
    <cellStyle name="Финансовый 2 2 2 2 26 2 9 2 2" xfId="38985"/>
    <cellStyle name="Финансовый 2 2 2 2 26 2 9 3" xfId="10864"/>
    <cellStyle name="Финансовый 2 2 2 2 26 2 9 4" xfId="33179"/>
    <cellStyle name="Финансовый 2 2 2 2 26 20" xfId="4600"/>
    <cellStyle name="Финансовый 2 2 2 2 26 20 2" xfId="18087"/>
    <cellStyle name="Финансовый 2 2 2 2 26 20 2 2" xfId="40402"/>
    <cellStyle name="Финансовый 2 2 2 2 26 20 3" xfId="12281"/>
    <cellStyle name="Финансовый 2 2 2 2 26 20 4" xfId="34596"/>
    <cellStyle name="Финансовый 2 2 2 2 26 21" xfId="4822"/>
    <cellStyle name="Финансовый 2 2 2 2 26 21 2" xfId="18213"/>
    <cellStyle name="Финансовый 2 2 2 2 26 21 2 2" xfId="40528"/>
    <cellStyle name="Финансовый 2 2 2 2 26 21 3" xfId="12407"/>
    <cellStyle name="Финансовый 2 2 2 2 26 21 4" xfId="34722"/>
    <cellStyle name="Финансовый 2 2 2 2 26 22" xfId="14647"/>
    <cellStyle name="Финансовый 2 2 2 2 26 22 2" xfId="36962"/>
    <cellStyle name="Финансовый 2 2 2 2 26 23" xfId="8841"/>
    <cellStyle name="Финансовый 2 2 2 2 26 24" xfId="31180"/>
    <cellStyle name="Финансовый 2 2 2 2 26 3" xfId="837"/>
    <cellStyle name="Финансовый 2 2 2 2 26 3 2" xfId="15177"/>
    <cellStyle name="Финансовый 2 2 2 2 26 3 2 2" xfId="37492"/>
    <cellStyle name="Финансовый 2 2 2 2 26 3 3" xfId="9371"/>
    <cellStyle name="Финансовый 2 2 2 2 26 3 4" xfId="31693"/>
    <cellStyle name="Финансовый 2 2 2 2 26 4" xfId="717"/>
    <cellStyle name="Финансовый 2 2 2 2 26 4 2" xfId="15096"/>
    <cellStyle name="Финансовый 2 2 2 2 26 4 2 2" xfId="37411"/>
    <cellStyle name="Финансовый 2 2 2 2 26 4 3" xfId="9290"/>
    <cellStyle name="Финансовый 2 2 2 2 26 4 4" xfId="31613"/>
    <cellStyle name="Финансовый 2 2 2 2 26 5" xfId="1053"/>
    <cellStyle name="Финансовый 2 2 2 2 26 5 2" xfId="15366"/>
    <cellStyle name="Финансовый 2 2 2 2 26 5 2 2" xfId="37681"/>
    <cellStyle name="Финансовый 2 2 2 2 26 5 3" xfId="9560"/>
    <cellStyle name="Финансовый 2 2 2 2 26 5 4" xfId="31879"/>
    <cellStyle name="Финансовый 2 2 2 2 26 6" xfId="1013"/>
    <cellStyle name="Финансовый 2 2 2 2 26 6 2" xfId="15326"/>
    <cellStyle name="Финансовый 2 2 2 2 26 6 2 2" xfId="37641"/>
    <cellStyle name="Финансовый 2 2 2 2 26 6 3" xfId="9520"/>
    <cellStyle name="Финансовый 2 2 2 2 26 6 4" xfId="31839"/>
    <cellStyle name="Финансовый 2 2 2 2 26 7" xfId="1243"/>
    <cellStyle name="Финансовый 2 2 2 2 26 7 2" xfId="15503"/>
    <cellStyle name="Финансовый 2 2 2 2 26 7 2 2" xfId="37818"/>
    <cellStyle name="Финансовый 2 2 2 2 26 7 3" xfId="9697"/>
    <cellStyle name="Финансовый 2 2 2 2 26 7 4" xfId="32012"/>
    <cellStyle name="Финансовый 2 2 2 2 26 8" xfId="1882"/>
    <cellStyle name="Финансовый 2 2 2 2 26 8 2" xfId="16095"/>
    <cellStyle name="Финансовый 2 2 2 2 26 8 2 2" xfId="38410"/>
    <cellStyle name="Финансовый 2 2 2 2 26 8 3" xfId="10289"/>
    <cellStyle name="Финансовый 2 2 2 2 26 8 4" xfId="32604"/>
    <cellStyle name="Финансовый 2 2 2 2 26 9" xfId="2120"/>
    <cellStyle name="Финансовый 2 2 2 2 26 9 2" xfId="16291"/>
    <cellStyle name="Финансовый 2 2 2 2 26 9 2 2" xfId="38606"/>
    <cellStyle name="Финансовый 2 2 2 2 26 9 3" xfId="10485"/>
    <cellStyle name="Финансовый 2 2 2 2 26 9 4" xfId="32800"/>
    <cellStyle name="Финансовый 2 2 2 2 27" xfId="148"/>
    <cellStyle name="Финансовый 2 2 2 2 27 10" xfId="2296"/>
    <cellStyle name="Финансовый 2 2 2 2 27 10 2" xfId="16429"/>
    <cellStyle name="Финансовый 2 2 2 2 27 10 2 2" xfId="38744"/>
    <cellStyle name="Финансовый 2 2 2 2 27 10 3" xfId="10623"/>
    <cellStyle name="Финансовый 2 2 2 2 27 10 4" xfId="32938"/>
    <cellStyle name="Финансовый 2 2 2 2 27 11" xfId="2529"/>
    <cellStyle name="Финансовый 2 2 2 2 27 11 2" xfId="16620"/>
    <cellStyle name="Финансовый 2 2 2 2 27 11 2 2" xfId="38935"/>
    <cellStyle name="Финансовый 2 2 2 2 27 11 3" xfId="10814"/>
    <cellStyle name="Финансовый 2 2 2 2 27 11 4" xfId="33129"/>
    <cellStyle name="Финансовый 2 2 2 2 27 12" xfId="2755"/>
    <cellStyle name="Финансовый 2 2 2 2 27 12 2" xfId="16805"/>
    <cellStyle name="Финансовый 2 2 2 2 27 12 2 2" xfId="39120"/>
    <cellStyle name="Финансовый 2 2 2 2 27 12 3" xfId="10999"/>
    <cellStyle name="Финансовый 2 2 2 2 27 12 4" xfId="33314"/>
    <cellStyle name="Финансовый 2 2 2 2 27 13" xfId="2973"/>
    <cellStyle name="Финансовый 2 2 2 2 27 13 2" xfId="16983"/>
    <cellStyle name="Финансовый 2 2 2 2 27 13 2 2" xfId="39298"/>
    <cellStyle name="Финансовый 2 2 2 2 27 13 3" xfId="11177"/>
    <cellStyle name="Финансовый 2 2 2 2 27 13 4" xfId="33492"/>
    <cellStyle name="Финансовый 2 2 2 2 27 14" xfId="3181"/>
    <cellStyle name="Финансовый 2 2 2 2 27 14 2" xfId="17152"/>
    <cellStyle name="Финансовый 2 2 2 2 27 14 2 2" xfId="39467"/>
    <cellStyle name="Финансовый 2 2 2 2 27 14 3" xfId="11346"/>
    <cellStyle name="Финансовый 2 2 2 2 27 14 4" xfId="33661"/>
    <cellStyle name="Финансовый 2 2 2 2 27 15" xfId="3370"/>
    <cellStyle name="Финансовый 2 2 2 2 27 15 2" xfId="17302"/>
    <cellStyle name="Финансовый 2 2 2 2 27 15 2 2" xfId="39617"/>
    <cellStyle name="Финансовый 2 2 2 2 27 15 3" xfId="11496"/>
    <cellStyle name="Финансовый 2 2 2 2 27 15 4" xfId="33811"/>
    <cellStyle name="Финансовый 2 2 2 2 27 16" xfId="3549"/>
    <cellStyle name="Финансовый 2 2 2 2 27 16 2" xfId="17443"/>
    <cellStyle name="Финансовый 2 2 2 2 27 16 2 2" xfId="39758"/>
    <cellStyle name="Финансовый 2 2 2 2 27 16 3" xfId="11637"/>
    <cellStyle name="Финансовый 2 2 2 2 27 16 4" xfId="33952"/>
    <cellStyle name="Финансовый 2 2 2 2 27 17" xfId="3710"/>
    <cellStyle name="Финансовый 2 2 2 2 27 17 2" xfId="17566"/>
    <cellStyle name="Финансовый 2 2 2 2 27 17 2 2" xfId="39881"/>
    <cellStyle name="Финансовый 2 2 2 2 27 17 3" xfId="11760"/>
    <cellStyle name="Финансовый 2 2 2 2 27 17 4" xfId="34075"/>
    <cellStyle name="Финансовый 2 2 2 2 27 18" xfId="3848"/>
    <cellStyle name="Финансовый 2 2 2 2 27 18 2" xfId="17670"/>
    <cellStyle name="Финансовый 2 2 2 2 27 18 2 2" xfId="39985"/>
    <cellStyle name="Финансовый 2 2 2 2 27 18 3" xfId="11864"/>
    <cellStyle name="Финансовый 2 2 2 2 27 18 4" xfId="34179"/>
    <cellStyle name="Финансовый 2 2 2 2 27 19" xfId="5132"/>
    <cellStyle name="Финансовый 2 2 2 2 27 19 2" xfId="18386"/>
    <cellStyle name="Финансовый 2 2 2 2 27 19 2 2" xfId="40701"/>
    <cellStyle name="Финансовый 2 2 2 2 27 19 3" xfId="12580"/>
    <cellStyle name="Финансовый 2 2 2 2 27 19 4" xfId="34895"/>
    <cellStyle name="Финансовый 2 2 2 2 27 2" xfId="490"/>
    <cellStyle name="Финансовый 2 2 2 2 27 2 10" xfId="3034"/>
    <cellStyle name="Финансовый 2 2 2 2 27 2 10 2" xfId="17041"/>
    <cellStyle name="Финансовый 2 2 2 2 27 2 10 2 2" xfId="39356"/>
    <cellStyle name="Финансовый 2 2 2 2 27 2 10 3" xfId="11235"/>
    <cellStyle name="Финансовый 2 2 2 2 27 2 10 4" xfId="33550"/>
    <cellStyle name="Финансовый 2 2 2 2 27 2 11" xfId="3235"/>
    <cellStyle name="Финансовый 2 2 2 2 27 2 11 2" xfId="17203"/>
    <cellStyle name="Финансовый 2 2 2 2 27 2 11 2 2" xfId="39518"/>
    <cellStyle name="Финансовый 2 2 2 2 27 2 11 3" xfId="11397"/>
    <cellStyle name="Финансовый 2 2 2 2 27 2 11 4" xfId="33712"/>
    <cellStyle name="Финансовый 2 2 2 2 27 2 12" xfId="3422"/>
    <cellStyle name="Финансовый 2 2 2 2 27 2 12 2" xfId="17351"/>
    <cellStyle name="Финансовый 2 2 2 2 27 2 12 2 2" xfId="39666"/>
    <cellStyle name="Финансовый 2 2 2 2 27 2 12 3" xfId="11545"/>
    <cellStyle name="Финансовый 2 2 2 2 27 2 12 4" xfId="33860"/>
    <cellStyle name="Финансовый 2 2 2 2 27 2 13" xfId="3595"/>
    <cellStyle name="Финансовый 2 2 2 2 27 2 13 2" xfId="17486"/>
    <cellStyle name="Финансовый 2 2 2 2 27 2 13 2 2" xfId="39801"/>
    <cellStyle name="Финансовый 2 2 2 2 27 2 13 3" xfId="11680"/>
    <cellStyle name="Финансовый 2 2 2 2 27 2 13 4" xfId="33995"/>
    <cellStyle name="Финансовый 2 2 2 2 27 2 14" xfId="3751"/>
    <cellStyle name="Финансовый 2 2 2 2 27 2 14 2" xfId="17604"/>
    <cellStyle name="Финансовый 2 2 2 2 27 2 14 2 2" xfId="39919"/>
    <cellStyle name="Финансовый 2 2 2 2 27 2 14 3" xfId="11798"/>
    <cellStyle name="Финансовый 2 2 2 2 27 2 14 4" xfId="34113"/>
    <cellStyle name="Финансовый 2 2 2 2 27 2 15" xfId="4002"/>
    <cellStyle name="Финансовый 2 2 2 2 27 2 15 2" xfId="17760"/>
    <cellStyle name="Финансовый 2 2 2 2 27 2 15 2 2" xfId="40075"/>
    <cellStyle name="Финансовый 2 2 2 2 27 2 15 3" xfId="11954"/>
    <cellStyle name="Финансовый 2 2 2 2 27 2 15 4" xfId="34269"/>
    <cellStyle name="Финансовый 2 2 2 2 27 2 16" xfId="5482"/>
    <cellStyle name="Финансовый 2 2 2 2 27 2 16 2" xfId="18578"/>
    <cellStyle name="Финансовый 2 2 2 2 27 2 16 2 2" xfId="40893"/>
    <cellStyle name="Финансовый 2 2 2 2 27 2 16 3" xfId="12772"/>
    <cellStyle name="Финансовый 2 2 2 2 27 2 16 4" xfId="35087"/>
    <cellStyle name="Финансовый 2 2 2 2 27 2 17" xfId="7780"/>
    <cellStyle name="Финансовый 2 2 2 2 27 2 17 2" xfId="19812"/>
    <cellStyle name="Финансовый 2 2 2 2 27 2 17 2 2" xfId="42127"/>
    <cellStyle name="Финансовый 2 2 2 2 27 2 17 3" xfId="14006"/>
    <cellStyle name="Финансовый 2 2 2 2 27 2 17 4" xfId="36321"/>
    <cellStyle name="Финансовый 2 2 2 2 27 2 18" xfId="14892"/>
    <cellStyle name="Финансовый 2 2 2 2 27 2 18 2" xfId="37207"/>
    <cellStyle name="Финансовый 2 2 2 2 27 2 19" xfId="9086"/>
    <cellStyle name="Финансовый 2 2 2 2 27 2 2" xfId="716"/>
    <cellStyle name="Финансовый 2 2 2 2 27 2 2 2" xfId="15095"/>
    <cellStyle name="Финансовый 2 2 2 2 27 2 2 2 2" xfId="37410"/>
    <cellStyle name="Финансовый 2 2 2 2 27 2 2 3" xfId="9289"/>
    <cellStyle name="Финансовый 2 2 2 2 27 2 2 4" xfId="31612"/>
    <cellStyle name="Финансовый 2 2 2 2 27 2 20" xfId="31419"/>
    <cellStyle name="Финансовый 2 2 2 2 27 2 3" xfId="1468"/>
    <cellStyle name="Финансовый 2 2 2 2 27 2 3 2" xfId="15710"/>
    <cellStyle name="Финансовый 2 2 2 2 27 2 3 2 2" xfId="38025"/>
    <cellStyle name="Финансовый 2 2 2 2 27 2 3 3" xfId="9904"/>
    <cellStyle name="Финансовый 2 2 2 2 27 2 3 4" xfId="32219"/>
    <cellStyle name="Финансовый 2 2 2 2 27 2 4" xfId="1601"/>
    <cellStyle name="Финансовый 2 2 2 2 27 2 4 2" xfId="15836"/>
    <cellStyle name="Финансовый 2 2 2 2 27 2 4 2 2" xfId="38151"/>
    <cellStyle name="Финансовый 2 2 2 2 27 2 4 3" xfId="10030"/>
    <cellStyle name="Финансовый 2 2 2 2 27 2 4 4" xfId="32345"/>
    <cellStyle name="Финансовый 2 2 2 2 27 2 5" xfId="1894"/>
    <cellStyle name="Финансовый 2 2 2 2 27 2 5 2" xfId="16107"/>
    <cellStyle name="Финансовый 2 2 2 2 27 2 5 2 2" xfId="38422"/>
    <cellStyle name="Финансовый 2 2 2 2 27 2 5 3" xfId="10301"/>
    <cellStyle name="Финансовый 2 2 2 2 27 2 5 4" xfId="32616"/>
    <cellStyle name="Финансовый 2 2 2 2 27 2 6" xfId="2132"/>
    <cellStyle name="Финансовый 2 2 2 2 27 2 6 2" xfId="16303"/>
    <cellStyle name="Финансовый 2 2 2 2 27 2 6 2 2" xfId="38618"/>
    <cellStyle name="Финансовый 2 2 2 2 27 2 6 3" xfId="10497"/>
    <cellStyle name="Финансовый 2 2 2 2 27 2 6 4" xfId="32812"/>
    <cellStyle name="Финансовый 2 2 2 2 27 2 7" xfId="2367"/>
    <cellStyle name="Финансовый 2 2 2 2 27 2 7 2" xfId="16496"/>
    <cellStyle name="Финансовый 2 2 2 2 27 2 7 2 2" xfId="38811"/>
    <cellStyle name="Финансовый 2 2 2 2 27 2 7 3" xfId="10690"/>
    <cellStyle name="Финансовый 2 2 2 2 27 2 7 4" xfId="33005"/>
    <cellStyle name="Финансовый 2 2 2 2 27 2 8" xfId="2599"/>
    <cellStyle name="Финансовый 2 2 2 2 27 2 8 2" xfId="16686"/>
    <cellStyle name="Финансовый 2 2 2 2 27 2 8 2 2" xfId="39001"/>
    <cellStyle name="Финансовый 2 2 2 2 27 2 8 3" xfId="10880"/>
    <cellStyle name="Финансовый 2 2 2 2 27 2 8 4" xfId="33195"/>
    <cellStyle name="Финансовый 2 2 2 2 27 2 9" xfId="2821"/>
    <cellStyle name="Финансовый 2 2 2 2 27 2 9 2" xfId="16868"/>
    <cellStyle name="Финансовый 2 2 2 2 27 2 9 2 2" xfId="39183"/>
    <cellStyle name="Финансовый 2 2 2 2 27 2 9 3" xfId="11062"/>
    <cellStyle name="Финансовый 2 2 2 2 27 2 9 4" xfId="33377"/>
    <cellStyle name="Финансовый 2 2 2 2 27 20" xfId="4442"/>
    <cellStyle name="Финансовый 2 2 2 2 27 20 2" xfId="18008"/>
    <cellStyle name="Финансовый 2 2 2 2 27 20 2 2" xfId="40323"/>
    <cellStyle name="Финансовый 2 2 2 2 27 20 3" xfId="12202"/>
    <cellStyle name="Финансовый 2 2 2 2 27 20 4" xfId="34517"/>
    <cellStyle name="Финансовый 2 2 2 2 27 21" xfId="8442"/>
    <cellStyle name="Финансовый 2 2 2 2 27 21 2" xfId="20197"/>
    <cellStyle name="Финансовый 2 2 2 2 27 21 2 2" xfId="42512"/>
    <cellStyle name="Финансовый 2 2 2 2 27 21 3" xfId="14391"/>
    <cellStyle name="Финансовый 2 2 2 2 27 21 4" xfId="36706"/>
    <cellStyle name="Финансовый 2 2 2 2 27 22" xfId="14650"/>
    <cellStyle name="Финансовый 2 2 2 2 27 22 2" xfId="36965"/>
    <cellStyle name="Финансовый 2 2 2 2 27 23" xfId="8844"/>
    <cellStyle name="Финансовый 2 2 2 2 27 24" xfId="31182"/>
    <cellStyle name="Финансовый 2 2 2 2 27 3" xfId="841"/>
    <cellStyle name="Финансовый 2 2 2 2 27 3 2" xfId="15181"/>
    <cellStyle name="Финансовый 2 2 2 2 27 3 2 2" xfId="37496"/>
    <cellStyle name="Финансовый 2 2 2 2 27 3 3" xfId="9375"/>
    <cellStyle name="Финансовый 2 2 2 2 27 3 4" xfId="31697"/>
    <cellStyle name="Финансовый 2 2 2 2 27 4" xfId="690"/>
    <cellStyle name="Финансовый 2 2 2 2 27 4 2" xfId="15069"/>
    <cellStyle name="Финансовый 2 2 2 2 27 4 2 2" xfId="37384"/>
    <cellStyle name="Финансовый 2 2 2 2 27 4 3" xfId="9263"/>
    <cellStyle name="Финансовый 2 2 2 2 27 4 4" xfId="31586"/>
    <cellStyle name="Финансовый 2 2 2 2 27 5" xfId="1057"/>
    <cellStyle name="Финансовый 2 2 2 2 27 5 2" xfId="15370"/>
    <cellStyle name="Финансовый 2 2 2 2 27 5 2 2" xfId="37685"/>
    <cellStyle name="Финансовый 2 2 2 2 27 5 3" xfId="9564"/>
    <cellStyle name="Финансовый 2 2 2 2 27 5 4" xfId="31883"/>
    <cellStyle name="Финансовый 2 2 2 2 27 6" xfId="1000"/>
    <cellStyle name="Финансовый 2 2 2 2 27 6 2" xfId="15313"/>
    <cellStyle name="Финансовый 2 2 2 2 27 6 2 2" xfId="37628"/>
    <cellStyle name="Финансовый 2 2 2 2 27 6 3" xfId="9507"/>
    <cellStyle name="Финансовый 2 2 2 2 27 6 4" xfId="31826"/>
    <cellStyle name="Финансовый 2 2 2 2 27 7" xfId="1248"/>
    <cellStyle name="Финансовый 2 2 2 2 27 7 2" xfId="15508"/>
    <cellStyle name="Финансовый 2 2 2 2 27 7 2 2" xfId="37823"/>
    <cellStyle name="Финансовый 2 2 2 2 27 7 3" xfId="9702"/>
    <cellStyle name="Финансовый 2 2 2 2 27 7 4" xfId="32017"/>
    <cellStyle name="Финансовый 2 2 2 2 27 8" xfId="1823"/>
    <cellStyle name="Финансовый 2 2 2 2 27 8 2" xfId="16040"/>
    <cellStyle name="Финансовый 2 2 2 2 27 8 2 2" xfId="38355"/>
    <cellStyle name="Финансовый 2 2 2 2 27 8 3" xfId="10234"/>
    <cellStyle name="Финансовый 2 2 2 2 27 8 4" xfId="32549"/>
    <cellStyle name="Финансовый 2 2 2 2 27 9" xfId="2061"/>
    <cellStyle name="Финансовый 2 2 2 2 27 9 2" xfId="16236"/>
    <cellStyle name="Финансовый 2 2 2 2 27 9 2 2" xfId="38551"/>
    <cellStyle name="Финансовый 2 2 2 2 27 9 3" xfId="10430"/>
    <cellStyle name="Финансовый 2 2 2 2 27 9 4" xfId="32745"/>
    <cellStyle name="Финансовый 2 2 2 2 28" xfId="153"/>
    <cellStyle name="Финансовый 2 2 2 2 28 10" xfId="1749"/>
    <cellStyle name="Финансовый 2 2 2 2 28 10 2" xfId="15972"/>
    <cellStyle name="Финансовый 2 2 2 2 28 10 2 2" xfId="38287"/>
    <cellStyle name="Финансовый 2 2 2 2 28 10 3" xfId="10166"/>
    <cellStyle name="Финансовый 2 2 2 2 28 10 4" xfId="32481"/>
    <cellStyle name="Финансовый 2 2 2 2 28 11" xfId="1987"/>
    <cellStyle name="Финансовый 2 2 2 2 28 11 2" xfId="16168"/>
    <cellStyle name="Финансовый 2 2 2 2 28 11 2 2" xfId="38483"/>
    <cellStyle name="Финансовый 2 2 2 2 28 11 3" xfId="10362"/>
    <cellStyle name="Финансовый 2 2 2 2 28 11 4" xfId="32677"/>
    <cellStyle name="Финансовый 2 2 2 2 28 12" xfId="2224"/>
    <cellStyle name="Финансовый 2 2 2 2 28 12 2" xfId="16363"/>
    <cellStyle name="Финансовый 2 2 2 2 28 12 2 2" xfId="38678"/>
    <cellStyle name="Финансовый 2 2 2 2 28 12 3" xfId="10557"/>
    <cellStyle name="Финансовый 2 2 2 2 28 12 4" xfId="32872"/>
    <cellStyle name="Финансовый 2 2 2 2 28 13" xfId="2459"/>
    <cellStyle name="Финансовый 2 2 2 2 28 13 2" xfId="16556"/>
    <cellStyle name="Финансовый 2 2 2 2 28 13 2 2" xfId="38871"/>
    <cellStyle name="Финансовый 2 2 2 2 28 13 3" xfId="10750"/>
    <cellStyle name="Финансовый 2 2 2 2 28 13 4" xfId="33065"/>
    <cellStyle name="Финансовый 2 2 2 2 28 14" xfId="2690"/>
    <cellStyle name="Финансовый 2 2 2 2 28 14 2" xfId="16745"/>
    <cellStyle name="Финансовый 2 2 2 2 28 14 2 2" xfId="39060"/>
    <cellStyle name="Финансовый 2 2 2 2 28 14 3" xfId="10939"/>
    <cellStyle name="Финансовый 2 2 2 2 28 14 4" xfId="33254"/>
    <cellStyle name="Финансовый 2 2 2 2 28 15" xfId="2911"/>
    <cellStyle name="Финансовый 2 2 2 2 28 15 2" xfId="16926"/>
    <cellStyle name="Финансовый 2 2 2 2 28 15 2 2" xfId="39241"/>
    <cellStyle name="Финансовый 2 2 2 2 28 15 3" xfId="11120"/>
    <cellStyle name="Финансовый 2 2 2 2 28 15 4" xfId="33435"/>
    <cellStyle name="Финансовый 2 2 2 2 28 16" xfId="3122"/>
    <cellStyle name="Финансовый 2 2 2 2 28 16 2" xfId="17098"/>
    <cellStyle name="Финансовый 2 2 2 2 28 16 2 2" xfId="39413"/>
    <cellStyle name="Финансовый 2 2 2 2 28 16 3" xfId="11292"/>
    <cellStyle name="Финансовый 2 2 2 2 28 16 4" xfId="33607"/>
    <cellStyle name="Финансовый 2 2 2 2 28 17" xfId="3319"/>
    <cellStyle name="Финансовый 2 2 2 2 28 17 2" xfId="17256"/>
    <cellStyle name="Финансовый 2 2 2 2 28 17 2 2" xfId="39571"/>
    <cellStyle name="Финансовый 2 2 2 2 28 17 3" xfId="11450"/>
    <cellStyle name="Финансовый 2 2 2 2 28 17 4" xfId="33765"/>
    <cellStyle name="Финансовый 2 2 2 2 28 18" xfId="3504"/>
    <cellStyle name="Финансовый 2 2 2 2 28 18 2" xfId="17402"/>
    <cellStyle name="Финансовый 2 2 2 2 28 18 2 2" xfId="39717"/>
    <cellStyle name="Финансовый 2 2 2 2 28 18 3" xfId="11596"/>
    <cellStyle name="Финансовый 2 2 2 2 28 18 4" xfId="33911"/>
    <cellStyle name="Финансовый 2 2 2 2 28 19" xfId="8451"/>
    <cellStyle name="Финансовый 2 2 2 2 28 19 2" xfId="20204"/>
    <cellStyle name="Финансовый 2 2 2 2 28 19 2 2" xfId="42519"/>
    <cellStyle name="Финансовый 2 2 2 2 28 19 3" xfId="14398"/>
    <cellStyle name="Финансовый 2 2 2 2 28 19 4" xfId="36713"/>
    <cellStyle name="Финансовый 2 2 2 2 28 2" xfId="495"/>
    <cellStyle name="Финансовый 2 2 2 2 28 2 10" xfId="2350"/>
    <cellStyle name="Финансовый 2 2 2 2 28 2 10 2" xfId="16479"/>
    <cellStyle name="Финансовый 2 2 2 2 28 2 10 2 2" xfId="38794"/>
    <cellStyle name="Финансовый 2 2 2 2 28 2 10 3" xfId="10673"/>
    <cellStyle name="Финансовый 2 2 2 2 28 2 10 4" xfId="32988"/>
    <cellStyle name="Финансовый 2 2 2 2 28 2 11" xfId="2582"/>
    <cellStyle name="Финансовый 2 2 2 2 28 2 11 2" xfId="16669"/>
    <cellStyle name="Финансовый 2 2 2 2 28 2 11 2 2" xfId="38984"/>
    <cellStyle name="Финансовый 2 2 2 2 28 2 11 3" xfId="10863"/>
    <cellStyle name="Финансовый 2 2 2 2 28 2 11 4" xfId="33178"/>
    <cellStyle name="Финансовый 2 2 2 2 28 2 12" xfId="2805"/>
    <cellStyle name="Финансовый 2 2 2 2 28 2 12 2" xfId="16852"/>
    <cellStyle name="Финансовый 2 2 2 2 28 2 12 2 2" xfId="39167"/>
    <cellStyle name="Финансовый 2 2 2 2 28 2 12 3" xfId="11046"/>
    <cellStyle name="Финансовый 2 2 2 2 28 2 12 4" xfId="33361"/>
    <cellStyle name="Финансовый 2 2 2 2 28 2 13" xfId="3020"/>
    <cellStyle name="Финансовый 2 2 2 2 28 2 13 2" xfId="17027"/>
    <cellStyle name="Финансовый 2 2 2 2 28 2 13 2 2" xfId="39342"/>
    <cellStyle name="Финансовый 2 2 2 2 28 2 13 3" xfId="11221"/>
    <cellStyle name="Финансовый 2 2 2 2 28 2 13 4" xfId="33536"/>
    <cellStyle name="Финансовый 2 2 2 2 28 2 14" xfId="3224"/>
    <cellStyle name="Финансовый 2 2 2 2 28 2 14 2" xfId="17192"/>
    <cellStyle name="Финансовый 2 2 2 2 28 2 14 2 2" xfId="39507"/>
    <cellStyle name="Финансовый 2 2 2 2 28 2 14 3" xfId="11386"/>
    <cellStyle name="Финансовый 2 2 2 2 28 2 14 4" xfId="33701"/>
    <cellStyle name="Финансовый 2 2 2 2 28 2 15" xfId="4237"/>
    <cellStyle name="Финансовый 2 2 2 2 28 2 15 2" xfId="17888"/>
    <cellStyle name="Финансовый 2 2 2 2 28 2 15 2 2" xfId="40203"/>
    <cellStyle name="Финансовый 2 2 2 2 28 2 15 3" xfId="12082"/>
    <cellStyle name="Финансовый 2 2 2 2 28 2 15 4" xfId="34397"/>
    <cellStyle name="Финансовый 2 2 2 2 28 2 16" xfId="8614"/>
    <cellStyle name="Финансовый 2 2 2 2 28 2 16 2" xfId="20292"/>
    <cellStyle name="Финансовый 2 2 2 2 28 2 16 2 2" xfId="42607"/>
    <cellStyle name="Финансовый 2 2 2 2 28 2 16 3" xfId="14486"/>
    <cellStyle name="Финансовый 2 2 2 2 28 2 16 4" xfId="36801"/>
    <cellStyle name="Финансовый 2 2 2 2 28 2 17" xfId="7562"/>
    <cellStyle name="Финансовый 2 2 2 2 28 2 17 2" xfId="19692"/>
    <cellStyle name="Финансовый 2 2 2 2 28 2 17 2 2" xfId="42007"/>
    <cellStyle name="Финансовый 2 2 2 2 28 2 17 3" xfId="13886"/>
    <cellStyle name="Финансовый 2 2 2 2 28 2 17 4" xfId="36201"/>
    <cellStyle name="Финансовый 2 2 2 2 28 2 18" xfId="14897"/>
    <cellStyle name="Финансовый 2 2 2 2 28 2 18 2" xfId="37212"/>
    <cellStyle name="Финансовый 2 2 2 2 28 2 19" xfId="9091"/>
    <cellStyle name="Финансовый 2 2 2 2 28 2 2" xfId="719"/>
    <cellStyle name="Финансовый 2 2 2 2 28 2 2 2" xfId="15098"/>
    <cellStyle name="Финансовый 2 2 2 2 28 2 2 2 2" xfId="37413"/>
    <cellStyle name="Финансовый 2 2 2 2 28 2 2 3" xfId="9292"/>
    <cellStyle name="Финансовый 2 2 2 2 28 2 2 4" xfId="31615"/>
    <cellStyle name="Финансовый 2 2 2 2 28 2 20" xfId="31424"/>
    <cellStyle name="Финансовый 2 2 2 2 28 2 3" xfId="1471"/>
    <cellStyle name="Финансовый 2 2 2 2 28 2 3 2" xfId="15713"/>
    <cellStyle name="Финансовый 2 2 2 2 28 2 3 2 2" xfId="38028"/>
    <cellStyle name="Финансовый 2 2 2 2 28 2 3 3" xfId="9907"/>
    <cellStyle name="Финансовый 2 2 2 2 28 2 3 4" xfId="32222"/>
    <cellStyle name="Финансовый 2 2 2 2 28 2 4" xfId="1657"/>
    <cellStyle name="Финансовый 2 2 2 2 28 2 4 2" xfId="15887"/>
    <cellStyle name="Финансовый 2 2 2 2 28 2 4 2 2" xfId="38202"/>
    <cellStyle name="Финансовый 2 2 2 2 28 2 4 3" xfId="10081"/>
    <cellStyle name="Финансовый 2 2 2 2 28 2 4 4" xfId="32396"/>
    <cellStyle name="Финансовый 2 2 2 2 28 2 5" xfId="1497"/>
    <cellStyle name="Финансовый 2 2 2 2 28 2 5 2" xfId="15739"/>
    <cellStyle name="Финансовый 2 2 2 2 28 2 5 2 2" xfId="38054"/>
    <cellStyle name="Финансовый 2 2 2 2 28 2 5 3" xfId="9933"/>
    <cellStyle name="Финансовый 2 2 2 2 28 2 5 4" xfId="32248"/>
    <cellStyle name="Финансовый 2 2 2 2 28 2 6" xfId="1563"/>
    <cellStyle name="Финансовый 2 2 2 2 28 2 6 2" xfId="15802"/>
    <cellStyle name="Финансовый 2 2 2 2 28 2 6 2 2" xfId="38117"/>
    <cellStyle name="Финансовый 2 2 2 2 28 2 6 3" xfId="9996"/>
    <cellStyle name="Финансовый 2 2 2 2 28 2 6 4" xfId="32311"/>
    <cellStyle name="Финансовый 2 2 2 2 28 2 7" xfId="1259"/>
    <cellStyle name="Финансовый 2 2 2 2 28 2 7 2" xfId="15519"/>
    <cellStyle name="Финансовый 2 2 2 2 28 2 7 2 2" xfId="37834"/>
    <cellStyle name="Финансовый 2 2 2 2 28 2 7 3" xfId="9713"/>
    <cellStyle name="Финансовый 2 2 2 2 28 2 7 4" xfId="32028"/>
    <cellStyle name="Финансовый 2 2 2 2 28 2 8" xfId="1877"/>
    <cellStyle name="Финансовый 2 2 2 2 28 2 8 2" xfId="16090"/>
    <cellStyle name="Финансовый 2 2 2 2 28 2 8 2 2" xfId="38405"/>
    <cellStyle name="Финансовый 2 2 2 2 28 2 8 3" xfId="10284"/>
    <cellStyle name="Финансовый 2 2 2 2 28 2 8 4" xfId="32599"/>
    <cellStyle name="Финансовый 2 2 2 2 28 2 9" xfId="2115"/>
    <cellStyle name="Финансовый 2 2 2 2 28 2 9 2" xfId="16286"/>
    <cellStyle name="Финансовый 2 2 2 2 28 2 9 2 2" xfId="38601"/>
    <cellStyle name="Финансовый 2 2 2 2 28 2 9 3" xfId="10480"/>
    <cellStyle name="Финансовый 2 2 2 2 28 2 9 4" xfId="32795"/>
    <cellStyle name="Финансовый 2 2 2 2 28 20" xfId="6093"/>
    <cellStyle name="Финансовый 2 2 2 2 28 20 2" xfId="18898"/>
    <cellStyle name="Финансовый 2 2 2 2 28 20 2 2" xfId="41213"/>
    <cellStyle name="Финансовый 2 2 2 2 28 20 3" xfId="13092"/>
    <cellStyle name="Финансовый 2 2 2 2 28 20 4" xfId="35407"/>
    <cellStyle name="Финансовый 2 2 2 2 28 21" xfId="6150"/>
    <cellStyle name="Финансовый 2 2 2 2 28 21 2" xfId="18932"/>
    <cellStyle name="Финансовый 2 2 2 2 28 21 2 2" xfId="41247"/>
    <cellStyle name="Финансовый 2 2 2 2 28 21 3" xfId="13126"/>
    <cellStyle name="Финансовый 2 2 2 2 28 21 4" xfId="35441"/>
    <cellStyle name="Финансовый 2 2 2 2 28 22" xfId="14653"/>
    <cellStyle name="Финансовый 2 2 2 2 28 22 2" xfId="36968"/>
    <cellStyle name="Финансовый 2 2 2 2 28 23" xfId="8847"/>
    <cellStyle name="Финансовый 2 2 2 2 28 24" xfId="31184"/>
    <cellStyle name="Финансовый 2 2 2 2 28 3" xfId="844"/>
    <cellStyle name="Финансовый 2 2 2 2 28 3 2" xfId="15184"/>
    <cellStyle name="Финансовый 2 2 2 2 28 3 2 2" xfId="37499"/>
    <cellStyle name="Финансовый 2 2 2 2 28 3 3" xfId="9378"/>
    <cellStyle name="Финансовый 2 2 2 2 28 3 4" xfId="31700"/>
    <cellStyle name="Финансовый 2 2 2 2 28 4" xfId="685"/>
    <cellStyle name="Финансовый 2 2 2 2 28 4 2" xfId="15064"/>
    <cellStyle name="Финансовый 2 2 2 2 28 4 2 2" xfId="37379"/>
    <cellStyle name="Финансовый 2 2 2 2 28 4 3" xfId="9258"/>
    <cellStyle name="Финансовый 2 2 2 2 28 4 4" xfId="31581"/>
    <cellStyle name="Финансовый 2 2 2 2 28 5" xfId="1060"/>
    <cellStyle name="Финансовый 2 2 2 2 28 5 2" xfId="15373"/>
    <cellStyle name="Финансовый 2 2 2 2 28 5 2 2" xfId="37688"/>
    <cellStyle name="Финансовый 2 2 2 2 28 5 3" xfId="9567"/>
    <cellStyle name="Финансовый 2 2 2 2 28 5 4" xfId="31886"/>
    <cellStyle name="Финансовый 2 2 2 2 28 6" xfId="1001"/>
    <cellStyle name="Финансовый 2 2 2 2 28 6 2" xfId="15314"/>
    <cellStyle name="Финансовый 2 2 2 2 28 6 2 2" xfId="37629"/>
    <cellStyle name="Финансовый 2 2 2 2 28 6 3" xfId="9508"/>
    <cellStyle name="Финансовый 2 2 2 2 28 6 4" xfId="31827"/>
    <cellStyle name="Финансовый 2 2 2 2 28 7" xfId="1253"/>
    <cellStyle name="Финансовый 2 2 2 2 28 7 2" xfId="15513"/>
    <cellStyle name="Финансовый 2 2 2 2 28 7 2 2" xfId="37828"/>
    <cellStyle name="Финансовый 2 2 2 2 28 7 3" xfId="9707"/>
    <cellStyle name="Финансовый 2 2 2 2 28 7 4" xfId="32022"/>
    <cellStyle name="Финансовый 2 2 2 2 28 8" xfId="1640"/>
    <cellStyle name="Финансовый 2 2 2 2 28 8 2" xfId="15873"/>
    <cellStyle name="Финансовый 2 2 2 2 28 8 2 2" xfId="38188"/>
    <cellStyle name="Финансовый 2 2 2 2 28 8 3" xfId="10067"/>
    <cellStyle name="Финансовый 2 2 2 2 28 8 4" xfId="32382"/>
    <cellStyle name="Финансовый 2 2 2 2 28 9" xfId="1647"/>
    <cellStyle name="Финансовый 2 2 2 2 28 9 2" xfId="15878"/>
    <cellStyle name="Финансовый 2 2 2 2 28 9 2 2" xfId="38193"/>
    <cellStyle name="Финансовый 2 2 2 2 28 9 3" xfId="10072"/>
    <cellStyle name="Финансовый 2 2 2 2 28 9 4" xfId="32387"/>
    <cellStyle name="Финансовый 2 2 2 2 29" xfId="158"/>
    <cellStyle name="Финансовый 2 2 2 2 29 10" xfId="2086"/>
    <cellStyle name="Финансовый 2 2 2 2 29 10 2" xfId="16260"/>
    <cellStyle name="Финансовый 2 2 2 2 29 10 2 2" xfId="38575"/>
    <cellStyle name="Финансовый 2 2 2 2 29 10 3" xfId="10454"/>
    <cellStyle name="Финансовый 2 2 2 2 29 10 4" xfId="32769"/>
    <cellStyle name="Финансовый 2 2 2 2 29 11" xfId="2321"/>
    <cellStyle name="Финансовый 2 2 2 2 29 11 2" xfId="16453"/>
    <cellStyle name="Финансовый 2 2 2 2 29 11 2 2" xfId="38768"/>
    <cellStyle name="Финансовый 2 2 2 2 29 11 3" xfId="10647"/>
    <cellStyle name="Финансовый 2 2 2 2 29 11 4" xfId="32962"/>
    <cellStyle name="Финансовый 2 2 2 2 29 12" xfId="2553"/>
    <cellStyle name="Финансовый 2 2 2 2 29 12 2" xfId="16643"/>
    <cellStyle name="Финансовый 2 2 2 2 29 12 2 2" xfId="38958"/>
    <cellStyle name="Финансовый 2 2 2 2 29 12 3" xfId="10837"/>
    <cellStyle name="Финансовый 2 2 2 2 29 12 4" xfId="33152"/>
    <cellStyle name="Финансовый 2 2 2 2 29 13" xfId="2778"/>
    <cellStyle name="Финансовый 2 2 2 2 29 13 2" xfId="16827"/>
    <cellStyle name="Финансовый 2 2 2 2 29 13 2 2" xfId="39142"/>
    <cellStyle name="Финансовый 2 2 2 2 29 13 3" xfId="11021"/>
    <cellStyle name="Финансовый 2 2 2 2 29 13 4" xfId="33336"/>
    <cellStyle name="Финансовый 2 2 2 2 29 14" xfId="2994"/>
    <cellStyle name="Финансовый 2 2 2 2 29 14 2" xfId="17003"/>
    <cellStyle name="Финансовый 2 2 2 2 29 14 2 2" xfId="39318"/>
    <cellStyle name="Финансовый 2 2 2 2 29 14 3" xfId="11197"/>
    <cellStyle name="Финансовый 2 2 2 2 29 14 4" xfId="33512"/>
    <cellStyle name="Финансовый 2 2 2 2 29 15" xfId="3200"/>
    <cellStyle name="Финансовый 2 2 2 2 29 15 2" xfId="17170"/>
    <cellStyle name="Финансовый 2 2 2 2 29 15 2 2" xfId="39485"/>
    <cellStyle name="Финансовый 2 2 2 2 29 15 3" xfId="11364"/>
    <cellStyle name="Финансовый 2 2 2 2 29 15 4" xfId="33679"/>
    <cellStyle name="Финансовый 2 2 2 2 29 16" xfId="3388"/>
    <cellStyle name="Финансовый 2 2 2 2 29 16 2" xfId="17319"/>
    <cellStyle name="Финансовый 2 2 2 2 29 16 2 2" xfId="39634"/>
    <cellStyle name="Финансовый 2 2 2 2 29 16 3" xfId="11513"/>
    <cellStyle name="Финансовый 2 2 2 2 29 16 4" xfId="33828"/>
    <cellStyle name="Финансовый 2 2 2 2 29 17" xfId="3565"/>
    <cellStyle name="Финансовый 2 2 2 2 29 17 2" xfId="17458"/>
    <cellStyle name="Финансовый 2 2 2 2 29 17 2 2" xfId="39773"/>
    <cellStyle name="Финансовый 2 2 2 2 29 17 3" xfId="11652"/>
    <cellStyle name="Финансовый 2 2 2 2 29 17 4" xfId="33967"/>
    <cellStyle name="Финансовый 2 2 2 2 29 18" xfId="3724"/>
    <cellStyle name="Финансовый 2 2 2 2 29 18 2" xfId="17579"/>
    <cellStyle name="Финансовый 2 2 2 2 29 18 2 2" xfId="39894"/>
    <cellStyle name="Финансовый 2 2 2 2 29 18 3" xfId="11773"/>
    <cellStyle name="Финансовый 2 2 2 2 29 18 4" xfId="34088"/>
    <cellStyle name="Финансовый 2 2 2 2 29 19" xfId="7872"/>
    <cellStyle name="Финансовый 2 2 2 2 29 19 2" xfId="19864"/>
    <cellStyle name="Финансовый 2 2 2 2 29 19 2 2" xfId="42179"/>
    <cellStyle name="Финансовый 2 2 2 2 29 19 3" xfId="14058"/>
    <cellStyle name="Финансовый 2 2 2 2 29 19 4" xfId="36373"/>
    <cellStyle name="Финансовый 2 2 2 2 29 2" xfId="500"/>
    <cellStyle name="Финансовый 2 2 2 2 29 2 10" xfId="518"/>
    <cellStyle name="Финансовый 2 2 2 2 29 2 10 2" xfId="14920"/>
    <cellStyle name="Финансовый 2 2 2 2 29 2 10 2 2" xfId="37235"/>
    <cellStyle name="Финансовый 2 2 2 2 29 2 10 3" xfId="9114"/>
    <cellStyle name="Финансовый 2 2 2 2 29 2 10 4" xfId="31447"/>
    <cellStyle name="Финансовый 2 2 2 2 29 2 11" xfId="1547"/>
    <cellStyle name="Финансовый 2 2 2 2 29 2 11 2" xfId="15787"/>
    <cellStyle name="Финансовый 2 2 2 2 29 2 11 2 2" xfId="38102"/>
    <cellStyle name="Финансовый 2 2 2 2 29 2 11 3" xfId="9981"/>
    <cellStyle name="Финансовый 2 2 2 2 29 2 11 4" xfId="32296"/>
    <cellStyle name="Финансовый 2 2 2 2 29 2 12" xfId="1686"/>
    <cellStyle name="Финансовый 2 2 2 2 29 2 12 2" xfId="15915"/>
    <cellStyle name="Финансовый 2 2 2 2 29 2 12 2 2" xfId="38230"/>
    <cellStyle name="Финансовый 2 2 2 2 29 2 12 3" xfId="10109"/>
    <cellStyle name="Финансовый 2 2 2 2 29 2 12 4" xfId="32424"/>
    <cellStyle name="Финансовый 2 2 2 2 29 2 13" xfId="1751"/>
    <cellStyle name="Финансовый 2 2 2 2 29 2 13 2" xfId="15974"/>
    <cellStyle name="Финансовый 2 2 2 2 29 2 13 2 2" xfId="38289"/>
    <cellStyle name="Финансовый 2 2 2 2 29 2 13 3" xfId="10168"/>
    <cellStyle name="Финансовый 2 2 2 2 29 2 13 4" xfId="32483"/>
    <cellStyle name="Финансовый 2 2 2 2 29 2 14" xfId="1989"/>
    <cellStyle name="Финансовый 2 2 2 2 29 2 14 2" xfId="16170"/>
    <cellStyle name="Финансовый 2 2 2 2 29 2 14 2 2" xfId="38485"/>
    <cellStyle name="Финансовый 2 2 2 2 29 2 14 3" xfId="10364"/>
    <cellStyle name="Финансовый 2 2 2 2 29 2 14 4" xfId="32679"/>
    <cellStyle name="Финансовый 2 2 2 2 29 2 15" xfId="4167"/>
    <cellStyle name="Финансовый 2 2 2 2 29 2 15 2" xfId="17846"/>
    <cellStyle name="Финансовый 2 2 2 2 29 2 15 2 2" xfId="40161"/>
    <cellStyle name="Финансовый 2 2 2 2 29 2 15 3" xfId="12040"/>
    <cellStyle name="Финансовый 2 2 2 2 29 2 15 4" xfId="34355"/>
    <cellStyle name="Финансовый 2 2 2 2 29 2 16" xfId="8222"/>
    <cellStyle name="Финансовый 2 2 2 2 29 2 16 2" xfId="20067"/>
    <cellStyle name="Финансовый 2 2 2 2 29 2 16 2 2" xfId="42382"/>
    <cellStyle name="Финансовый 2 2 2 2 29 2 16 3" xfId="14261"/>
    <cellStyle name="Финансовый 2 2 2 2 29 2 16 4" xfId="36576"/>
    <cellStyle name="Финансовый 2 2 2 2 29 2 17" xfId="4457"/>
    <cellStyle name="Финансовый 2 2 2 2 29 2 17 2" xfId="18017"/>
    <cellStyle name="Финансовый 2 2 2 2 29 2 17 2 2" xfId="40332"/>
    <cellStyle name="Финансовый 2 2 2 2 29 2 17 3" xfId="12211"/>
    <cellStyle name="Финансовый 2 2 2 2 29 2 17 4" xfId="34526"/>
    <cellStyle name="Финансовый 2 2 2 2 29 2 18" xfId="14902"/>
    <cellStyle name="Финансовый 2 2 2 2 29 2 18 2" xfId="37217"/>
    <cellStyle name="Финансовый 2 2 2 2 29 2 19" xfId="9096"/>
    <cellStyle name="Финансовый 2 2 2 2 29 2 2" xfId="723"/>
    <cellStyle name="Финансовый 2 2 2 2 29 2 2 2" xfId="15102"/>
    <cellStyle name="Финансовый 2 2 2 2 29 2 2 2 2" xfId="37417"/>
    <cellStyle name="Финансовый 2 2 2 2 29 2 2 3" xfId="9296"/>
    <cellStyle name="Финансовый 2 2 2 2 29 2 2 4" xfId="31619"/>
    <cellStyle name="Финансовый 2 2 2 2 29 2 20" xfId="31429"/>
    <cellStyle name="Финансовый 2 2 2 2 29 2 3" xfId="1475"/>
    <cellStyle name="Финансовый 2 2 2 2 29 2 3 2" xfId="15717"/>
    <cellStyle name="Финансовый 2 2 2 2 29 2 3 2 2" xfId="38032"/>
    <cellStyle name="Финансовый 2 2 2 2 29 2 3 3" xfId="9911"/>
    <cellStyle name="Финансовый 2 2 2 2 29 2 3 4" xfId="32226"/>
    <cellStyle name="Финансовый 2 2 2 2 29 2 4" xfId="1636"/>
    <cellStyle name="Финансовый 2 2 2 2 29 2 4 2" xfId="15869"/>
    <cellStyle name="Финансовый 2 2 2 2 29 2 4 2 2" xfId="38184"/>
    <cellStyle name="Финансовый 2 2 2 2 29 2 4 3" xfId="10063"/>
    <cellStyle name="Финансовый 2 2 2 2 29 2 4 4" xfId="32378"/>
    <cellStyle name="Финансовый 2 2 2 2 29 2 5" xfId="1479"/>
    <cellStyle name="Финансовый 2 2 2 2 29 2 5 2" xfId="15721"/>
    <cellStyle name="Финансовый 2 2 2 2 29 2 5 2 2" xfId="38036"/>
    <cellStyle name="Финансовый 2 2 2 2 29 2 5 3" xfId="9915"/>
    <cellStyle name="Финансовый 2 2 2 2 29 2 5 4" xfId="32230"/>
    <cellStyle name="Финансовый 2 2 2 2 29 2 6" xfId="1382"/>
    <cellStyle name="Финансовый 2 2 2 2 29 2 6 2" xfId="15629"/>
    <cellStyle name="Финансовый 2 2 2 2 29 2 6 2 2" xfId="37944"/>
    <cellStyle name="Финансовый 2 2 2 2 29 2 6 3" xfId="9823"/>
    <cellStyle name="Финансовый 2 2 2 2 29 2 6 4" xfId="32138"/>
    <cellStyle name="Финансовый 2 2 2 2 29 2 7" xfId="1257"/>
    <cellStyle name="Финансовый 2 2 2 2 29 2 7 2" xfId="15517"/>
    <cellStyle name="Финансовый 2 2 2 2 29 2 7 2 2" xfId="37832"/>
    <cellStyle name="Финансовый 2 2 2 2 29 2 7 3" xfId="9711"/>
    <cellStyle name="Финансовый 2 2 2 2 29 2 7 4" xfId="32026"/>
    <cellStyle name="Финансовый 2 2 2 2 29 2 8" xfId="1671"/>
    <cellStyle name="Финансовый 2 2 2 2 29 2 8 2" xfId="15900"/>
    <cellStyle name="Финансовый 2 2 2 2 29 2 8 2 2" xfId="38215"/>
    <cellStyle name="Финансовый 2 2 2 2 29 2 8 3" xfId="10094"/>
    <cellStyle name="Финансовый 2 2 2 2 29 2 8 4" xfId="32409"/>
    <cellStyle name="Финансовый 2 2 2 2 29 2 9" xfId="542"/>
    <cellStyle name="Финансовый 2 2 2 2 29 2 9 2" xfId="14943"/>
    <cellStyle name="Финансовый 2 2 2 2 29 2 9 2 2" xfId="37258"/>
    <cellStyle name="Финансовый 2 2 2 2 29 2 9 3" xfId="9137"/>
    <cellStyle name="Финансовый 2 2 2 2 29 2 9 4" xfId="31470"/>
    <cellStyle name="Финансовый 2 2 2 2 29 20" xfId="7420"/>
    <cellStyle name="Финансовый 2 2 2 2 29 20 2" xfId="19616"/>
    <cellStyle name="Финансовый 2 2 2 2 29 20 2 2" xfId="41931"/>
    <cellStyle name="Финансовый 2 2 2 2 29 20 3" xfId="13810"/>
    <cellStyle name="Финансовый 2 2 2 2 29 20 4" xfId="36125"/>
    <cellStyle name="Финансовый 2 2 2 2 29 21" xfId="4061"/>
    <cellStyle name="Финансовый 2 2 2 2 29 21 2" xfId="17790"/>
    <cellStyle name="Финансовый 2 2 2 2 29 21 2 2" xfId="40105"/>
    <cellStyle name="Финансовый 2 2 2 2 29 21 3" xfId="11984"/>
    <cellStyle name="Финансовый 2 2 2 2 29 21 4" xfId="34299"/>
    <cellStyle name="Финансовый 2 2 2 2 29 22" xfId="14656"/>
    <cellStyle name="Финансовый 2 2 2 2 29 22 2" xfId="36971"/>
    <cellStyle name="Финансовый 2 2 2 2 29 23" xfId="8850"/>
    <cellStyle name="Финансовый 2 2 2 2 29 24" xfId="31186"/>
    <cellStyle name="Финансовый 2 2 2 2 29 3" xfId="847"/>
    <cellStyle name="Финансовый 2 2 2 2 29 3 2" xfId="15187"/>
    <cellStyle name="Финансовый 2 2 2 2 29 3 2 2" xfId="37502"/>
    <cellStyle name="Финансовый 2 2 2 2 29 3 3" xfId="9381"/>
    <cellStyle name="Финансовый 2 2 2 2 29 3 4" xfId="31703"/>
    <cellStyle name="Финансовый 2 2 2 2 29 4" xfId="624"/>
    <cellStyle name="Финансовый 2 2 2 2 29 4 2" xfId="15003"/>
    <cellStyle name="Финансовый 2 2 2 2 29 4 2 2" xfId="37318"/>
    <cellStyle name="Финансовый 2 2 2 2 29 4 3" xfId="9197"/>
    <cellStyle name="Финансовый 2 2 2 2 29 4 4" xfId="31521"/>
    <cellStyle name="Финансовый 2 2 2 2 29 5" xfId="1063"/>
    <cellStyle name="Финансовый 2 2 2 2 29 5 2" xfId="15376"/>
    <cellStyle name="Финансовый 2 2 2 2 29 5 2 2" xfId="37691"/>
    <cellStyle name="Финансовый 2 2 2 2 29 5 3" xfId="9570"/>
    <cellStyle name="Финансовый 2 2 2 2 29 5 4" xfId="31889"/>
    <cellStyle name="Финансовый 2 2 2 2 29 6" xfId="985"/>
    <cellStyle name="Финансовый 2 2 2 2 29 6 2" xfId="15298"/>
    <cellStyle name="Финансовый 2 2 2 2 29 6 2 2" xfId="37613"/>
    <cellStyle name="Финансовый 2 2 2 2 29 6 3" xfId="9492"/>
    <cellStyle name="Финансовый 2 2 2 2 29 6 4" xfId="31811"/>
    <cellStyle name="Финансовый 2 2 2 2 29 7" xfId="1258"/>
    <cellStyle name="Финансовый 2 2 2 2 29 7 2" xfId="15518"/>
    <cellStyle name="Финансовый 2 2 2 2 29 7 2 2" xfId="37833"/>
    <cellStyle name="Финансовый 2 2 2 2 29 7 3" xfId="9712"/>
    <cellStyle name="Финансовый 2 2 2 2 29 7 4" xfId="32027"/>
    <cellStyle name="Финансовый 2 2 2 2 29 8" xfId="1615"/>
    <cellStyle name="Финансовый 2 2 2 2 29 8 2" xfId="15849"/>
    <cellStyle name="Финансовый 2 2 2 2 29 8 2 2" xfId="38164"/>
    <cellStyle name="Финансовый 2 2 2 2 29 8 3" xfId="10043"/>
    <cellStyle name="Финансовый 2 2 2 2 29 8 4" xfId="32358"/>
    <cellStyle name="Финансовый 2 2 2 2 29 9" xfId="1848"/>
    <cellStyle name="Финансовый 2 2 2 2 29 9 2" xfId="16064"/>
    <cellStyle name="Финансовый 2 2 2 2 29 9 2 2" xfId="38379"/>
    <cellStyle name="Финансовый 2 2 2 2 29 9 3" xfId="10258"/>
    <cellStyle name="Финансовый 2 2 2 2 29 9 4" xfId="32573"/>
    <cellStyle name="Финансовый 2 2 2 2 3" xfId="28"/>
    <cellStyle name="Финансовый 2 2 2 2 3 10" xfId="1491"/>
    <cellStyle name="Финансовый 2 2 2 2 3 10 2" xfId="15733"/>
    <cellStyle name="Финансовый 2 2 2 2 3 10 2 2" xfId="38048"/>
    <cellStyle name="Финансовый 2 2 2 2 3 10 3" xfId="9927"/>
    <cellStyle name="Финансовый 2 2 2 2 3 10 4" xfId="32242"/>
    <cellStyle name="Финансовый 2 2 2 2 3 11" xfId="1740"/>
    <cellStyle name="Финансовый 2 2 2 2 3 11 2" xfId="15963"/>
    <cellStyle name="Финансовый 2 2 2 2 3 11 2 2" xfId="38278"/>
    <cellStyle name="Финансовый 2 2 2 2 3 11 3" xfId="10157"/>
    <cellStyle name="Финансовый 2 2 2 2 3 11 4" xfId="32472"/>
    <cellStyle name="Финансовый 2 2 2 2 3 12" xfId="1978"/>
    <cellStyle name="Финансовый 2 2 2 2 3 12 2" xfId="16159"/>
    <cellStyle name="Финансовый 2 2 2 2 3 12 2 2" xfId="38474"/>
    <cellStyle name="Финансовый 2 2 2 2 3 12 3" xfId="10353"/>
    <cellStyle name="Финансовый 2 2 2 2 3 12 4" xfId="32668"/>
    <cellStyle name="Финансовый 2 2 2 2 3 13" xfId="2215"/>
    <cellStyle name="Финансовый 2 2 2 2 3 13 2" xfId="16354"/>
    <cellStyle name="Финансовый 2 2 2 2 3 13 2 2" xfId="38669"/>
    <cellStyle name="Финансовый 2 2 2 2 3 13 3" xfId="10548"/>
    <cellStyle name="Финансовый 2 2 2 2 3 13 4" xfId="32863"/>
    <cellStyle name="Финансовый 2 2 2 2 3 14" xfId="2450"/>
    <cellStyle name="Финансовый 2 2 2 2 3 14 2" xfId="16547"/>
    <cellStyle name="Финансовый 2 2 2 2 3 14 2 2" xfId="38862"/>
    <cellStyle name="Финансовый 2 2 2 2 3 14 3" xfId="10741"/>
    <cellStyle name="Финансовый 2 2 2 2 3 14 4" xfId="33056"/>
    <cellStyle name="Финансовый 2 2 2 2 3 15" xfId="2682"/>
    <cellStyle name="Финансовый 2 2 2 2 3 15 2" xfId="16737"/>
    <cellStyle name="Финансовый 2 2 2 2 3 15 2 2" xfId="39052"/>
    <cellStyle name="Финансовый 2 2 2 2 3 15 3" xfId="10931"/>
    <cellStyle name="Финансовый 2 2 2 2 3 15 4" xfId="33246"/>
    <cellStyle name="Финансовый 2 2 2 2 3 16" xfId="2903"/>
    <cellStyle name="Финансовый 2 2 2 2 3 16 2" xfId="16918"/>
    <cellStyle name="Финансовый 2 2 2 2 3 16 2 2" xfId="39233"/>
    <cellStyle name="Финансовый 2 2 2 2 3 16 3" xfId="11112"/>
    <cellStyle name="Финансовый 2 2 2 2 3 16 4" xfId="33427"/>
    <cellStyle name="Финансовый 2 2 2 2 3 17" xfId="3114"/>
    <cellStyle name="Финансовый 2 2 2 2 3 17 2" xfId="17090"/>
    <cellStyle name="Финансовый 2 2 2 2 3 17 2 2" xfId="39405"/>
    <cellStyle name="Финансовый 2 2 2 2 3 17 3" xfId="11284"/>
    <cellStyle name="Финансовый 2 2 2 2 3 17 4" xfId="33599"/>
    <cellStyle name="Финансовый 2 2 2 2 3 18" xfId="3313"/>
    <cellStyle name="Финансовый 2 2 2 2 3 18 2" xfId="17250"/>
    <cellStyle name="Финансовый 2 2 2 2 3 18 2 2" xfId="39565"/>
    <cellStyle name="Финансовый 2 2 2 2 3 18 3" xfId="11444"/>
    <cellStyle name="Финансовый 2 2 2 2 3 18 4" xfId="33759"/>
    <cellStyle name="Финансовый 2 2 2 2 3 19" xfId="7194"/>
    <cellStyle name="Финансовый 2 2 2 2 3 19 2" xfId="19496"/>
    <cellStyle name="Финансовый 2 2 2 2 3 19 2 2" xfId="41811"/>
    <cellStyle name="Финансовый 2 2 2 2 3 19 3" xfId="13690"/>
    <cellStyle name="Финансовый 2 2 2 2 3 19 4" xfId="36005"/>
    <cellStyle name="Финансовый 2 2 2 2 3 2" xfId="373"/>
    <cellStyle name="Финансовый 2 2 2 2 3 2 10" xfId="3016"/>
    <cellStyle name="Финансовый 2 2 2 2 3 2 10 2" xfId="17023"/>
    <cellStyle name="Финансовый 2 2 2 2 3 2 10 2 2" xfId="39338"/>
    <cellStyle name="Финансовый 2 2 2 2 3 2 10 3" xfId="11217"/>
    <cellStyle name="Финансовый 2 2 2 2 3 2 10 4" xfId="33532"/>
    <cellStyle name="Финансовый 2 2 2 2 3 2 11" xfId="3220"/>
    <cellStyle name="Финансовый 2 2 2 2 3 2 11 2" xfId="17188"/>
    <cellStyle name="Финансовый 2 2 2 2 3 2 11 2 2" xfId="39503"/>
    <cellStyle name="Финансовый 2 2 2 2 3 2 11 3" xfId="11382"/>
    <cellStyle name="Финансовый 2 2 2 2 3 2 11 4" xfId="33697"/>
    <cellStyle name="Финансовый 2 2 2 2 3 2 12" xfId="3408"/>
    <cellStyle name="Финансовый 2 2 2 2 3 2 12 2" xfId="17337"/>
    <cellStyle name="Финансовый 2 2 2 2 3 2 12 2 2" xfId="39652"/>
    <cellStyle name="Финансовый 2 2 2 2 3 2 12 3" xfId="11531"/>
    <cellStyle name="Финансовый 2 2 2 2 3 2 12 4" xfId="33846"/>
    <cellStyle name="Финансовый 2 2 2 2 3 2 13" xfId="3581"/>
    <cellStyle name="Финансовый 2 2 2 2 3 2 13 2" xfId="17472"/>
    <cellStyle name="Финансовый 2 2 2 2 3 2 13 2 2" xfId="39787"/>
    <cellStyle name="Финансовый 2 2 2 2 3 2 13 3" xfId="11666"/>
    <cellStyle name="Финансовый 2 2 2 2 3 2 13 4" xfId="33981"/>
    <cellStyle name="Финансовый 2 2 2 2 3 2 14" xfId="3739"/>
    <cellStyle name="Финансовый 2 2 2 2 3 2 14 2" xfId="17592"/>
    <cellStyle name="Финансовый 2 2 2 2 3 2 14 2 2" xfId="39907"/>
    <cellStyle name="Финансовый 2 2 2 2 3 2 14 3" xfId="11786"/>
    <cellStyle name="Финансовый 2 2 2 2 3 2 14 4" xfId="34101"/>
    <cellStyle name="Финансовый 2 2 2 2 3 2 15" xfId="7894"/>
    <cellStyle name="Финансовый 2 2 2 2 3 2 15 2" xfId="19879"/>
    <cellStyle name="Финансовый 2 2 2 2 3 2 15 2 2" xfId="42194"/>
    <cellStyle name="Финансовый 2 2 2 2 3 2 15 3" xfId="14073"/>
    <cellStyle name="Финансовый 2 2 2 2 3 2 15 4" xfId="36388"/>
    <cellStyle name="Финансовый 2 2 2 2 3 2 16" xfId="4081"/>
    <cellStyle name="Финансовый 2 2 2 2 3 2 16 2" xfId="17801"/>
    <cellStyle name="Финансовый 2 2 2 2 3 2 16 2 2" xfId="40116"/>
    <cellStyle name="Финансовый 2 2 2 2 3 2 16 3" xfId="11995"/>
    <cellStyle name="Финансовый 2 2 2 2 3 2 16 4" xfId="34310"/>
    <cellStyle name="Финансовый 2 2 2 2 3 2 17" xfId="8618"/>
    <cellStyle name="Финансовый 2 2 2 2 3 2 17 2" xfId="20295"/>
    <cellStyle name="Финансовый 2 2 2 2 3 2 17 2 2" xfId="42610"/>
    <cellStyle name="Финансовый 2 2 2 2 3 2 17 3" xfId="14489"/>
    <cellStyle name="Финансовый 2 2 2 2 3 2 17 4" xfId="36804"/>
    <cellStyle name="Финансовый 2 2 2 2 3 2 18" xfId="14776"/>
    <cellStyle name="Финансовый 2 2 2 2 3 2 18 2" xfId="37091"/>
    <cellStyle name="Финансовый 2 2 2 2 3 2 19" xfId="8970"/>
    <cellStyle name="Финансовый 2 2 2 2 3 2 2" xfId="622"/>
    <cellStyle name="Финансовый 2 2 2 2 3 2 2 2" xfId="15001"/>
    <cellStyle name="Финансовый 2 2 2 2 3 2 2 2 2" xfId="37316"/>
    <cellStyle name="Финансовый 2 2 2 2 3 2 2 3" xfId="9195"/>
    <cellStyle name="Финансовый 2 2 2 2 3 2 2 4" xfId="31519"/>
    <cellStyle name="Финансовый 2 2 2 2 3 2 20" xfId="31303"/>
    <cellStyle name="Финансовый 2 2 2 2 3 2 3" xfId="1380"/>
    <cellStyle name="Финансовый 2 2 2 2 3 2 3 2" xfId="15627"/>
    <cellStyle name="Финансовый 2 2 2 2 3 2 3 2 2" xfId="37942"/>
    <cellStyle name="Финансовый 2 2 2 2 3 2 3 3" xfId="9821"/>
    <cellStyle name="Финансовый 2 2 2 2 3 2 3 4" xfId="32136"/>
    <cellStyle name="Финансовый 2 2 2 2 3 2 4" xfId="1267"/>
    <cellStyle name="Финансовый 2 2 2 2 3 2 4 2" xfId="15527"/>
    <cellStyle name="Финансовый 2 2 2 2 3 2 4 2 2" xfId="37842"/>
    <cellStyle name="Финансовый 2 2 2 2 3 2 4 3" xfId="9721"/>
    <cellStyle name="Финансовый 2 2 2 2 3 2 4 4" xfId="32036"/>
    <cellStyle name="Финансовый 2 2 2 2 3 2 5" xfId="1873"/>
    <cellStyle name="Финансовый 2 2 2 2 3 2 5 2" xfId="16086"/>
    <cellStyle name="Финансовый 2 2 2 2 3 2 5 2 2" xfId="38401"/>
    <cellStyle name="Финансовый 2 2 2 2 3 2 5 3" xfId="10280"/>
    <cellStyle name="Финансовый 2 2 2 2 3 2 5 4" xfId="32595"/>
    <cellStyle name="Финансовый 2 2 2 2 3 2 6" xfId="2111"/>
    <cellStyle name="Финансовый 2 2 2 2 3 2 6 2" xfId="16282"/>
    <cellStyle name="Финансовый 2 2 2 2 3 2 6 2 2" xfId="38597"/>
    <cellStyle name="Финансовый 2 2 2 2 3 2 6 3" xfId="10476"/>
    <cellStyle name="Финансовый 2 2 2 2 3 2 6 4" xfId="32791"/>
    <cellStyle name="Финансовый 2 2 2 2 3 2 7" xfId="2346"/>
    <cellStyle name="Финансовый 2 2 2 2 3 2 7 2" xfId="16475"/>
    <cellStyle name="Финансовый 2 2 2 2 3 2 7 2 2" xfId="38790"/>
    <cellStyle name="Финансовый 2 2 2 2 3 2 7 3" xfId="10669"/>
    <cellStyle name="Финансовый 2 2 2 2 3 2 7 4" xfId="32984"/>
    <cellStyle name="Финансовый 2 2 2 2 3 2 8" xfId="2578"/>
    <cellStyle name="Финансовый 2 2 2 2 3 2 8 2" xfId="16665"/>
    <cellStyle name="Финансовый 2 2 2 2 3 2 8 2 2" xfId="38980"/>
    <cellStyle name="Финансовый 2 2 2 2 3 2 8 3" xfId="10859"/>
    <cellStyle name="Финансовый 2 2 2 2 3 2 8 4" xfId="33174"/>
    <cellStyle name="Финансовый 2 2 2 2 3 2 9" xfId="2801"/>
    <cellStyle name="Финансовый 2 2 2 2 3 2 9 2" xfId="16848"/>
    <cellStyle name="Финансовый 2 2 2 2 3 2 9 2 2" xfId="39163"/>
    <cellStyle name="Финансовый 2 2 2 2 3 2 9 3" xfId="11042"/>
    <cellStyle name="Финансовый 2 2 2 2 3 2 9 4" xfId="33357"/>
    <cellStyle name="Финансовый 2 2 2 2 3 20" xfId="6676"/>
    <cellStyle name="Финансовый 2 2 2 2 3 20 2" xfId="19213"/>
    <cellStyle name="Финансовый 2 2 2 2 3 20 2 2" xfId="41528"/>
    <cellStyle name="Финансовый 2 2 2 2 3 20 3" xfId="13407"/>
    <cellStyle name="Финансовый 2 2 2 2 3 20 4" xfId="35722"/>
    <cellStyle name="Финансовый 2 2 2 2 3 21" xfId="7164"/>
    <cellStyle name="Финансовый 2 2 2 2 3 21 2" xfId="19477"/>
    <cellStyle name="Финансовый 2 2 2 2 3 21 2 2" xfId="41792"/>
    <cellStyle name="Финансовый 2 2 2 2 3 21 3" xfId="13671"/>
    <cellStyle name="Финансовый 2 2 2 2 3 21 4" xfId="35986"/>
    <cellStyle name="Финансовый 2 2 2 2 3 22" xfId="14572"/>
    <cellStyle name="Финансовый 2 2 2 2 3 22 2" xfId="36887"/>
    <cellStyle name="Финансовый 2 2 2 2 3 23" xfId="8766"/>
    <cellStyle name="Финансовый 2 2 2 2 3 24" xfId="31134"/>
    <cellStyle name="Финансовый 2 2 2 2 3 3" xfId="668"/>
    <cellStyle name="Финансовый 2 2 2 2 3 3 2" xfId="15047"/>
    <cellStyle name="Финансовый 2 2 2 2 3 3 2 2" xfId="37362"/>
    <cellStyle name="Финансовый 2 2 2 2 3 3 3" xfId="9241"/>
    <cellStyle name="Финансовый 2 2 2 2 3 3 4" xfId="31565"/>
    <cellStyle name="Финансовый 2 2 2 2 3 4" xfId="895"/>
    <cellStyle name="Финансовый 2 2 2 2 3 4 2" xfId="15226"/>
    <cellStyle name="Финансовый 2 2 2 2 3 4 2 2" xfId="37541"/>
    <cellStyle name="Финансовый 2 2 2 2 3 4 3" xfId="9420"/>
    <cellStyle name="Финансовый 2 2 2 2 3 4 4" xfId="31741"/>
    <cellStyle name="Финансовый 2 2 2 2 3 5" xfId="979"/>
    <cellStyle name="Финансовый 2 2 2 2 3 5 2" xfId="15292"/>
    <cellStyle name="Финансовый 2 2 2 2 3 5 2 2" xfId="37607"/>
    <cellStyle name="Финансовый 2 2 2 2 3 5 3" xfId="9486"/>
    <cellStyle name="Финансовый 2 2 2 2 3 5 4" xfId="31805"/>
    <cellStyle name="Финансовый 2 2 2 2 3 6" xfId="1111"/>
    <cellStyle name="Финансовый 2 2 2 2 3 6 2" xfId="15415"/>
    <cellStyle name="Финансовый 2 2 2 2 3 6 2 2" xfId="37730"/>
    <cellStyle name="Финансовый 2 2 2 2 3 6 3" xfId="9609"/>
    <cellStyle name="Финансовый 2 2 2 2 3 6 4" xfId="31927"/>
    <cellStyle name="Финансовый 2 2 2 2 3 7" xfId="463"/>
    <cellStyle name="Финансовый 2 2 2 2 3 7 2" xfId="14866"/>
    <cellStyle name="Финансовый 2 2 2 2 3 7 2 2" xfId="37181"/>
    <cellStyle name="Финансовый 2 2 2 2 3 7 3" xfId="9060"/>
    <cellStyle name="Финансовый 2 2 2 2 3 7 4" xfId="31393"/>
    <cellStyle name="Финансовый 2 2 2 2 3 8" xfId="1535"/>
    <cellStyle name="Финансовый 2 2 2 2 3 8 2" xfId="15775"/>
    <cellStyle name="Финансовый 2 2 2 2 3 8 2 2" xfId="38090"/>
    <cellStyle name="Финансовый 2 2 2 2 3 8 3" xfId="9969"/>
    <cellStyle name="Финансовый 2 2 2 2 3 8 4" xfId="32284"/>
    <cellStyle name="Финансовый 2 2 2 2 3 9" xfId="1695"/>
    <cellStyle name="Финансовый 2 2 2 2 3 9 2" xfId="15924"/>
    <cellStyle name="Финансовый 2 2 2 2 3 9 2 2" xfId="38239"/>
    <cellStyle name="Финансовый 2 2 2 2 3 9 3" xfId="10118"/>
    <cellStyle name="Финансовый 2 2 2 2 3 9 4" xfId="32433"/>
    <cellStyle name="Финансовый 2 2 2 2 30" xfId="163"/>
    <cellStyle name="Финансовый 2 2 2 2 30 10" xfId="2348"/>
    <cellStyle name="Финансовый 2 2 2 2 30 10 2" xfId="16477"/>
    <cellStyle name="Финансовый 2 2 2 2 30 10 2 2" xfId="38792"/>
    <cellStyle name="Финансовый 2 2 2 2 30 10 3" xfId="10671"/>
    <cellStyle name="Финансовый 2 2 2 2 30 10 4" xfId="32986"/>
    <cellStyle name="Финансовый 2 2 2 2 30 11" xfId="2580"/>
    <cellStyle name="Финансовый 2 2 2 2 30 11 2" xfId="16667"/>
    <cellStyle name="Финансовый 2 2 2 2 30 11 2 2" xfId="38982"/>
    <cellStyle name="Финансовый 2 2 2 2 30 11 3" xfId="10861"/>
    <cellStyle name="Финансовый 2 2 2 2 30 11 4" xfId="33176"/>
    <cellStyle name="Финансовый 2 2 2 2 30 12" xfId="2803"/>
    <cellStyle name="Финансовый 2 2 2 2 30 12 2" xfId="16850"/>
    <cellStyle name="Финансовый 2 2 2 2 30 12 2 2" xfId="39165"/>
    <cellStyle name="Финансовый 2 2 2 2 30 12 3" xfId="11044"/>
    <cellStyle name="Финансовый 2 2 2 2 30 12 4" xfId="33359"/>
    <cellStyle name="Финансовый 2 2 2 2 30 13" xfId="3018"/>
    <cellStyle name="Финансовый 2 2 2 2 30 13 2" xfId="17025"/>
    <cellStyle name="Финансовый 2 2 2 2 30 13 2 2" xfId="39340"/>
    <cellStyle name="Финансовый 2 2 2 2 30 13 3" xfId="11219"/>
    <cellStyle name="Финансовый 2 2 2 2 30 13 4" xfId="33534"/>
    <cellStyle name="Финансовый 2 2 2 2 30 14" xfId="3222"/>
    <cellStyle name="Финансовый 2 2 2 2 30 14 2" xfId="17190"/>
    <cellStyle name="Финансовый 2 2 2 2 30 14 2 2" xfId="39505"/>
    <cellStyle name="Финансовый 2 2 2 2 30 14 3" xfId="11384"/>
    <cellStyle name="Финансовый 2 2 2 2 30 14 4" xfId="33699"/>
    <cellStyle name="Финансовый 2 2 2 2 30 15" xfId="3410"/>
    <cellStyle name="Финансовый 2 2 2 2 30 15 2" xfId="17339"/>
    <cellStyle name="Финансовый 2 2 2 2 30 15 2 2" xfId="39654"/>
    <cellStyle name="Финансовый 2 2 2 2 30 15 3" xfId="11533"/>
    <cellStyle name="Финансовый 2 2 2 2 30 15 4" xfId="33848"/>
    <cellStyle name="Финансовый 2 2 2 2 30 16" xfId="3583"/>
    <cellStyle name="Финансовый 2 2 2 2 30 16 2" xfId="17474"/>
    <cellStyle name="Финансовый 2 2 2 2 30 16 2 2" xfId="39789"/>
    <cellStyle name="Финансовый 2 2 2 2 30 16 3" xfId="11668"/>
    <cellStyle name="Финансовый 2 2 2 2 30 16 4" xfId="33983"/>
    <cellStyle name="Финансовый 2 2 2 2 30 17" xfId="3741"/>
    <cellStyle name="Финансовый 2 2 2 2 30 17 2" xfId="17594"/>
    <cellStyle name="Финансовый 2 2 2 2 30 17 2 2" xfId="39909"/>
    <cellStyle name="Финансовый 2 2 2 2 30 17 3" xfId="11788"/>
    <cellStyle name="Финансовый 2 2 2 2 30 17 4" xfId="34103"/>
    <cellStyle name="Финансовый 2 2 2 2 30 18" xfId="3866"/>
    <cellStyle name="Финансовый 2 2 2 2 30 18 2" xfId="17686"/>
    <cellStyle name="Финансовый 2 2 2 2 30 18 2 2" xfId="40001"/>
    <cellStyle name="Финансовый 2 2 2 2 30 18 3" xfId="11880"/>
    <cellStyle name="Финансовый 2 2 2 2 30 18 4" xfId="34195"/>
    <cellStyle name="Финансовый 2 2 2 2 30 19" xfId="6366"/>
    <cellStyle name="Финансовый 2 2 2 2 30 19 2" xfId="19044"/>
    <cellStyle name="Финансовый 2 2 2 2 30 19 2 2" xfId="41359"/>
    <cellStyle name="Финансовый 2 2 2 2 30 19 3" xfId="13238"/>
    <cellStyle name="Финансовый 2 2 2 2 30 19 4" xfId="35553"/>
    <cellStyle name="Финансовый 2 2 2 2 30 2" xfId="505"/>
    <cellStyle name="Финансовый 2 2 2 2 30 2 10" xfId="2067"/>
    <cellStyle name="Финансовый 2 2 2 2 30 2 10 2" xfId="16242"/>
    <cellStyle name="Финансовый 2 2 2 2 30 2 10 2 2" xfId="38557"/>
    <cellStyle name="Финансовый 2 2 2 2 30 2 10 3" xfId="10436"/>
    <cellStyle name="Финансовый 2 2 2 2 30 2 10 4" xfId="32751"/>
    <cellStyle name="Финансовый 2 2 2 2 30 2 11" xfId="2302"/>
    <cellStyle name="Финансовый 2 2 2 2 30 2 11 2" xfId="16435"/>
    <cellStyle name="Финансовый 2 2 2 2 30 2 11 2 2" xfId="38750"/>
    <cellStyle name="Финансовый 2 2 2 2 30 2 11 3" xfId="10629"/>
    <cellStyle name="Финансовый 2 2 2 2 30 2 11 4" xfId="32944"/>
    <cellStyle name="Финансовый 2 2 2 2 30 2 12" xfId="2535"/>
    <cellStyle name="Финансовый 2 2 2 2 30 2 12 2" xfId="16626"/>
    <cellStyle name="Финансовый 2 2 2 2 30 2 12 2 2" xfId="38941"/>
    <cellStyle name="Финансовый 2 2 2 2 30 2 12 3" xfId="10820"/>
    <cellStyle name="Финансовый 2 2 2 2 30 2 12 4" xfId="33135"/>
    <cellStyle name="Финансовый 2 2 2 2 30 2 13" xfId="2761"/>
    <cellStyle name="Финансовый 2 2 2 2 30 2 13 2" xfId="16811"/>
    <cellStyle name="Финансовый 2 2 2 2 30 2 13 2 2" xfId="39126"/>
    <cellStyle name="Финансовый 2 2 2 2 30 2 13 3" xfId="11005"/>
    <cellStyle name="Финансовый 2 2 2 2 30 2 13 4" xfId="33320"/>
    <cellStyle name="Финансовый 2 2 2 2 30 2 14" xfId="2979"/>
    <cellStyle name="Финансовый 2 2 2 2 30 2 14 2" xfId="16989"/>
    <cellStyle name="Финансовый 2 2 2 2 30 2 14 2 2" xfId="39304"/>
    <cellStyle name="Финансовый 2 2 2 2 30 2 14 3" xfId="11183"/>
    <cellStyle name="Финансовый 2 2 2 2 30 2 14 4" xfId="33498"/>
    <cellStyle name="Финансовый 2 2 2 2 30 2 15" xfId="7530"/>
    <cellStyle name="Финансовый 2 2 2 2 30 2 15 2" xfId="19676"/>
    <cellStyle name="Финансовый 2 2 2 2 30 2 15 2 2" xfId="41991"/>
    <cellStyle name="Финансовый 2 2 2 2 30 2 15 3" xfId="13870"/>
    <cellStyle name="Финансовый 2 2 2 2 30 2 15 4" xfId="36185"/>
    <cellStyle name="Финансовый 2 2 2 2 30 2 16" xfId="7867"/>
    <cellStyle name="Финансовый 2 2 2 2 30 2 16 2" xfId="19861"/>
    <cellStyle name="Финансовый 2 2 2 2 30 2 16 2 2" xfId="42176"/>
    <cellStyle name="Финансовый 2 2 2 2 30 2 16 3" xfId="14055"/>
    <cellStyle name="Финансовый 2 2 2 2 30 2 16 4" xfId="36370"/>
    <cellStyle name="Финансовый 2 2 2 2 30 2 17" xfId="7050"/>
    <cellStyle name="Финансовый 2 2 2 2 30 2 17 2" xfId="19415"/>
    <cellStyle name="Финансовый 2 2 2 2 30 2 17 2 2" xfId="41730"/>
    <cellStyle name="Финансовый 2 2 2 2 30 2 17 3" xfId="13609"/>
    <cellStyle name="Финансовый 2 2 2 2 30 2 17 4" xfId="35924"/>
    <cellStyle name="Финансовый 2 2 2 2 30 2 18" xfId="14907"/>
    <cellStyle name="Финансовый 2 2 2 2 30 2 18 2" xfId="37222"/>
    <cellStyle name="Финансовый 2 2 2 2 30 2 19" xfId="9101"/>
    <cellStyle name="Финансовый 2 2 2 2 30 2 2" xfId="728"/>
    <cellStyle name="Финансовый 2 2 2 2 30 2 2 2" xfId="15106"/>
    <cellStyle name="Финансовый 2 2 2 2 30 2 2 2 2" xfId="37421"/>
    <cellStyle name="Финансовый 2 2 2 2 30 2 2 3" xfId="9300"/>
    <cellStyle name="Финансовый 2 2 2 2 30 2 2 4" xfId="31623"/>
    <cellStyle name="Финансовый 2 2 2 2 30 2 20" xfId="31434"/>
    <cellStyle name="Финансовый 2 2 2 2 30 2 3" xfId="1480"/>
    <cellStyle name="Финансовый 2 2 2 2 30 2 3 2" xfId="15722"/>
    <cellStyle name="Финансовый 2 2 2 2 30 2 3 2 2" xfId="38037"/>
    <cellStyle name="Финансовый 2 2 2 2 30 2 3 3" xfId="9916"/>
    <cellStyle name="Финансовый 2 2 2 2 30 2 3 4" xfId="32231"/>
    <cellStyle name="Финансовый 2 2 2 2 30 2 4" xfId="1593"/>
    <cellStyle name="Финансовый 2 2 2 2 30 2 4 2" xfId="15830"/>
    <cellStyle name="Финансовый 2 2 2 2 30 2 4 2 2" xfId="38145"/>
    <cellStyle name="Финансовый 2 2 2 2 30 2 4 3" xfId="10024"/>
    <cellStyle name="Финансовый 2 2 2 2 30 2 4 4" xfId="32339"/>
    <cellStyle name="Финансовый 2 2 2 2 30 2 5" xfId="1331"/>
    <cellStyle name="Финансовый 2 2 2 2 30 2 5 2" xfId="15585"/>
    <cellStyle name="Финансовый 2 2 2 2 30 2 5 2 2" xfId="37900"/>
    <cellStyle name="Финансовый 2 2 2 2 30 2 5 3" xfId="9779"/>
    <cellStyle name="Финансовый 2 2 2 2 30 2 5 4" xfId="32094"/>
    <cellStyle name="Финансовый 2 2 2 2 30 2 6" xfId="1724"/>
    <cellStyle name="Финансовый 2 2 2 2 30 2 6 2" xfId="15949"/>
    <cellStyle name="Финансовый 2 2 2 2 30 2 6 2 2" xfId="38264"/>
    <cellStyle name="Финансовый 2 2 2 2 30 2 6 3" xfId="10143"/>
    <cellStyle name="Финансовый 2 2 2 2 30 2 6 4" xfId="32458"/>
    <cellStyle name="Финансовый 2 2 2 2 30 2 7" xfId="1567"/>
    <cellStyle name="Финансовый 2 2 2 2 30 2 7 2" xfId="15806"/>
    <cellStyle name="Финансовый 2 2 2 2 30 2 7 2 2" xfId="38121"/>
    <cellStyle name="Финансовый 2 2 2 2 30 2 7 3" xfId="10000"/>
    <cellStyle name="Финансовый 2 2 2 2 30 2 7 4" xfId="32315"/>
    <cellStyle name="Финансовый 2 2 2 2 30 2 8" xfId="350"/>
    <cellStyle name="Финансовый 2 2 2 2 30 2 8 2" xfId="14753"/>
    <cellStyle name="Финансовый 2 2 2 2 30 2 8 2 2" xfId="37068"/>
    <cellStyle name="Финансовый 2 2 2 2 30 2 8 3" xfId="8947"/>
    <cellStyle name="Финансовый 2 2 2 2 30 2 8 4" xfId="31281"/>
    <cellStyle name="Финансовый 2 2 2 2 30 2 9" xfId="1829"/>
    <cellStyle name="Финансовый 2 2 2 2 30 2 9 2" xfId="16046"/>
    <cellStyle name="Финансовый 2 2 2 2 30 2 9 2 2" xfId="38361"/>
    <cellStyle name="Финансовый 2 2 2 2 30 2 9 3" xfId="10240"/>
    <cellStyle name="Финансовый 2 2 2 2 30 2 9 4" xfId="32555"/>
    <cellStyle name="Финансовый 2 2 2 2 30 20" xfId="8440"/>
    <cellStyle name="Финансовый 2 2 2 2 30 20 2" xfId="20195"/>
    <cellStyle name="Финансовый 2 2 2 2 30 20 2 2" xfId="42510"/>
    <cellStyle name="Финансовый 2 2 2 2 30 20 3" xfId="14389"/>
    <cellStyle name="Финансовый 2 2 2 2 30 20 4" xfId="36704"/>
    <cellStyle name="Финансовый 2 2 2 2 30 21" xfId="4634"/>
    <cellStyle name="Финансовый 2 2 2 2 30 21 2" xfId="18108"/>
    <cellStyle name="Финансовый 2 2 2 2 30 21 2 2" xfId="40423"/>
    <cellStyle name="Финансовый 2 2 2 2 30 21 3" xfId="12302"/>
    <cellStyle name="Финансовый 2 2 2 2 30 21 4" xfId="34617"/>
    <cellStyle name="Финансовый 2 2 2 2 30 22" xfId="14658"/>
    <cellStyle name="Финансовый 2 2 2 2 30 22 2" xfId="36973"/>
    <cellStyle name="Финансовый 2 2 2 2 30 23" xfId="8852"/>
    <cellStyle name="Финансовый 2 2 2 2 30 24" xfId="31188"/>
    <cellStyle name="Финансовый 2 2 2 2 30 3" xfId="851"/>
    <cellStyle name="Финансовый 2 2 2 2 30 3 2" xfId="15191"/>
    <cellStyle name="Финансовый 2 2 2 2 30 3 2 2" xfId="37506"/>
    <cellStyle name="Финансовый 2 2 2 2 30 3 3" xfId="9385"/>
    <cellStyle name="Финансовый 2 2 2 2 30 3 4" xfId="31707"/>
    <cellStyle name="Финансовый 2 2 2 2 30 4" xfId="916"/>
    <cellStyle name="Финансовый 2 2 2 2 30 4 2" xfId="15245"/>
    <cellStyle name="Финансовый 2 2 2 2 30 4 2 2" xfId="37560"/>
    <cellStyle name="Финансовый 2 2 2 2 30 4 3" xfId="9439"/>
    <cellStyle name="Финансовый 2 2 2 2 30 4 4" xfId="31759"/>
    <cellStyle name="Финансовый 2 2 2 2 30 5" xfId="1067"/>
    <cellStyle name="Финансовый 2 2 2 2 30 5 2" xfId="15380"/>
    <cellStyle name="Финансовый 2 2 2 2 30 5 2 2" xfId="37695"/>
    <cellStyle name="Финансовый 2 2 2 2 30 5 3" xfId="9574"/>
    <cellStyle name="Финансовый 2 2 2 2 30 5 4" xfId="31893"/>
    <cellStyle name="Финансовый 2 2 2 2 30 6" xfId="1132"/>
    <cellStyle name="Финансовый 2 2 2 2 30 6 2" xfId="15434"/>
    <cellStyle name="Финансовый 2 2 2 2 30 6 2 2" xfId="37749"/>
    <cellStyle name="Финансовый 2 2 2 2 30 6 3" xfId="9628"/>
    <cellStyle name="Финансовый 2 2 2 2 30 6 4" xfId="31945"/>
    <cellStyle name="Финансовый 2 2 2 2 30 7" xfId="1263"/>
    <cellStyle name="Финансовый 2 2 2 2 30 7 2" xfId="15523"/>
    <cellStyle name="Финансовый 2 2 2 2 30 7 2 2" xfId="37838"/>
    <cellStyle name="Финансовый 2 2 2 2 30 7 3" xfId="9717"/>
    <cellStyle name="Финансовый 2 2 2 2 30 7 4" xfId="32032"/>
    <cellStyle name="Финансовый 2 2 2 2 30 8" xfId="1875"/>
    <cellStyle name="Финансовый 2 2 2 2 30 8 2" xfId="16088"/>
    <cellStyle name="Финансовый 2 2 2 2 30 8 2 2" xfId="38403"/>
    <cellStyle name="Финансовый 2 2 2 2 30 8 3" xfId="10282"/>
    <cellStyle name="Финансовый 2 2 2 2 30 8 4" xfId="32597"/>
    <cellStyle name="Финансовый 2 2 2 2 30 9" xfId="2113"/>
    <cellStyle name="Финансовый 2 2 2 2 30 9 2" xfId="16284"/>
    <cellStyle name="Финансовый 2 2 2 2 30 9 2 2" xfId="38599"/>
    <cellStyle name="Финансовый 2 2 2 2 30 9 3" xfId="10478"/>
    <cellStyle name="Финансовый 2 2 2 2 30 9 4" xfId="32793"/>
    <cellStyle name="Финансовый 2 2 2 2 31" xfId="168"/>
    <cellStyle name="Финансовый 2 2 2 2 31 10" xfId="2285"/>
    <cellStyle name="Финансовый 2 2 2 2 31 10 2" xfId="16419"/>
    <cellStyle name="Финансовый 2 2 2 2 31 10 2 2" xfId="38734"/>
    <cellStyle name="Финансовый 2 2 2 2 31 10 3" xfId="10613"/>
    <cellStyle name="Финансовый 2 2 2 2 31 10 4" xfId="32928"/>
    <cellStyle name="Финансовый 2 2 2 2 31 11" xfId="2518"/>
    <cellStyle name="Финансовый 2 2 2 2 31 11 2" xfId="16610"/>
    <cellStyle name="Финансовый 2 2 2 2 31 11 2 2" xfId="38925"/>
    <cellStyle name="Финансовый 2 2 2 2 31 11 3" xfId="10804"/>
    <cellStyle name="Финансовый 2 2 2 2 31 11 4" xfId="33119"/>
    <cellStyle name="Финансовый 2 2 2 2 31 12" xfId="2745"/>
    <cellStyle name="Финансовый 2 2 2 2 31 12 2" xfId="16796"/>
    <cellStyle name="Финансовый 2 2 2 2 31 12 2 2" xfId="39111"/>
    <cellStyle name="Финансовый 2 2 2 2 31 12 3" xfId="10990"/>
    <cellStyle name="Финансовый 2 2 2 2 31 12 4" xfId="33305"/>
    <cellStyle name="Финансовый 2 2 2 2 31 13" xfId="2963"/>
    <cellStyle name="Финансовый 2 2 2 2 31 13 2" xfId="16974"/>
    <cellStyle name="Финансовый 2 2 2 2 31 13 2 2" xfId="39289"/>
    <cellStyle name="Финансовый 2 2 2 2 31 13 3" xfId="11168"/>
    <cellStyle name="Финансовый 2 2 2 2 31 13 4" xfId="33483"/>
    <cellStyle name="Финансовый 2 2 2 2 31 14" xfId="3171"/>
    <cellStyle name="Финансовый 2 2 2 2 31 14 2" xfId="17143"/>
    <cellStyle name="Финансовый 2 2 2 2 31 14 2 2" xfId="39458"/>
    <cellStyle name="Финансовый 2 2 2 2 31 14 3" xfId="11337"/>
    <cellStyle name="Финансовый 2 2 2 2 31 14 4" xfId="33652"/>
    <cellStyle name="Финансовый 2 2 2 2 31 15" xfId="3361"/>
    <cellStyle name="Финансовый 2 2 2 2 31 15 2" xfId="17294"/>
    <cellStyle name="Финансовый 2 2 2 2 31 15 2 2" xfId="39609"/>
    <cellStyle name="Финансовый 2 2 2 2 31 15 3" xfId="11488"/>
    <cellStyle name="Финансовый 2 2 2 2 31 15 4" xfId="33803"/>
    <cellStyle name="Финансовый 2 2 2 2 31 16" xfId="3543"/>
    <cellStyle name="Финансовый 2 2 2 2 31 16 2" xfId="17437"/>
    <cellStyle name="Финансовый 2 2 2 2 31 16 2 2" xfId="39752"/>
    <cellStyle name="Финансовый 2 2 2 2 31 16 3" xfId="11631"/>
    <cellStyle name="Финансовый 2 2 2 2 31 16 4" xfId="33946"/>
    <cellStyle name="Финансовый 2 2 2 2 31 17" xfId="3705"/>
    <cellStyle name="Финансовый 2 2 2 2 31 17 2" xfId="17561"/>
    <cellStyle name="Финансовый 2 2 2 2 31 17 2 2" xfId="39876"/>
    <cellStyle name="Финансовый 2 2 2 2 31 17 3" xfId="11755"/>
    <cellStyle name="Финансовый 2 2 2 2 31 17 4" xfId="34070"/>
    <cellStyle name="Финансовый 2 2 2 2 31 18" xfId="3843"/>
    <cellStyle name="Финансовый 2 2 2 2 31 18 2" xfId="17665"/>
    <cellStyle name="Финансовый 2 2 2 2 31 18 2 2" xfId="39980"/>
    <cellStyle name="Финансовый 2 2 2 2 31 18 3" xfId="11859"/>
    <cellStyle name="Финансовый 2 2 2 2 31 18 4" xfId="34174"/>
    <cellStyle name="Финансовый 2 2 2 2 31 19" xfId="5685"/>
    <cellStyle name="Финансовый 2 2 2 2 31 19 2" xfId="18684"/>
    <cellStyle name="Финансовый 2 2 2 2 31 19 2 2" xfId="40999"/>
    <cellStyle name="Финансовый 2 2 2 2 31 19 3" xfId="12878"/>
    <cellStyle name="Финансовый 2 2 2 2 31 19 4" xfId="35193"/>
    <cellStyle name="Финансовый 2 2 2 2 31 2" xfId="510"/>
    <cellStyle name="Финансовый 2 2 2 2 31 2 10" xfId="3110"/>
    <cellStyle name="Финансовый 2 2 2 2 31 2 10 2" xfId="17087"/>
    <cellStyle name="Финансовый 2 2 2 2 31 2 10 2 2" xfId="39402"/>
    <cellStyle name="Финансовый 2 2 2 2 31 2 10 3" xfId="11281"/>
    <cellStyle name="Финансовый 2 2 2 2 31 2 10 4" xfId="33596"/>
    <cellStyle name="Финансовый 2 2 2 2 31 2 11" xfId="3309"/>
    <cellStyle name="Финансовый 2 2 2 2 31 2 11 2" xfId="17247"/>
    <cellStyle name="Финансовый 2 2 2 2 31 2 11 2 2" xfId="39562"/>
    <cellStyle name="Финансовый 2 2 2 2 31 2 11 3" xfId="11441"/>
    <cellStyle name="Финансовый 2 2 2 2 31 2 11 4" xfId="33756"/>
    <cellStyle name="Финансовый 2 2 2 2 31 2 12" xfId="3496"/>
    <cellStyle name="Финансовый 2 2 2 2 31 2 12 2" xfId="17395"/>
    <cellStyle name="Финансовый 2 2 2 2 31 2 12 2 2" xfId="39710"/>
    <cellStyle name="Финансовый 2 2 2 2 31 2 12 3" xfId="11589"/>
    <cellStyle name="Финансовый 2 2 2 2 31 2 12 4" xfId="33904"/>
    <cellStyle name="Финансовый 2 2 2 2 31 2 13" xfId="3667"/>
    <cellStyle name="Финансовый 2 2 2 2 31 2 13 2" xfId="17528"/>
    <cellStyle name="Финансовый 2 2 2 2 31 2 13 2 2" xfId="39843"/>
    <cellStyle name="Финансовый 2 2 2 2 31 2 13 3" xfId="11722"/>
    <cellStyle name="Финансовый 2 2 2 2 31 2 13 4" xfId="34037"/>
    <cellStyle name="Финансовый 2 2 2 2 31 2 14" xfId="3820"/>
    <cellStyle name="Финансовый 2 2 2 2 31 2 14 2" xfId="17643"/>
    <cellStyle name="Финансовый 2 2 2 2 31 2 14 2 2" xfId="39958"/>
    <cellStyle name="Финансовый 2 2 2 2 31 2 14 3" xfId="11837"/>
    <cellStyle name="Финансовый 2 2 2 2 31 2 14 4" xfId="34152"/>
    <cellStyle name="Финансовый 2 2 2 2 31 2 15" xfId="8116"/>
    <cellStyle name="Финансовый 2 2 2 2 31 2 15 2" xfId="20002"/>
    <cellStyle name="Финансовый 2 2 2 2 31 2 15 2 2" xfId="42317"/>
    <cellStyle name="Финансовый 2 2 2 2 31 2 15 3" xfId="14196"/>
    <cellStyle name="Финансовый 2 2 2 2 31 2 15 4" xfId="36511"/>
    <cellStyle name="Финансовый 2 2 2 2 31 2 16" xfId="7263"/>
    <cellStyle name="Финансовый 2 2 2 2 31 2 16 2" xfId="19532"/>
    <cellStyle name="Финансовый 2 2 2 2 31 2 16 2 2" xfId="41847"/>
    <cellStyle name="Финансовый 2 2 2 2 31 2 16 3" xfId="13726"/>
    <cellStyle name="Финансовый 2 2 2 2 31 2 16 4" xfId="36041"/>
    <cellStyle name="Финансовый 2 2 2 2 31 2 17" xfId="8231"/>
    <cellStyle name="Финансовый 2 2 2 2 31 2 17 2" xfId="20073"/>
    <cellStyle name="Финансовый 2 2 2 2 31 2 17 2 2" xfId="42388"/>
    <cellStyle name="Финансовый 2 2 2 2 31 2 17 3" xfId="14267"/>
    <cellStyle name="Финансовый 2 2 2 2 31 2 17 4" xfId="36582"/>
    <cellStyle name="Финансовый 2 2 2 2 31 2 18" xfId="14912"/>
    <cellStyle name="Финансовый 2 2 2 2 31 2 18 2" xfId="37227"/>
    <cellStyle name="Финансовый 2 2 2 2 31 2 19" xfId="9106"/>
    <cellStyle name="Финансовый 2 2 2 2 31 2 2" xfId="733"/>
    <cellStyle name="Финансовый 2 2 2 2 31 2 2 2" xfId="15111"/>
    <cellStyle name="Финансовый 2 2 2 2 31 2 2 2 2" xfId="37426"/>
    <cellStyle name="Финансовый 2 2 2 2 31 2 2 3" xfId="9305"/>
    <cellStyle name="Финансовый 2 2 2 2 31 2 2 4" xfId="31628"/>
    <cellStyle name="Финансовый 2 2 2 2 31 2 20" xfId="31439"/>
    <cellStyle name="Финансовый 2 2 2 2 31 2 3" xfId="1483"/>
    <cellStyle name="Финансовый 2 2 2 2 31 2 3 2" xfId="15725"/>
    <cellStyle name="Финансовый 2 2 2 2 31 2 3 2 2" xfId="38040"/>
    <cellStyle name="Финансовый 2 2 2 2 31 2 3 3" xfId="9919"/>
    <cellStyle name="Финансовый 2 2 2 2 31 2 3 4" xfId="32234"/>
    <cellStyle name="Финансовый 2 2 2 2 31 2 4" xfId="1735"/>
    <cellStyle name="Финансовый 2 2 2 2 31 2 4 2" xfId="15959"/>
    <cellStyle name="Финансовый 2 2 2 2 31 2 4 2 2" xfId="38274"/>
    <cellStyle name="Финансовый 2 2 2 2 31 2 4 3" xfId="10153"/>
    <cellStyle name="Финансовый 2 2 2 2 31 2 4 4" xfId="32468"/>
    <cellStyle name="Финансовый 2 2 2 2 31 2 5" xfId="1973"/>
    <cellStyle name="Финансовый 2 2 2 2 31 2 5 2" xfId="16155"/>
    <cellStyle name="Финансовый 2 2 2 2 31 2 5 2 2" xfId="38470"/>
    <cellStyle name="Финансовый 2 2 2 2 31 2 5 3" xfId="10349"/>
    <cellStyle name="Финансовый 2 2 2 2 31 2 5 4" xfId="32664"/>
    <cellStyle name="Финансовый 2 2 2 2 31 2 6" xfId="2210"/>
    <cellStyle name="Финансовый 2 2 2 2 31 2 6 2" xfId="16350"/>
    <cellStyle name="Финансовый 2 2 2 2 31 2 6 2 2" xfId="38665"/>
    <cellStyle name="Финансовый 2 2 2 2 31 2 6 3" xfId="10544"/>
    <cellStyle name="Финансовый 2 2 2 2 31 2 6 4" xfId="32859"/>
    <cellStyle name="Финансовый 2 2 2 2 31 2 7" xfId="2445"/>
    <cellStyle name="Финансовый 2 2 2 2 31 2 7 2" xfId="16543"/>
    <cellStyle name="Финансовый 2 2 2 2 31 2 7 2 2" xfId="38858"/>
    <cellStyle name="Финансовый 2 2 2 2 31 2 7 3" xfId="10737"/>
    <cellStyle name="Финансовый 2 2 2 2 31 2 7 4" xfId="33052"/>
    <cellStyle name="Финансовый 2 2 2 2 31 2 8" xfId="2677"/>
    <cellStyle name="Финансовый 2 2 2 2 31 2 8 2" xfId="16733"/>
    <cellStyle name="Финансовый 2 2 2 2 31 2 8 2 2" xfId="39048"/>
    <cellStyle name="Финансовый 2 2 2 2 31 2 8 3" xfId="10927"/>
    <cellStyle name="Финансовый 2 2 2 2 31 2 8 4" xfId="33242"/>
    <cellStyle name="Финансовый 2 2 2 2 31 2 9" xfId="2898"/>
    <cellStyle name="Финансовый 2 2 2 2 31 2 9 2" xfId="16914"/>
    <cellStyle name="Финансовый 2 2 2 2 31 2 9 2 2" xfId="39229"/>
    <cellStyle name="Финансовый 2 2 2 2 31 2 9 3" xfId="11108"/>
    <cellStyle name="Финансовый 2 2 2 2 31 2 9 4" xfId="33423"/>
    <cellStyle name="Финансовый 2 2 2 2 31 20" xfId="8314"/>
    <cellStyle name="Финансовый 2 2 2 2 31 20 2" xfId="20120"/>
    <cellStyle name="Финансовый 2 2 2 2 31 20 2 2" xfId="42435"/>
    <cellStyle name="Финансовый 2 2 2 2 31 20 3" xfId="14314"/>
    <cellStyle name="Финансовый 2 2 2 2 31 20 4" xfId="36629"/>
    <cellStyle name="Финансовый 2 2 2 2 31 21" xfId="265"/>
    <cellStyle name="Финансовый 2 2 2 2 31 21 2" xfId="14706"/>
    <cellStyle name="Финансовый 2 2 2 2 31 21 2 2" xfId="37021"/>
    <cellStyle name="Финансовый 2 2 2 2 31 21 3" xfId="8900"/>
    <cellStyle name="Финансовый 2 2 2 2 31 21 4" xfId="31235"/>
    <cellStyle name="Финансовый 2 2 2 2 31 22" xfId="14660"/>
    <cellStyle name="Финансовый 2 2 2 2 31 22 2" xfId="36975"/>
    <cellStyle name="Финансовый 2 2 2 2 31 23" xfId="8854"/>
    <cellStyle name="Финансовый 2 2 2 2 31 24" xfId="31190"/>
    <cellStyle name="Финансовый 2 2 2 2 31 3" xfId="855"/>
    <cellStyle name="Финансовый 2 2 2 2 31 3 2" xfId="15195"/>
    <cellStyle name="Финансовый 2 2 2 2 31 3 2 2" xfId="37510"/>
    <cellStyle name="Финансовый 2 2 2 2 31 3 3" xfId="9389"/>
    <cellStyle name="Финансовый 2 2 2 2 31 3 4" xfId="31711"/>
    <cellStyle name="Финансовый 2 2 2 2 31 4" xfId="818"/>
    <cellStyle name="Финансовый 2 2 2 2 31 4 2" xfId="15162"/>
    <cellStyle name="Финансовый 2 2 2 2 31 4 2 2" xfId="37477"/>
    <cellStyle name="Финансовый 2 2 2 2 31 4 3" xfId="9356"/>
    <cellStyle name="Финансовый 2 2 2 2 31 4 4" xfId="31678"/>
    <cellStyle name="Финансовый 2 2 2 2 31 5" xfId="1071"/>
    <cellStyle name="Финансовый 2 2 2 2 31 5 2" xfId="15384"/>
    <cellStyle name="Финансовый 2 2 2 2 31 5 2 2" xfId="37699"/>
    <cellStyle name="Финансовый 2 2 2 2 31 5 3" xfId="9578"/>
    <cellStyle name="Финансовый 2 2 2 2 31 5 4" xfId="31897"/>
    <cellStyle name="Финансовый 2 2 2 2 31 6" xfId="958"/>
    <cellStyle name="Финансовый 2 2 2 2 31 6 2" xfId="15276"/>
    <cellStyle name="Финансовый 2 2 2 2 31 6 2 2" xfId="37591"/>
    <cellStyle name="Финансовый 2 2 2 2 31 6 3" xfId="9470"/>
    <cellStyle name="Финансовый 2 2 2 2 31 6 4" xfId="31790"/>
    <cellStyle name="Финансовый 2 2 2 2 31 7" xfId="1268"/>
    <cellStyle name="Финансовый 2 2 2 2 31 7 2" xfId="15528"/>
    <cellStyle name="Финансовый 2 2 2 2 31 7 2 2" xfId="37843"/>
    <cellStyle name="Финансовый 2 2 2 2 31 7 3" xfId="9722"/>
    <cellStyle name="Финансовый 2 2 2 2 31 7 4" xfId="32037"/>
    <cellStyle name="Финансовый 2 2 2 2 31 8" xfId="1812"/>
    <cellStyle name="Финансовый 2 2 2 2 31 8 2" xfId="16030"/>
    <cellStyle name="Финансовый 2 2 2 2 31 8 2 2" xfId="38345"/>
    <cellStyle name="Финансовый 2 2 2 2 31 8 3" xfId="10224"/>
    <cellStyle name="Финансовый 2 2 2 2 31 8 4" xfId="32539"/>
    <cellStyle name="Финансовый 2 2 2 2 31 9" xfId="2050"/>
    <cellStyle name="Финансовый 2 2 2 2 31 9 2" xfId="16226"/>
    <cellStyle name="Финансовый 2 2 2 2 31 9 2 2" xfId="38541"/>
    <cellStyle name="Финансовый 2 2 2 2 31 9 3" xfId="10420"/>
    <cellStyle name="Финансовый 2 2 2 2 31 9 4" xfId="32735"/>
    <cellStyle name="Финансовый 2 2 2 2 32" xfId="173"/>
    <cellStyle name="Финансовый 2 2 2 2 32 10" xfId="1975"/>
    <cellStyle name="Финансовый 2 2 2 2 32 10 2" xfId="16157"/>
    <cellStyle name="Финансовый 2 2 2 2 32 10 2 2" xfId="38472"/>
    <cellStyle name="Финансовый 2 2 2 2 32 10 3" xfId="10351"/>
    <cellStyle name="Финансовый 2 2 2 2 32 10 4" xfId="32666"/>
    <cellStyle name="Финансовый 2 2 2 2 32 11" xfId="2212"/>
    <cellStyle name="Финансовый 2 2 2 2 32 11 2" xfId="16352"/>
    <cellStyle name="Финансовый 2 2 2 2 32 11 2 2" xfId="38667"/>
    <cellStyle name="Финансовый 2 2 2 2 32 11 3" xfId="10546"/>
    <cellStyle name="Финансовый 2 2 2 2 32 11 4" xfId="32861"/>
    <cellStyle name="Финансовый 2 2 2 2 32 12" xfId="2447"/>
    <cellStyle name="Финансовый 2 2 2 2 32 12 2" xfId="16545"/>
    <cellStyle name="Финансовый 2 2 2 2 32 12 2 2" xfId="38860"/>
    <cellStyle name="Финансовый 2 2 2 2 32 12 3" xfId="10739"/>
    <cellStyle name="Финансовый 2 2 2 2 32 12 4" xfId="33054"/>
    <cellStyle name="Финансовый 2 2 2 2 32 13" xfId="2679"/>
    <cellStyle name="Финансовый 2 2 2 2 32 13 2" xfId="16735"/>
    <cellStyle name="Финансовый 2 2 2 2 32 13 2 2" xfId="39050"/>
    <cellStyle name="Финансовый 2 2 2 2 32 13 3" xfId="10929"/>
    <cellStyle name="Финансовый 2 2 2 2 32 13 4" xfId="33244"/>
    <cellStyle name="Финансовый 2 2 2 2 32 14" xfId="2900"/>
    <cellStyle name="Финансовый 2 2 2 2 32 14 2" xfId="16916"/>
    <cellStyle name="Финансовый 2 2 2 2 32 14 2 2" xfId="39231"/>
    <cellStyle name="Финансовый 2 2 2 2 32 14 3" xfId="11110"/>
    <cellStyle name="Финансовый 2 2 2 2 32 14 4" xfId="33425"/>
    <cellStyle name="Финансовый 2 2 2 2 32 15" xfId="3111"/>
    <cellStyle name="Финансовый 2 2 2 2 32 15 2" xfId="17088"/>
    <cellStyle name="Финансовый 2 2 2 2 32 15 2 2" xfId="39403"/>
    <cellStyle name="Финансовый 2 2 2 2 32 15 3" xfId="11282"/>
    <cellStyle name="Финансовый 2 2 2 2 32 15 4" xfId="33597"/>
    <cellStyle name="Финансовый 2 2 2 2 32 16" xfId="3310"/>
    <cellStyle name="Финансовый 2 2 2 2 32 16 2" xfId="17248"/>
    <cellStyle name="Финансовый 2 2 2 2 32 16 2 2" xfId="39563"/>
    <cellStyle name="Финансовый 2 2 2 2 32 16 3" xfId="11442"/>
    <cellStyle name="Финансовый 2 2 2 2 32 16 4" xfId="33757"/>
    <cellStyle name="Финансовый 2 2 2 2 32 17" xfId="3497"/>
    <cellStyle name="Финансовый 2 2 2 2 32 17 2" xfId="17396"/>
    <cellStyle name="Финансовый 2 2 2 2 32 17 2 2" xfId="39711"/>
    <cellStyle name="Финансовый 2 2 2 2 32 17 3" xfId="11590"/>
    <cellStyle name="Финансовый 2 2 2 2 32 17 4" xfId="33905"/>
    <cellStyle name="Финансовый 2 2 2 2 32 18" xfId="3668"/>
    <cellStyle name="Финансовый 2 2 2 2 32 18 2" xfId="17529"/>
    <cellStyle name="Финансовый 2 2 2 2 32 18 2 2" xfId="39844"/>
    <cellStyle name="Финансовый 2 2 2 2 32 18 3" xfId="11723"/>
    <cellStyle name="Финансовый 2 2 2 2 32 18 4" xfId="34038"/>
    <cellStyle name="Финансовый 2 2 2 2 32 19" xfId="4645"/>
    <cellStyle name="Финансовый 2 2 2 2 32 19 2" xfId="18114"/>
    <cellStyle name="Финансовый 2 2 2 2 32 19 2 2" xfId="40429"/>
    <cellStyle name="Финансовый 2 2 2 2 32 19 3" xfId="12308"/>
    <cellStyle name="Финансовый 2 2 2 2 32 19 4" xfId="34623"/>
    <cellStyle name="Финансовый 2 2 2 2 32 2" xfId="515"/>
    <cellStyle name="Финансовый 2 2 2 2 32 2 10" xfId="2220"/>
    <cellStyle name="Финансовый 2 2 2 2 32 2 10 2" xfId="16359"/>
    <cellStyle name="Финансовый 2 2 2 2 32 2 10 2 2" xfId="38674"/>
    <cellStyle name="Финансовый 2 2 2 2 32 2 10 3" xfId="10553"/>
    <cellStyle name="Финансовый 2 2 2 2 32 2 10 4" xfId="32868"/>
    <cellStyle name="Финансовый 2 2 2 2 32 2 11" xfId="2455"/>
    <cellStyle name="Финансовый 2 2 2 2 32 2 11 2" xfId="16552"/>
    <cellStyle name="Финансовый 2 2 2 2 32 2 11 2 2" xfId="38867"/>
    <cellStyle name="Финансовый 2 2 2 2 32 2 11 3" xfId="10746"/>
    <cellStyle name="Финансовый 2 2 2 2 32 2 11 4" xfId="33061"/>
    <cellStyle name="Финансовый 2 2 2 2 32 2 12" xfId="2687"/>
    <cellStyle name="Финансовый 2 2 2 2 32 2 12 2" xfId="16742"/>
    <cellStyle name="Финансовый 2 2 2 2 32 2 12 2 2" xfId="39057"/>
    <cellStyle name="Финансовый 2 2 2 2 32 2 12 3" xfId="10936"/>
    <cellStyle name="Финансовый 2 2 2 2 32 2 12 4" xfId="33251"/>
    <cellStyle name="Финансовый 2 2 2 2 32 2 13" xfId="2908"/>
    <cellStyle name="Финансовый 2 2 2 2 32 2 13 2" xfId="16923"/>
    <cellStyle name="Финансовый 2 2 2 2 32 2 13 2 2" xfId="39238"/>
    <cellStyle name="Финансовый 2 2 2 2 32 2 13 3" xfId="11117"/>
    <cellStyle name="Финансовый 2 2 2 2 32 2 13 4" xfId="33432"/>
    <cellStyle name="Финансовый 2 2 2 2 32 2 14" xfId="3119"/>
    <cellStyle name="Финансовый 2 2 2 2 32 2 14 2" xfId="17095"/>
    <cellStyle name="Финансовый 2 2 2 2 32 2 14 2 2" xfId="39410"/>
    <cellStyle name="Финансовый 2 2 2 2 32 2 14 3" xfId="11289"/>
    <cellStyle name="Финансовый 2 2 2 2 32 2 14 4" xfId="33604"/>
    <cellStyle name="Финансовый 2 2 2 2 32 2 15" xfId="5433"/>
    <cellStyle name="Финансовый 2 2 2 2 32 2 15 2" xfId="18552"/>
    <cellStyle name="Финансовый 2 2 2 2 32 2 15 2 2" xfId="40867"/>
    <cellStyle name="Финансовый 2 2 2 2 32 2 15 3" xfId="12746"/>
    <cellStyle name="Финансовый 2 2 2 2 32 2 15 4" xfId="35061"/>
    <cellStyle name="Финансовый 2 2 2 2 32 2 16" xfId="7553"/>
    <cellStyle name="Финансовый 2 2 2 2 32 2 16 2" xfId="19687"/>
    <cellStyle name="Финансовый 2 2 2 2 32 2 16 2 2" xfId="42002"/>
    <cellStyle name="Финансовый 2 2 2 2 32 2 16 3" xfId="13881"/>
    <cellStyle name="Финансовый 2 2 2 2 32 2 16 4" xfId="36196"/>
    <cellStyle name="Финансовый 2 2 2 2 32 2 17" xfId="4066"/>
    <cellStyle name="Финансовый 2 2 2 2 32 2 17 2" xfId="17793"/>
    <cellStyle name="Финансовый 2 2 2 2 32 2 17 2 2" xfId="40108"/>
    <cellStyle name="Финансовый 2 2 2 2 32 2 17 3" xfId="11987"/>
    <cellStyle name="Финансовый 2 2 2 2 32 2 17 4" xfId="34302"/>
    <cellStyle name="Финансовый 2 2 2 2 32 2 18" xfId="14917"/>
    <cellStyle name="Финансовый 2 2 2 2 32 2 18 2" xfId="37232"/>
    <cellStyle name="Финансовый 2 2 2 2 32 2 19" xfId="9111"/>
    <cellStyle name="Финансовый 2 2 2 2 32 2 2" xfId="736"/>
    <cellStyle name="Финансовый 2 2 2 2 32 2 2 2" xfId="15114"/>
    <cellStyle name="Финансовый 2 2 2 2 32 2 2 2 2" xfId="37429"/>
    <cellStyle name="Финансовый 2 2 2 2 32 2 2 3" xfId="9308"/>
    <cellStyle name="Финансовый 2 2 2 2 32 2 2 4" xfId="31631"/>
    <cellStyle name="Финансовый 2 2 2 2 32 2 20" xfId="31444"/>
    <cellStyle name="Финансовый 2 2 2 2 32 2 3" xfId="1486"/>
    <cellStyle name="Финансовый 2 2 2 2 32 2 3 2" xfId="15728"/>
    <cellStyle name="Финансовый 2 2 2 2 32 2 3 2 2" xfId="38043"/>
    <cellStyle name="Финансовый 2 2 2 2 32 2 3 3" xfId="9922"/>
    <cellStyle name="Финансовый 2 2 2 2 32 2 3 4" xfId="32237"/>
    <cellStyle name="Финансовый 2 2 2 2 32 2 4" xfId="1588"/>
    <cellStyle name="Финансовый 2 2 2 2 32 2 4 2" xfId="15825"/>
    <cellStyle name="Финансовый 2 2 2 2 32 2 4 2 2" xfId="38140"/>
    <cellStyle name="Финансовый 2 2 2 2 32 2 4 3" xfId="10019"/>
    <cellStyle name="Финансовый 2 2 2 2 32 2 4 4" xfId="32334"/>
    <cellStyle name="Финансовый 2 2 2 2 32 2 5" xfId="1333"/>
    <cellStyle name="Финансовый 2 2 2 2 32 2 5 2" xfId="15586"/>
    <cellStyle name="Финансовый 2 2 2 2 32 2 5 2 2" xfId="37901"/>
    <cellStyle name="Финансовый 2 2 2 2 32 2 5 3" xfId="9780"/>
    <cellStyle name="Финансовый 2 2 2 2 32 2 5 4" xfId="32095"/>
    <cellStyle name="Финансовый 2 2 2 2 32 2 6" xfId="1375"/>
    <cellStyle name="Финансовый 2 2 2 2 32 2 6 2" xfId="15624"/>
    <cellStyle name="Финансовый 2 2 2 2 32 2 6 2 2" xfId="37939"/>
    <cellStyle name="Финансовый 2 2 2 2 32 2 6 3" xfId="9818"/>
    <cellStyle name="Финансовый 2 2 2 2 32 2 6 4" xfId="32133"/>
    <cellStyle name="Финансовый 2 2 2 2 32 2 7" xfId="1291"/>
    <cellStyle name="Финансовый 2 2 2 2 32 2 7 2" xfId="15548"/>
    <cellStyle name="Финансовый 2 2 2 2 32 2 7 2 2" xfId="37863"/>
    <cellStyle name="Финансовый 2 2 2 2 32 2 7 3" xfId="9742"/>
    <cellStyle name="Финансовый 2 2 2 2 32 2 7 4" xfId="32057"/>
    <cellStyle name="Финансовый 2 2 2 2 32 2 8" xfId="1745"/>
    <cellStyle name="Финансовый 2 2 2 2 32 2 8 2" xfId="15968"/>
    <cellStyle name="Финансовый 2 2 2 2 32 2 8 2 2" xfId="38283"/>
    <cellStyle name="Финансовый 2 2 2 2 32 2 8 3" xfId="10162"/>
    <cellStyle name="Финансовый 2 2 2 2 32 2 8 4" xfId="32477"/>
    <cellStyle name="Финансовый 2 2 2 2 32 2 9" xfId="1983"/>
    <cellStyle name="Финансовый 2 2 2 2 32 2 9 2" xfId="16164"/>
    <cellStyle name="Финансовый 2 2 2 2 32 2 9 2 2" xfId="38479"/>
    <cellStyle name="Финансовый 2 2 2 2 32 2 9 3" xfId="10358"/>
    <cellStyle name="Финансовый 2 2 2 2 32 2 9 4" xfId="32673"/>
    <cellStyle name="Финансовый 2 2 2 2 32 20" xfId="8624"/>
    <cellStyle name="Финансовый 2 2 2 2 32 20 2" xfId="20299"/>
    <cellStyle name="Финансовый 2 2 2 2 32 20 2 2" xfId="42614"/>
    <cellStyle name="Финансовый 2 2 2 2 32 20 3" xfId="14493"/>
    <cellStyle name="Финансовый 2 2 2 2 32 20 4" xfId="36808"/>
    <cellStyle name="Финансовый 2 2 2 2 32 21" xfId="7983"/>
    <cellStyle name="Финансовый 2 2 2 2 32 21 2" xfId="19934"/>
    <cellStyle name="Финансовый 2 2 2 2 32 21 2 2" xfId="42249"/>
    <cellStyle name="Финансовый 2 2 2 2 32 21 3" xfId="14128"/>
    <cellStyle name="Финансовый 2 2 2 2 32 21 4" xfId="36443"/>
    <cellStyle name="Финансовый 2 2 2 2 32 22" xfId="14662"/>
    <cellStyle name="Финансовый 2 2 2 2 32 22 2" xfId="36977"/>
    <cellStyle name="Финансовый 2 2 2 2 32 23" xfId="8856"/>
    <cellStyle name="Финансовый 2 2 2 2 32 24" xfId="31192"/>
    <cellStyle name="Финансовый 2 2 2 2 32 3" xfId="857"/>
    <cellStyle name="Финансовый 2 2 2 2 32 3 2" xfId="15197"/>
    <cellStyle name="Финансовый 2 2 2 2 32 3 2 2" xfId="37512"/>
    <cellStyle name="Финансовый 2 2 2 2 32 3 3" xfId="9391"/>
    <cellStyle name="Финансовый 2 2 2 2 32 3 4" xfId="31713"/>
    <cellStyle name="Финансовый 2 2 2 2 32 4" xfId="921"/>
    <cellStyle name="Финансовый 2 2 2 2 32 4 2" xfId="15249"/>
    <cellStyle name="Финансовый 2 2 2 2 32 4 2 2" xfId="37564"/>
    <cellStyle name="Финансовый 2 2 2 2 32 4 3" xfId="9443"/>
    <cellStyle name="Финансовый 2 2 2 2 32 4 4" xfId="31763"/>
    <cellStyle name="Финансовый 2 2 2 2 32 5" xfId="1073"/>
    <cellStyle name="Финансовый 2 2 2 2 32 5 2" xfId="15386"/>
    <cellStyle name="Финансовый 2 2 2 2 32 5 2 2" xfId="37701"/>
    <cellStyle name="Финансовый 2 2 2 2 32 5 3" xfId="9580"/>
    <cellStyle name="Финансовый 2 2 2 2 32 5 4" xfId="31899"/>
    <cellStyle name="Финансовый 2 2 2 2 32 6" xfId="1137"/>
    <cellStyle name="Финансовый 2 2 2 2 32 6 2" xfId="15438"/>
    <cellStyle name="Финансовый 2 2 2 2 32 6 2 2" xfId="37753"/>
    <cellStyle name="Финансовый 2 2 2 2 32 6 3" xfId="9632"/>
    <cellStyle name="Финансовый 2 2 2 2 32 6 4" xfId="31949"/>
    <cellStyle name="Финансовый 2 2 2 2 32 7" xfId="1273"/>
    <cellStyle name="Финансовый 2 2 2 2 32 7 2" xfId="15532"/>
    <cellStyle name="Финансовый 2 2 2 2 32 7 2 2" xfId="37847"/>
    <cellStyle name="Финансовый 2 2 2 2 32 7 3" xfId="9726"/>
    <cellStyle name="Финансовый 2 2 2 2 32 7 4" xfId="32041"/>
    <cellStyle name="Финансовый 2 2 2 2 32 8" xfId="1663"/>
    <cellStyle name="Финансовый 2 2 2 2 32 8 2" xfId="15892"/>
    <cellStyle name="Финансовый 2 2 2 2 32 8 2 2" xfId="38207"/>
    <cellStyle name="Финансовый 2 2 2 2 32 8 3" xfId="10086"/>
    <cellStyle name="Финансовый 2 2 2 2 32 8 4" xfId="32401"/>
    <cellStyle name="Финансовый 2 2 2 2 32 9" xfId="1737"/>
    <cellStyle name="Финансовый 2 2 2 2 32 9 2" xfId="15961"/>
    <cellStyle name="Финансовый 2 2 2 2 32 9 2 2" xfId="38276"/>
    <cellStyle name="Финансовый 2 2 2 2 32 9 3" xfId="10155"/>
    <cellStyle name="Финансовый 2 2 2 2 32 9 4" xfId="32470"/>
    <cellStyle name="Финансовый 2 2 2 2 33" xfId="178"/>
    <cellStyle name="Финансовый 2 2 2 2 33 10" xfId="2077"/>
    <cellStyle name="Финансовый 2 2 2 2 33 10 2" xfId="16252"/>
    <cellStyle name="Финансовый 2 2 2 2 33 10 2 2" xfId="38567"/>
    <cellStyle name="Финансовый 2 2 2 2 33 10 3" xfId="10446"/>
    <cellStyle name="Финансовый 2 2 2 2 33 10 4" xfId="32761"/>
    <cellStyle name="Финансовый 2 2 2 2 33 11" xfId="2312"/>
    <cellStyle name="Финансовый 2 2 2 2 33 11 2" xfId="16445"/>
    <cellStyle name="Финансовый 2 2 2 2 33 11 2 2" xfId="38760"/>
    <cellStyle name="Финансовый 2 2 2 2 33 11 3" xfId="10639"/>
    <cellStyle name="Финансовый 2 2 2 2 33 11 4" xfId="32954"/>
    <cellStyle name="Финансовый 2 2 2 2 33 12" xfId="2544"/>
    <cellStyle name="Финансовый 2 2 2 2 33 12 2" xfId="16635"/>
    <cellStyle name="Финансовый 2 2 2 2 33 12 2 2" xfId="38950"/>
    <cellStyle name="Финансовый 2 2 2 2 33 12 3" xfId="10829"/>
    <cellStyle name="Финансовый 2 2 2 2 33 12 4" xfId="33144"/>
    <cellStyle name="Финансовый 2 2 2 2 33 13" xfId="2769"/>
    <cellStyle name="Финансовый 2 2 2 2 33 13 2" xfId="16819"/>
    <cellStyle name="Финансовый 2 2 2 2 33 13 2 2" xfId="39134"/>
    <cellStyle name="Финансовый 2 2 2 2 33 13 3" xfId="11013"/>
    <cellStyle name="Финансовый 2 2 2 2 33 13 4" xfId="33328"/>
    <cellStyle name="Финансовый 2 2 2 2 33 14" xfId="2986"/>
    <cellStyle name="Финансовый 2 2 2 2 33 14 2" xfId="16996"/>
    <cellStyle name="Финансовый 2 2 2 2 33 14 2 2" xfId="39311"/>
    <cellStyle name="Финансовый 2 2 2 2 33 14 3" xfId="11190"/>
    <cellStyle name="Финансовый 2 2 2 2 33 14 4" xfId="33505"/>
    <cellStyle name="Финансовый 2 2 2 2 33 15" xfId="3192"/>
    <cellStyle name="Финансовый 2 2 2 2 33 15 2" xfId="17163"/>
    <cellStyle name="Финансовый 2 2 2 2 33 15 2 2" xfId="39478"/>
    <cellStyle name="Финансовый 2 2 2 2 33 15 3" xfId="11357"/>
    <cellStyle name="Финансовый 2 2 2 2 33 15 4" xfId="33672"/>
    <cellStyle name="Финансовый 2 2 2 2 33 16" xfId="3380"/>
    <cellStyle name="Финансовый 2 2 2 2 33 16 2" xfId="17312"/>
    <cellStyle name="Финансовый 2 2 2 2 33 16 2 2" xfId="39627"/>
    <cellStyle name="Финансовый 2 2 2 2 33 16 3" xfId="11506"/>
    <cellStyle name="Финансовый 2 2 2 2 33 16 4" xfId="33821"/>
    <cellStyle name="Финансовый 2 2 2 2 33 17" xfId="3559"/>
    <cellStyle name="Финансовый 2 2 2 2 33 17 2" xfId="17453"/>
    <cellStyle name="Финансовый 2 2 2 2 33 17 2 2" xfId="39768"/>
    <cellStyle name="Финансовый 2 2 2 2 33 17 3" xfId="11647"/>
    <cellStyle name="Финансовый 2 2 2 2 33 17 4" xfId="33962"/>
    <cellStyle name="Финансовый 2 2 2 2 33 18" xfId="3719"/>
    <cellStyle name="Финансовый 2 2 2 2 33 18 2" xfId="17575"/>
    <cellStyle name="Финансовый 2 2 2 2 33 18 2 2" xfId="39890"/>
    <cellStyle name="Финансовый 2 2 2 2 33 18 3" xfId="11769"/>
    <cellStyle name="Финансовый 2 2 2 2 33 18 4" xfId="34084"/>
    <cellStyle name="Финансовый 2 2 2 2 33 19" xfId="7676"/>
    <cellStyle name="Финансовый 2 2 2 2 33 19 2" xfId="19754"/>
    <cellStyle name="Финансовый 2 2 2 2 33 19 2 2" xfId="42069"/>
    <cellStyle name="Финансовый 2 2 2 2 33 19 3" xfId="13948"/>
    <cellStyle name="Финансовый 2 2 2 2 33 19 4" xfId="36263"/>
    <cellStyle name="Финансовый 2 2 2 2 33 2" xfId="520"/>
    <cellStyle name="Финансовый 2 2 2 2 33 2 10" xfId="3009"/>
    <cellStyle name="Финансовый 2 2 2 2 33 2 10 2" xfId="17017"/>
    <cellStyle name="Финансовый 2 2 2 2 33 2 10 2 2" xfId="39332"/>
    <cellStyle name="Финансовый 2 2 2 2 33 2 10 3" xfId="11211"/>
    <cellStyle name="Финансовый 2 2 2 2 33 2 10 4" xfId="33526"/>
    <cellStyle name="Финансовый 2 2 2 2 33 2 11" xfId="3213"/>
    <cellStyle name="Финансовый 2 2 2 2 33 2 11 2" xfId="17182"/>
    <cellStyle name="Финансовый 2 2 2 2 33 2 11 2 2" xfId="39497"/>
    <cellStyle name="Финансовый 2 2 2 2 33 2 11 3" xfId="11376"/>
    <cellStyle name="Финансовый 2 2 2 2 33 2 11 4" xfId="33691"/>
    <cellStyle name="Финансовый 2 2 2 2 33 2 12" xfId="3401"/>
    <cellStyle name="Финансовый 2 2 2 2 33 2 12 2" xfId="17331"/>
    <cellStyle name="Финансовый 2 2 2 2 33 2 12 2 2" xfId="39646"/>
    <cellStyle name="Финансовый 2 2 2 2 33 2 12 3" xfId="11525"/>
    <cellStyle name="Финансовый 2 2 2 2 33 2 12 4" xfId="33840"/>
    <cellStyle name="Финансовый 2 2 2 2 33 2 13" xfId="3576"/>
    <cellStyle name="Финансовый 2 2 2 2 33 2 13 2" xfId="17468"/>
    <cellStyle name="Финансовый 2 2 2 2 33 2 13 2 2" xfId="39783"/>
    <cellStyle name="Финансовый 2 2 2 2 33 2 13 3" xfId="11662"/>
    <cellStyle name="Финансовый 2 2 2 2 33 2 13 4" xfId="33977"/>
    <cellStyle name="Финансовый 2 2 2 2 33 2 14" xfId="3734"/>
    <cellStyle name="Финансовый 2 2 2 2 33 2 14 2" xfId="17588"/>
    <cellStyle name="Финансовый 2 2 2 2 33 2 14 2 2" xfId="39903"/>
    <cellStyle name="Финансовый 2 2 2 2 33 2 14 3" xfId="11782"/>
    <cellStyle name="Финансовый 2 2 2 2 33 2 14 4" xfId="34097"/>
    <cellStyle name="Финансовый 2 2 2 2 33 2 15" xfId="4270"/>
    <cellStyle name="Финансовый 2 2 2 2 33 2 15 2" xfId="17905"/>
    <cellStyle name="Финансовый 2 2 2 2 33 2 15 2 2" xfId="40220"/>
    <cellStyle name="Финансовый 2 2 2 2 33 2 15 3" xfId="12099"/>
    <cellStyle name="Финансовый 2 2 2 2 33 2 15 4" xfId="34414"/>
    <cellStyle name="Финансовый 2 2 2 2 33 2 16" xfId="6818"/>
    <cellStyle name="Финансовый 2 2 2 2 33 2 16 2" xfId="19290"/>
    <cellStyle name="Финансовый 2 2 2 2 33 2 16 2 2" xfId="41605"/>
    <cellStyle name="Финансовый 2 2 2 2 33 2 16 3" xfId="13484"/>
    <cellStyle name="Финансовый 2 2 2 2 33 2 16 4" xfId="35799"/>
    <cellStyle name="Финансовый 2 2 2 2 33 2 17" xfId="7765"/>
    <cellStyle name="Финансовый 2 2 2 2 33 2 17 2" xfId="19802"/>
    <cellStyle name="Финансовый 2 2 2 2 33 2 17 2 2" xfId="42117"/>
    <cellStyle name="Финансовый 2 2 2 2 33 2 17 3" xfId="13996"/>
    <cellStyle name="Финансовый 2 2 2 2 33 2 17 4" xfId="36311"/>
    <cellStyle name="Финансовый 2 2 2 2 33 2 18" xfId="14921"/>
    <cellStyle name="Финансовый 2 2 2 2 33 2 18 2" xfId="37236"/>
    <cellStyle name="Финансовый 2 2 2 2 33 2 19" xfId="9115"/>
    <cellStyle name="Финансовый 2 2 2 2 33 2 2" xfId="740"/>
    <cellStyle name="Финансовый 2 2 2 2 33 2 2 2" xfId="15118"/>
    <cellStyle name="Финансовый 2 2 2 2 33 2 2 2 2" xfId="37433"/>
    <cellStyle name="Финансовый 2 2 2 2 33 2 2 3" xfId="9312"/>
    <cellStyle name="Финансовый 2 2 2 2 33 2 2 4" xfId="31635"/>
    <cellStyle name="Финансовый 2 2 2 2 33 2 20" xfId="31448"/>
    <cellStyle name="Финансовый 2 2 2 2 33 2 3" xfId="1490"/>
    <cellStyle name="Финансовый 2 2 2 2 33 2 3 2" xfId="15732"/>
    <cellStyle name="Финансовый 2 2 2 2 33 2 3 2 2" xfId="38047"/>
    <cellStyle name="Финансовый 2 2 2 2 33 2 3 3" xfId="9926"/>
    <cellStyle name="Финансовый 2 2 2 2 33 2 3 4" xfId="32241"/>
    <cellStyle name="Финансовый 2 2 2 2 33 2 4" xfId="1584"/>
    <cellStyle name="Финансовый 2 2 2 2 33 2 4 2" xfId="15822"/>
    <cellStyle name="Финансовый 2 2 2 2 33 2 4 2 2" xfId="38137"/>
    <cellStyle name="Финансовый 2 2 2 2 33 2 4 3" xfId="10016"/>
    <cellStyle name="Финансовый 2 2 2 2 33 2 4 4" xfId="32331"/>
    <cellStyle name="Финансовый 2 2 2 2 33 2 5" xfId="1866"/>
    <cellStyle name="Финансовый 2 2 2 2 33 2 5 2" xfId="16080"/>
    <cellStyle name="Финансовый 2 2 2 2 33 2 5 2 2" xfId="38395"/>
    <cellStyle name="Финансовый 2 2 2 2 33 2 5 3" xfId="10274"/>
    <cellStyle name="Финансовый 2 2 2 2 33 2 5 4" xfId="32589"/>
    <cellStyle name="Финансовый 2 2 2 2 33 2 6" xfId="2104"/>
    <cellStyle name="Финансовый 2 2 2 2 33 2 6 2" xfId="16276"/>
    <cellStyle name="Финансовый 2 2 2 2 33 2 6 2 2" xfId="38591"/>
    <cellStyle name="Финансовый 2 2 2 2 33 2 6 3" xfId="10470"/>
    <cellStyle name="Финансовый 2 2 2 2 33 2 6 4" xfId="32785"/>
    <cellStyle name="Финансовый 2 2 2 2 33 2 7" xfId="2339"/>
    <cellStyle name="Финансовый 2 2 2 2 33 2 7 2" xfId="16469"/>
    <cellStyle name="Финансовый 2 2 2 2 33 2 7 2 2" xfId="38784"/>
    <cellStyle name="Финансовый 2 2 2 2 33 2 7 3" xfId="10663"/>
    <cellStyle name="Финансовый 2 2 2 2 33 2 7 4" xfId="32978"/>
    <cellStyle name="Финансовый 2 2 2 2 33 2 8" xfId="2571"/>
    <cellStyle name="Финансовый 2 2 2 2 33 2 8 2" xfId="16659"/>
    <cellStyle name="Финансовый 2 2 2 2 33 2 8 2 2" xfId="38974"/>
    <cellStyle name="Финансовый 2 2 2 2 33 2 8 3" xfId="10853"/>
    <cellStyle name="Финансовый 2 2 2 2 33 2 8 4" xfId="33168"/>
    <cellStyle name="Финансовый 2 2 2 2 33 2 9" xfId="2794"/>
    <cellStyle name="Финансовый 2 2 2 2 33 2 9 2" xfId="16842"/>
    <cellStyle name="Финансовый 2 2 2 2 33 2 9 2 2" xfId="39157"/>
    <cellStyle name="Финансовый 2 2 2 2 33 2 9 3" xfId="11036"/>
    <cellStyle name="Финансовый 2 2 2 2 33 2 9 4" xfId="33351"/>
    <cellStyle name="Финансовый 2 2 2 2 33 20" xfId="5604"/>
    <cellStyle name="Финансовый 2 2 2 2 33 20 2" xfId="18641"/>
    <cellStyle name="Финансовый 2 2 2 2 33 20 2 2" xfId="40956"/>
    <cellStyle name="Финансовый 2 2 2 2 33 20 3" xfId="12835"/>
    <cellStyle name="Финансовый 2 2 2 2 33 20 4" xfId="35150"/>
    <cellStyle name="Финансовый 2 2 2 2 33 21" xfId="8228"/>
    <cellStyle name="Финансовый 2 2 2 2 33 21 2" xfId="20071"/>
    <cellStyle name="Финансовый 2 2 2 2 33 21 2 2" xfId="42386"/>
    <cellStyle name="Финансовый 2 2 2 2 33 21 3" xfId="14265"/>
    <cellStyle name="Финансовый 2 2 2 2 33 21 4" xfId="36580"/>
    <cellStyle name="Финансовый 2 2 2 2 33 22" xfId="14664"/>
    <cellStyle name="Финансовый 2 2 2 2 33 22 2" xfId="36979"/>
    <cellStyle name="Финансовый 2 2 2 2 33 23" xfId="8858"/>
    <cellStyle name="Финансовый 2 2 2 2 33 24" xfId="31194"/>
    <cellStyle name="Финансовый 2 2 2 2 33 3" xfId="860"/>
    <cellStyle name="Финансовый 2 2 2 2 33 3 2" xfId="15200"/>
    <cellStyle name="Финансовый 2 2 2 2 33 3 2 2" xfId="37515"/>
    <cellStyle name="Финансовый 2 2 2 2 33 3 3" xfId="9394"/>
    <cellStyle name="Финансовый 2 2 2 2 33 3 4" xfId="31716"/>
    <cellStyle name="Финансовый 2 2 2 2 33 4" xfId="923"/>
    <cellStyle name="Финансовый 2 2 2 2 33 4 2" xfId="15251"/>
    <cellStyle name="Финансовый 2 2 2 2 33 4 2 2" xfId="37566"/>
    <cellStyle name="Финансовый 2 2 2 2 33 4 3" xfId="9445"/>
    <cellStyle name="Финансовый 2 2 2 2 33 4 4" xfId="31765"/>
    <cellStyle name="Финансовый 2 2 2 2 33 5" xfId="1076"/>
    <cellStyle name="Финансовый 2 2 2 2 33 5 2" xfId="15389"/>
    <cellStyle name="Финансовый 2 2 2 2 33 5 2 2" xfId="37704"/>
    <cellStyle name="Финансовый 2 2 2 2 33 5 3" xfId="9583"/>
    <cellStyle name="Финансовый 2 2 2 2 33 5 4" xfId="31902"/>
    <cellStyle name="Финансовый 2 2 2 2 33 6" xfId="1139"/>
    <cellStyle name="Финансовый 2 2 2 2 33 6 2" xfId="15440"/>
    <cellStyle name="Финансовый 2 2 2 2 33 6 2 2" xfId="37755"/>
    <cellStyle name="Финансовый 2 2 2 2 33 6 3" xfId="9634"/>
    <cellStyle name="Финансовый 2 2 2 2 33 6 4" xfId="31951"/>
    <cellStyle name="Финансовый 2 2 2 2 33 7" xfId="1278"/>
    <cellStyle name="Финансовый 2 2 2 2 33 7 2" xfId="15536"/>
    <cellStyle name="Финансовый 2 2 2 2 33 7 2 2" xfId="37851"/>
    <cellStyle name="Финансовый 2 2 2 2 33 7 3" xfId="9730"/>
    <cellStyle name="Финансовый 2 2 2 2 33 7 4" xfId="32045"/>
    <cellStyle name="Финансовый 2 2 2 2 33 8" xfId="1602"/>
    <cellStyle name="Финансовый 2 2 2 2 33 8 2" xfId="15837"/>
    <cellStyle name="Финансовый 2 2 2 2 33 8 2 2" xfId="38152"/>
    <cellStyle name="Финансовый 2 2 2 2 33 8 3" xfId="10031"/>
    <cellStyle name="Финансовый 2 2 2 2 33 8 4" xfId="32346"/>
    <cellStyle name="Финансовый 2 2 2 2 33 9" xfId="1839"/>
    <cellStyle name="Финансовый 2 2 2 2 33 9 2" xfId="16056"/>
    <cellStyle name="Финансовый 2 2 2 2 33 9 2 2" xfId="38371"/>
    <cellStyle name="Финансовый 2 2 2 2 33 9 3" xfId="10250"/>
    <cellStyle name="Финансовый 2 2 2 2 33 9 4" xfId="32565"/>
    <cellStyle name="Финансовый 2 2 2 2 34" xfId="183"/>
    <cellStyle name="Финансовый 2 2 2 2 34 10" xfId="2095"/>
    <cellStyle name="Финансовый 2 2 2 2 34 10 2" xfId="16268"/>
    <cellStyle name="Финансовый 2 2 2 2 34 10 2 2" xfId="38583"/>
    <cellStyle name="Финансовый 2 2 2 2 34 10 3" xfId="10462"/>
    <cellStyle name="Финансовый 2 2 2 2 34 10 4" xfId="32777"/>
    <cellStyle name="Финансовый 2 2 2 2 34 11" xfId="2330"/>
    <cellStyle name="Финансовый 2 2 2 2 34 11 2" xfId="16461"/>
    <cellStyle name="Финансовый 2 2 2 2 34 11 2 2" xfId="38776"/>
    <cellStyle name="Финансовый 2 2 2 2 34 11 3" xfId="10655"/>
    <cellStyle name="Финансовый 2 2 2 2 34 11 4" xfId="32970"/>
    <cellStyle name="Финансовый 2 2 2 2 34 12" xfId="2562"/>
    <cellStyle name="Финансовый 2 2 2 2 34 12 2" xfId="16651"/>
    <cellStyle name="Финансовый 2 2 2 2 34 12 2 2" xfId="38966"/>
    <cellStyle name="Финансовый 2 2 2 2 34 12 3" xfId="10845"/>
    <cellStyle name="Финансовый 2 2 2 2 34 12 4" xfId="33160"/>
    <cellStyle name="Финансовый 2 2 2 2 34 13" xfId="2786"/>
    <cellStyle name="Финансовый 2 2 2 2 34 13 2" xfId="16834"/>
    <cellStyle name="Финансовый 2 2 2 2 34 13 2 2" xfId="39149"/>
    <cellStyle name="Финансовый 2 2 2 2 34 13 3" xfId="11028"/>
    <cellStyle name="Финансовый 2 2 2 2 34 13 4" xfId="33343"/>
    <cellStyle name="Финансовый 2 2 2 2 34 14" xfId="3002"/>
    <cellStyle name="Финансовый 2 2 2 2 34 14 2" xfId="17010"/>
    <cellStyle name="Финансовый 2 2 2 2 34 14 2 2" xfId="39325"/>
    <cellStyle name="Финансовый 2 2 2 2 34 14 3" xfId="11204"/>
    <cellStyle name="Финансовый 2 2 2 2 34 14 4" xfId="33519"/>
    <cellStyle name="Финансовый 2 2 2 2 34 15" xfId="3207"/>
    <cellStyle name="Финансовый 2 2 2 2 34 15 2" xfId="17176"/>
    <cellStyle name="Финансовый 2 2 2 2 34 15 2 2" xfId="39491"/>
    <cellStyle name="Финансовый 2 2 2 2 34 15 3" xfId="11370"/>
    <cellStyle name="Финансовый 2 2 2 2 34 15 4" xfId="33685"/>
    <cellStyle name="Финансовый 2 2 2 2 34 16" xfId="3395"/>
    <cellStyle name="Финансовый 2 2 2 2 34 16 2" xfId="17325"/>
    <cellStyle name="Финансовый 2 2 2 2 34 16 2 2" xfId="39640"/>
    <cellStyle name="Финансовый 2 2 2 2 34 16 3" xfId="11519"/>
    <cellStyle name="Финансовый 2 2 2 2 34 16 4" xfId="33834"/>
    <cellStyle name="Финансовый 2 2 2 2 34 17" xfId="3571"/>
    <cellStyle name="Финансовый 2 2 2 2 34 17 2" xfId="17463"/>
    <cellStyle name="Финансовый 2 2 2 2 34 17 2 2" xfId="39778"/>
    <cellStyle name="Финансовый 2 2 2 2 34 17 3" xfId="11657"/>
    <cellStyle name="Финансовый 2 2 2 2 34 17 4" xfId="33972"/>
    <cellStyle name="Финансовый 2 2 2 2 34 18" xfId="3730"/>
    <cellStyle name="Финансовый 2 2 2 2 34 18 2" xfId="17584"/>
    <cellStyle name="Финансовый 2 2 2 2 34 18 2 2" xfId="39899"/>
    <cellStyle name="Финансовый 2 2 2 2 34 18 3" xfId="11778"/>
    <cellStyle name="Финансовый 2 2 2 2 34 18 4" xfId="34093"/>
    <cellStyle name="Финансовый 2 2 2 2 34 19" xfId="8423"/>
    <cellStyle name="Финансовый 2 2 2 2 34 19 2" xfId="20184"/>
    <cellStyle name="Финансовый 2 2 2 2 34 19 2 2" xfId="42499"/>
    <cellStyle name="Финансовый 2 2 2 2 34 19 3" xfId="14378"/>
    <cellStyle name="Финансовый 2 2 2 2 34 19 4" xfId="36693"/>
    <cellStyle name="Финансовый 2 2 2 2 34 2" xfId="525"/>
    <cellStyle name="Финансовый 2 2 2 2 34 2 10" xfId="2955"/>
    <cellStyle name="Финансовый 2 2 2 2 34 2 10 2" xfId="16967"/>
    <cellStyle name="Финансовый 2 2 2 2 34 2 10 2 2" xfId="39282"/>
    <cellStyle name="Финансовый 2 2 2 2 34 2 10 3" xfId="11161"/>
    <cellStyle name="Финансовый 2 2 2 2 34 2 10 4" xfId="33476"/>
    <cellStyle name="Финансовый 2 2 2 2 34 2 11" xfId="3164"/>
    <cellStyle name="Финансовый 2 2 2 2 34 2 11 2" xfId="17137"/>
    <cellStyle name="Финансовый 2 2 2 2 34 2 11 2 2" xfId="39452"/>
    <cellStyle name="Финансовый 2 2 2 2 34 2 11 3" xfId="11331"/>
    <cellStyle name="Финансовый 2 2 2 2 34 2 11 4" xfId="33646"/>
    <cellStyle name="Финансовый 2 2 2 2 34 2 12" xfId="3356"/>
    <cellStyle name="Финансовый 2 2 2 2 34 2 12 2" xfId="17290"/>
    <cellStyle name="Финансовый 2 2 2 2 34 2 12 2 2" xfId="39605"/>
    <cellStyle name="Финансовый 2 2 2 2 34 2 12 3" xfId="11484"/>
    <cellStyle name="Финансовый 2 2 2 2 34 2 12 4" xfId="33799"/>
    <cellStyle name="Финансовый 2 2 2 2 34 2 13" xfId="3538"/>
    <cellStyle name="Финансовый 2 2 2 2 34 2 13 2" xfId="17433"/>
    <cellStyle name="Финансовый 2 2 2 2 34 2 13 2 2" xfId="39748"/>
    <cellStyle name="Финансовый 2 2 2 2 34 2 13 3" xfId="11627"/>
    <cellStyle name="Финансовый 2 2 2 2 34 2 13 4" xfId="33942"/>
    <cellStyle name="Финансовый 2 2 2 2 34 2 14" xfId="3700"/>
    <cellStyle name="Финансовый 2 2 2 2 34 2 14 2" xfId="17557"/>
    <cellStyle name="Финансовый 2 2 2 2 34 2 14 2 2" xfId="39872"/>
    <cellStyle name="Финансовый 2 2 2 2 34 2 14 3" xfId="11751"/>
    <cellStyle name="Финансовый 2 2 2 2 34 2 14 4" xfId="34066"/>
    <cellStyle name="Финансовый 2 2 2 2 34 2 15" xfId="6126"/>
    <cellStyle name="Финансовый 2 2 2 2 34 2 15 2" xfId="18917"/>
    <cellStyle name="Финансовый 2 2 2 2 34 2 15 2 2" xfId="41232"/>
    <cellStyle name="Финансовый 2 2 2 2 34 2 15 3" xfId="13111"/>
    <cellStyle name="Финансовый 2 2 2 2 34 2 15 4" xfId="35426"/>
    <cellStyle name="Финансовый 2 2 2 2 34 2 16" xfId="4870"/>
    <cellStyle name="Финансовый 2 2 2 2 34 2 16 2" xfId="18235"/>
    <cellStyle name="Финансовый 2 2 2 2 34 2 16 2 2" xfId="40550"/>
    <cellStyle name="Финансовый 2 2 2 2 34 2 16 3" xfId="12429"/>
    <cellStyle name="Финансовый 2 2 2 2 34 2 16 4" xfId="34744"/>
    <cellStyle name="Финансовый 2 2 2 2 34 2 17" xfId="4330"/>
    <cellStyle name="Финансовый 2 2 2 2 34 2 17 2" xfId="17942"/>
    <cellStyle name="Финансовый 2 2 2 2 34 2 17 2 2" xfId="40257"/>
    <cellStyle name="Финансовый 2 2 2 2 34 2 17 3" xfId="12136"/>
    <cellStyle name="Финансовый 2 2 2 2 34 2 17 4" xfId="34451"/>
    <cellStyle name="Финансовый 2 2 2 2 34 2 18" xfId="14926"/>
    <cellStyle name="Финансовый 2 2 2 2 34 2 18 2" xfId="37241"/>
    <cellStyle name="Финансовый 2 2 2 2 34 2 19" xfId="9120"/>
    <cellStyle name="Финансовый 2 2 2 2 34 2 2" xfId="743"/>
    <cellStyle name="Финансовый 2 2 2 2 34 2 2 2" xfId="15121"/>
    <cellStyle name="Финансовый 2 2 2 2 34 2 2 2 2" xfId="37436"/>
    <cellStyle name="Финансовый 2 2 2 2 34 2 2 3" xfId="9315"/>
    <cellStyle name="Финансовый 2 2 2 2 34 2 2 4" xfId="31638"/>
    <cellStyle name="Финансовый 2 2 2 2 34 2 20" xfId="31453"/>
    <cellStyle name="Финансовый 2 2 2 2 34 2 3" xfId="1493"/>
    <cellStyle name="Финансовый 2 2 2 2 34 2 3 2" xfId="15735"/>
    <cellStyle name="Финансовый 2 2 2 2 34 2 3 2 2" xfId="38050"/>
    <cellStyle name="Финансовый 2 2 2 2 34 2 3 3" xfId="9929"/>
    <cellStyle name="Финансовый 2 2 2 2 34 2 3 4" xfId="32244"/>
    <cellStyle name="Финансовый 2 2 2 2 34 2 4" xfId="1511"/>
    <cellStyle name="Финансовый 2 2 2 2 34 2 4 2" xfId="15753"/>
    <cellStyle name="Финансовый 2 2 2 2 34 2 4 2 2" xfId="38068"/>
    <cellStyle name="Финансовый 2 2 2 2 34 2 4 3" xfId="9947"/>
    <cellStyle name="Финансовый 2 2 2 2 34 2 4 4" xfId="32262"/>
    <cellStyle name="Финансовый 2 2 2 2 34 2 5" xfId="1802"/>
    <cellStyle name="Финансовый 2 2 2 2 34 2 5 2" xfId="16021"/>
    <cellStyle name="Финансовый 2 2 2 2 34 2 5 2 2" xfId="38336"/>
    <cellStyle name="Финансовый 2 2 2 2 34 2 5 3" xfId="10215"/>
    <cellStyle name="Финансовый 2 2 2 2 34 2 5 4" xfId="32530"/>
    <cellStyle name="Финансовый 2 2 2 2 34 2 6" xfId="2040"/>
    <cellStyle name="Финансовый 2 2 2 2 34 2 6 2" xfId="16217"/>
    <cellStyle name="Финансовый 2 2 2 2 34 2 6 2 2" xfId="38532"/>
    <cellStyle name="Финансовый 2 2 2 2 34 2 6 3" xfId="10411"/>
    <cellStyle name="Финансовый 2 2 2 2 34 2 6 4" xfId="32726"/>
    <cellStyle name="Финансовый 2 2 2 2 34 2 7" xfId="2275"/>
    <cellStyle name="Финансовый 2 2 2 2 34 2 7 2" xfId="16410"/>
    <cellStyle name="Финансовый 2 2 2 2 34 2 7 2 2" xfId="38725"/>
    <cellStyle name="Финансовый 2 2 2 2 34 2 7 3" xfId="10604"/>
    <cellStyle name="Финансовый 2 2 2 2 34 2 7 4" xfId="32919"/>
    <cellStyle name="Финансовый 2 2 2 2 34 2 8" xfId="2509"/>
    <cellStyle name="Финансовый 2 2 2 2 34 2 8 2" xfId="16602"/>
    <cellStyle name="Финансовый 2 2 2 2 34 2 8 2 2" xfId="38917"/>
    <cellStyle name="Финансовый 2 2 2 2 34 2 8 3" xfId="10796"/>
    <cellStyle name="Финансовый 2 2 2 2 34 2 8 4" xfId="33111"/>
    <cellStyle name="Финансовый 2 2 2 2 34 2 9" xfId="2736"/>
    <cellStyle name="Финансовый 2 2 2 2 34 2 9 2" xfId="16788"/>
    <cellStyle name="Финансовый 2 2 2 2 34 2 9 2 2" xfId="39103"/>
    <cellStyle name="Финансовый 2 2 2 2 34 2 9 3" xfId="10982"/>
    <cellStyle name="Финансовый 2 2 2 2 34 2 9 4" xfId="33297"/>
    <cellStyle name="Финансовый 2 2 2 2 34 20" xfId="4505"/>
    <cellStyle name="Финансовый 2 2 2 2 34 20 2" xfId="18039"/>
    <cellStyle name="Финансовый 2 2 2 2 34 20 2 2" xfId="40354"/>
    <cellStyle name="Финансовый 2 2 2 2 34 20 3" xfId="12233"/>
    <cellStyle name="Финансовый 2 2 2 2 34 20 4" xfId="34548"/>
    <cellStyle name="Финансовый 2 2 2 2 34 21" xfId="7869"/>
    <cellStyle name="Финансовый 2 2 2 2 34 21 2" xfId="19862"/>
    <cellStyle name="Финансовый 2 2 2 2 34 21 2 2" xfId="42177"/>
    <cellStyle name="Финансовый 2 2 2 2 34 21 3" xfId="14056"/>
    <cellStyle name="Финансовый 2 2 2 2 34 21 4" xfId="36371"/>
    <cellStyle name="Финансовый 2 2 2 2 34 22" xfId="14666"/>
    <cellStyle name="Финансовый 2 2 2 2 34 22 2" xfId="36981"/>
    <cellStyle name="Финансовый 2 2 2 2 34 23" xfId="8860"/>
    <cellStyle name="Финансовый 2 2 2 2 34 24" xfId="31196"/>
    <cellStyle name="Финансовый 2 2 2 2 34 3" xfId="863"/>
    <cellStyle name="Финансовый 2 2 2 2 34 3 2" xfId="15203"/>
    <cellStyle name="Финансовый 2 2 2 2 34 3 2 2" xfId="37518"/>
    <cellStyle name="Финансовый 2 2 2 2 34 3 3" xfId="9397"/>
    <cellStyle name="Финансовый 2 2 2 2 34 3 4" xfId="31719"/>
    <cellStyle name="Финансовый 2 2 2 2 34 4" xfId="925"/>
    <cellStyle name="Финансовый 2 2 2 2 34 4 2" xfId="15253"/>
    <cellStyle name="Финансовый 2 2 2 2 34 4 2 2" xfId="37568"/>
    <cellStyle name="Финансовый 2 2 2 2 34 4 3" xfId="9447"/>
    <cellStyle name="Финансовый 2 2 2 2 34 4 4" xfId="31767"/>
    <cellStyle name="Финансовый 2 2 2 2 34 5" xfId="1079"/>
    <cellStyle name="Финансовый 2 2 2 2 34 5 2" xfId="15392"/>
    <cellStyle name="Финансовый 2 2 2 2 34 5 2 2" xfId="37707"/>
    <cellStyle name="Финансовый 2 2 2 2 34 5 3" xfId="9586"/>
    <cellStyle name="Финансовый 2 2 2 2 34 5 4" xfId="31905"/>
    <cellStyle name="Финансовый 2 2 2 2 34 6" xfId="1141"/>
    <cellStyle name="Финансовый 2 2 2 2 34 6 2" xfId="15442"/>
    <cellStyle name="Финансовый 2 2 2 2 34 6 2 2" xfId="37757"/>
    <cellStyle name="Финансовый 2 2 2 2 34 6 3" xfId="9636"/>
    <cellStyle name="Финансовый 2 2 2 2 34 6 4" xfId="31953"/>
    <cellStyle name="Финансовый 2 2 2 2 34 7" xfId="1283"/>
    <cellStyle name="Финансовый 2 2 2 2 34 7 2" xfId="15541"/>
    <cellStyle name="Финансовый 2 2 2 2 34 7 2 2" xfId="37856"/>
    <cellStyle name="Финансовый 2 2 2 2 34 7 3" xfId="9735"/>
    <cellStyle name="Финансовый 2 2 2 2 34 7 4" xfId="32050"/>
    <cellStyle name="Финансовый 2 2 2 2 34 8" xfId="1703"/>
    <cellStyle name="Финансовый 2 2 2 2 34 8 2" xfId="15930"/>
    <cellStyle name="Финансовый 2 2 2 2 34 8 2 2" xfId="38245"/>
    <cellStyle name="Финансовый 2 2 2 2 34 8 3" xfId="10124"/>
    <cellStyle name="Финансовый 2 2 2 2 34 8 4" xfId="32439"/>
    <cellStyle name="Финансовый 2 2 2 2 34 9" xfId="1857"/>
    <cellStyle name="Финансовый 2 2 2 2 34 9 2" xfId="16072"/>
    <cellStyle name="Финансовый 2 2 2 2 34 9 2 2" xfId="38387"/>
    <cellStyle name="Финансовый 2 2 2 2 34 9 3" xfId="10266"/>
    <cellStyle name="Финансовый 2 2 2 2 34 9 4" xfId="32581"/>
    <cellStyle name="Финансовый 2 2 2 2 35" xfId="188"/>
    <cellStyle name="Финансовый 2 2 2 2 35 10" xfId="2269"/>
    <cellStyle name="Финансовый 2 2 2 2 35 10 2" xfId="16404"/>
    <cellStyle name="Финансовый 2 2 2 2 35 10 2 2" xfId="38719"/>
    <cellStyle name="Финансовый 2 2 2 2 35 10 3" xfId="10598"/>
    <cellStyle name="Финансовый 2 2 2 2 35 10 4" xfId="32913"/>
    <cellStyle name="Финансовый 2 2 2 2 35 11" xfId="2503"/>
    <cellStyle name="Финансовый 2 2 2 2 35 11 2" xfId="16596"/>
    <cellStyle name="Финансовый 2 2 2 2 35 11 2 2" xfId="38911"/>
    <cellStyle name="Финансовый 2 2 2 2 35 11 3" xfId="10790"/>
    <cellStyle name="Финансовый 2 2 2 2 35 11 4" xfId="33105"/>
    <cellStyle name="Финансовый 2 2 2 2 35 12" xfId="2731"/>
    <cellStyle name="Финансовый 2 2 2 2 35 12 2" xfId="16783"/>
    <cellStyle name="Финансовый 2 2 2 2 35 12 2 2" xfId="39098"/>
    <cellStyle name="Финансовый 2 2 2 2 35 12 3" xfId="10977"/>
    <cellStyle name="Финансовый 2 2 2 2 35 12 4" xfId="33292"/>
    <cellStyle name="Финансовый 2 2 2 2 35 13" xfId="2951"/>
    <cellStyle name="Финансовый 2 2 2 2 35 13 2" xfId="16963"/>
    <cellStyle name="Финансовый 2 2 2 2 35 13 2 2" xfId="39278"/>
    <cellStyle name="Финансовый 2 2 2 2 35 13 3" xfId="11157"/>
    <cellStyle name="Финансовый 2 2 2 2 35 13 4" xfId="33472"/>
    <cellStyle name="Финансовый 2 2 2 2 35 14" xfId="3160"/>
    <cellStyle name="Финансовый 2 2 2 2 35 14 2" xfId="17133"/>
    <cellStyle name="Финансовый 2 2 2 2 35 14 2 2" xfId="39448"/>
    <cellStyle name="Финансовый 2 2 2 2 35 14 3" xfId="11327"/>
    <cellStyle name="Финансовый 2 2 2 2 35 14 4" xfId="33642"/>
    <cellStyle name="Финансовый 2 2 2 2 35 15" xfId="3353"/>
    <cellStyle name="Финансовый 2 2 2 2 35 15 2" xfId="17287"/>
    <cellStyle name="Финансовый 2 2 2 2 35 15 2 2" xfId="39602"/>
    <cellStyle name="Финансовый 2 2 2 2 35 15 3" xfId="11481"/>
    <cellStyle name="Финансовый 2 2 2 2 35 15 4" xfId="33796"/>
    <cellStyle name="Финансовый 2 2 2 2 35 16" xfId="3536"/>
    <cellStyle name="Финансовый 2 2 2 2 35 16 2" xfId="17431"/>
    <cellStyle name="Финансовый 2 2 2 2 35 16 2 2" xfId="39746"/>
    <cellStyle name="Финансовый 2 2 2 2 35 16 3" xfId="11625"/>
    <cellStyle name="Финансовый 2 2 2 2 35 16 4" xfId="33940"/>
    <cellStyle name="Финансовый 2 2 2 2 35 17" xfId="3698"/>
    <cellStyle name="Финансовый 2 2 2 2 35 17 2" xfId="17555"/>
    <cellStyle name="Финансовый 2 2 2 2 35 17 2 2" xfId="39870"/>
    <cellStyle name="Финансовый 2 2 2 2 35 17 3" xfId="11749"/>
    <cellStyle name="Финансовый 2 2 2 2 35 17 4" xfId="34064"/>
    <cellStyle name="Финансовый 2 2 2 2 35 18" xfId="3839"/>
    <cellStyle name="Финансовый 2 2 2 2 35 18 2" xfId="17661"/>
    <cellStyle name="Финансовый 2 2 2 2 35 18 2 2" xfId="39976"/>
    <cellStyle name="Финансовый 2 2 2 2 35 18 3" xfId="11855"/>
    <cellStyle name="Финансовый 2 2 2 2 35 18 4" xfId="34170"/>
    <cellStyle name="Финансовый 2 2 2 2 35 19" xfId="5963"/>
    <cellStyle name="Финансовый 2 2 2 2 35 19 2" xfId="18832"/>
    <cellStyle name="Финансовый 2 2 2 2 35 19 2 2" xfId="41147"/>
    <cellStyle name="Финансовый 2 2 2 2 35 19 3" xfId="13026"/>
    <cellStyle name="Финансовый 2 2 2 2 35 19 4" xfId="35341"/>
    <cellStyle name="Финансовый 2 2 2 2 35 2" xfId="530"/>
    <cellStyle name="Финансовый 2 2 2 2 35 2 10" xfId="3147"/>
    <cellStyle name="Финансовый 2 2 2 2 35 2 10 2" xfId="17122"/>
    <cellStyle name="Финансовый 2 2 2 2 35 2 10 2 2" xfId="39437"/>
    <cellStyle name="Финансовый 2 2 2 2 35 2 10 3" xfId="11316"/>
    <cellStyle name="Финансовый 2 2 2 2 35 2 10 4" xfId="33631"/>
    <cellStyle name="Финансовый 2 2 2 2 35 2 11" xfId="3340"/>
    <cellStyle name="Финансовый 2 2 2 2 35 2 11 2" xfId="17276"/>
    <cellStyle name="Финансовый 2 2 2 2 35 2 11 2 2" xfId="39591"/>
    <cellStyle name="Финансовый 2 2 2 2 35 2 11 3" xfId="11470"/>
    <cellStyle name="Финансовый 2 2 2 2 35 2 11 4" xfId="33785"/>
    <cellStyle name="Финансовый 2 2 2 2 35 2 12" xfId="3523"/>
    <cellStyle name="Финансовый 2 2 2 2 35 2 12 2" xfId="17420"/>
    <cellStyle name="Финансовый 2 2 2 2 35 2 12 2 2" xfId="39735"/>
    <cellStyle name="Финансовый 2 2 2 2 35 2 12 3" xfId="11614"/>
    <cellStyle name="Финансовый 2 2 2 2 35 2 12 4" xfId="33929"/>
    <cellStyle name="Финансовый 2 2 2 2 35 2 13" xfId="3686"/>
    <cellStyle name="Финансовый 2 2 2 2 35 2 13 2" xfId="17545"/>
    <cellStyle name="Финансовый 2 2 2 2 35 2 13 2 2" xfId="39860"/>
    <cellStyle name="Финансовый 2 2 2 2 35 2 13 3" xfId="11739"/>
    <cellStyle name="Финансовый 2 2 2 2 35 2 13 4" xfId="34054"/>
    <cellStyle name="Финансовый 2 2 2 2 35 2 14" xfId="3830"/>
    <cellStyle name="Финансовый 2 2 2 2 35 2 14 2" xfId="17652"/>
    <cellStyle name="Финансовый 2 2 2 2 35 2 14 2 2" xfId="39967"/>
    <cellStyle name="Финансовый 2 2 2 2 35 2 14 3" xfId="11846"/>
    <cellStyle name="Финансовый 2 2 2 2 35 2 14 4" xfId="34161"/>
    <cellStyle name="Финансовый 2 2 2 2 35 2 15" xfId="5517"/>
    <cellStyle name="Финансовый 2 2 2 2 35 2 15 2" xfId="18595"/>
    <cellStyle name="Финансовый 2 2 2 2 35 2 15 2 2" xfId="40910"/>
    <cellStyle name="Финансовый 2 2 2 2 35 2 15 3" xfId="12789"/>
    <cellStyle name="Финансовый 2 2 2 2 35 2 15 4" xfId="35104"/>
    <cellStyle name="Финансовый 2 2 2 2 35 2 16" xfId="8625"/>
    <cellStyle name="Финансовый 2 2 2 2 35 2 16 2" xfId="20300"/>
    <cellStyle name="Финансовый 2 2 2 2 35 2 16 2 2" xfId="42615"/>
    <cellStyle name="Финансовый 2 2 2 2 35 2 16 3" xfId="14494"/>
    <cellStyle name="Финансовый 2 2 2 2 35 2 16 4" xfId="36809"/>
    <cellStyle name="Финансовый 2 2 2 2 35 2 17" xfId="5815"/>
    <cellStyle name="Финансовый 2 2 2 2 35 2 17 2" xfId="18751"/>
    <cellStyle name="Финансовый 2 2 2 2 35 2 17 2 2" xfId="41066"/>
    <cellStyle name="Финансовый 2 2 2 2 35 2 17 3" xfId="12945"/>
    <cellStyle name="Финансовый 2 2 2 2 35 2 17 4" xfId="35260"/>
    <cellStyle name="Финансовый 2 2 2 2 35 2 18" xfId="14931"/>
    <cellStyle name="Финансовый 2 2 2 2 35 2 18 2" xfId="37246"/>
    <cellStyle name="Финансовый 2 2 2 2 35 2 19" xfId="9125"/>
    <cellStyle name="Финансовый 2 2 2 2 35 2 2" xfId="746"/>
    <cellStyle name="Финансовый 2 2 2 2 35 2 2 2" xfId="15124"/>
    <cellStyle name="Финансовый 2 2 2 2 35 2 2 2 2" xfId="37439"/>
    <cellStyle name="Финансовый 2 2 2 2 35 2 2 3" xfId="9318"/>
    <cellStyle name="Финансовый 2 2 2 2 35 2 2 4" xfId="31641"/>
    <cellStyle name="Финансовый 2 2 2 2 35 2 20" xfId="31458"/>
    <cellStyle name="Финансовый 2 2 2 2 35 2 3" xfId="1496"/>
    <cellStyle name="Финансовый 2 2 2 2 35 2 3 2" xfId="15738"/>
    <cellStyle name="Финансовый 2 2 2 2 35 2 3 2 2" xfId="38053"/>
    <cellStyle name="Финансовый 2 2 2 2 35 2 3 3" xfId="9932"/>
    <cellStyle name="Финансовый 2 2 2 2 35 2 3 4" xfId="32247"/>
    <cellStyle name="Финансовый 2 2 2 2 35 2 4" xfId="1781"/>
    <cellStyle name="Финансовый 2 2 2 2 35 2 4 2" xfId="16002"/>
    <cellStyle name="Финансовый 2 2 2 2 35 2 4 2 2" xfId="38317"/>
    <cellStyle name="Финансовый 2 2 2 2 35 2 4 3" xfId="10196"/>
    <cellStyle name="Финансовый 2 2 2 2 35 2 4 4" xfId="32511"/>
    <cellStyle name="Финансовый 2 2 2 2 35 2 5" xfId="2019"/>
    <cellStyle name="Финансовый 2 2 2 2 35 2 5 2" xfId="16198"/>
    <cellStyle name="Финансовый 2 2 2 2 35 2 5 2 2" xfId="38513"/>
    <cellStyle name="Финансовый 2 2 2 2 35 2 5 3" xfId="10392"/>
    <cellStyle name="Финансовый 2 2 2 2 35 2 5 4" xfId="32707"/>
    <cellStyle name="Финансовый 2 2 2 2 35 2 6" xfId="2254"/>
    <cellStyle name="Финансовый 2 2 2 2 35 2 6 2" xfId="16391"/>
    <cellStyle name="Финансовый 2 2 2 2 35 2 6 2 2" xfId="38706"/>
    <cellStyle name="Финансовый 2 2 2 2 35 2 6 3" xfId="10585"/>
    <cellStyle name="Финансовый 2 2 2 2 35 2 6 4" xfId="32900"/>
    <cellStyle name="Финансовый 2 2 2 2 35 2 7" xfId="2488"/>
    <cellStyle name="Финансовый 2 2 2 2 35 2 7 2" xfId="16583"/>
    <cellStyle name="Финансовый 2 2 2 2 35 2 7 2 2" xfId="38898"/>
    <cellStyle name="Финансовый 2 2 2 2 35 2 7 3" xfId="10777"/>
    <cellStyle name="Финансовый 2 2 2 2 35 2 7 4" xfId="33092"/>
    <cellStyle name="Финансовый 2 2 2 2 35 2 8" xfId="2717"/>
    <cellStyle name="Финансовый 2 2 2 2 35 2 8 2" xfId="16771"/>
    <cellStyle name="Финансовый 2 2 2 2 35 2 8 2 2" xfId="39086"/>
    <cellStyle name="Финансовый 2 2 2 2 35 2 8 3" xfId="10965"/>
    <cellStyle name="Финансовый 2 2 2 2 35 2 8 4" xfId="33280"/>
    <cellStyle name="Финансовый 2 2 2 2 35 2 9" xfId="2937"/>
    <cellStyle name="Финансовый 2 2 2 2 35 2 9 2" xfId="16951"/>
    <cellStyle name="Финансовый 2 2 2 2 35 2 9 2 2" xfId="39266"/>
    <cellStyle name="Финансовый 2 2 2 2 35 2 9 3" xfId="11145"/>
    <cellStyle name="Финансовый 2 2 2 2 35 2 9 4" xfId="33460"/>
    <cellStyle name="Финансовый 2 2 2 2 35 20" xfId="4447"/>
    <cellStyle name="Финансовый 2 2 2 2 35 20 2" xfId="18011"/>
    <cellStyle name="Финансовый 2 2 2 2 35 20 2 2" xfId="40326"/>
    <cellStyle name="Финансовый 2 2 2 2 35 20 3" xfId="12205"/>
    <cellStyle name="Финансовый 2 2 2 2 35 20 4" xfId="34520"/>
    <cellStyle name="Финансовый 2 2 2 2 35 21" xfId="8136"/>
    <cellStyle name="Финансовый 2 2 2 2 35 21 2" xfId="20019"/>
    <cellStyle name="Финансовый 2 2 2 2 35 21 2 2" xfId="42334"/>
    <cellStyle name="Финансовый 2 2 2 2 35 21 3" xfId="14213"/>
    <cellStyle name="Финансовый 2 2 2 2 35 21 4" xfId="36528"/>
    <cellStyle name="Финансовый 2 2 2 2 35 22" xfId="14668"/>
    <cellStyle name="Финансовый 2 2 2 2 35 22 2" xfId="36983"/>
    <cellStyle name="Финансовый 2 2 2 2 35 23" xfId="8862"/>
    <cellStyle name="Финансовый 2 2 2 2 35 24" xfId="31198"/>
    <cellStyle name="Финансовый 2 2 2 2 35 3" xfId="867"/>
    <cellStyle name="Финансовый 2 2 2 2 35 3 2" xfId="15207"/>
    <cellStyle name="Финансовый 2 2 2 2 35 3 2 2" xfId="37522"/>
    <cellStyle name="Финансовый 2 2 2 2 35 3 3" xfId="9401"/>
    <cellStyle name="Финансовый 2 2 2 2 35 3 4" xfId="31723"/>
    <cellStyle name="Финансовый 2 2 2 2 35 4" xfId="927"/>
    <cellStyle name="Финансовый 2 2 2 2 35 4 2" xfId="15255"/>
    <cellStyle name="Финансовый 2 2 2 2 35 4 2 2" xfId="37570"/>
    <cellStyle name="Финансовый 2 2 2 2 35 4 3" xfId="9449"/>
    <cellStyle name="Финансовый 2 2 2 2 35 4 4" xfId="31769"/>
    <cellStyle name="Финансовый 2 2 2 2 35 5" xfId="1083"/>
    <cellStyle name="Финансовый 2 2 2 2 35 5 2" xfId="15396"/>
    <cellStyle name="Финансовый 2 2 2 2 35 5 2 2" xfId="37711"/>
    <cellStyle name="Финансовый 2 2 2 2 35 5 3" xfId="9590"/>
    <cellStyle name="Финансовый 2 2 2 2 35 5 4" xfId="31909"/>
    <cellStyle name="Финансовый 2 2 2 2 35 6" xfId="1143"/>
    <cellStyle name="Финансовый 2 2 2 2 35 6 2" xfId="15444"/>
    <cellStyle name="Финансовый 2 2 2 2 35 6 2 2" xfId="37759"/>
    <cellStyle name="Финансовый 2 2 2 2 35 6 3" xfId="9638"/>
    <cellStyle name="Финансовый 2 2 2 2 35 6 4" xfId="31955"/>
    <cellStyle name="Финансовый 2 2 2 2 35 7" xfId="1288"/>
    <cellStyle name="Финансовый 2 2 2 2 35 7 2" xfId="15545"/>
    <cellStyle name="Финансовый 2 2 2 2 35 7 2 2" xfId="37860"/>
    <cellStyle name="Финансовый 2 2 2 2 35 7 3" xfId="9739"/>
    <cellStyle name="Финансовый 2 2 2 2 35 7 4" xfId="32054"/>
    <cellStyle name="Финансовый 2 2 2 2 35 8" xfId="1796"/>
    <cellStyle name="Финансовый 2 2 2 2 35 8 2" xfId="16015"/>
    <cellStyle name="Финансовый 2 2 2 2 35 8 2 2" xfId="38330"/>
    <cellStyle name="Финансовый 2 2 2 2 35 8 3" xfId="10209"/>
    <cellStyle name="Финансовый 2 2 2 2 35 8 4" xfId="32524"/>
    <cellStyle name="Финансовый 2 2 2 2 35 9" xfId="2034"/>
    <cellStyle name="Финансовый 2 2 2 2 35 9 2" xfId="16211"/>
    <cellStyle name="Финансовый 2 2 2 2 35 9 2 2" xfId="38526"/>
    <cellStyle name="Финансовый 2 2 2 2 35 9 3" xfId="10405"/>
    <cellStyle name="Финансовый 2 2 2 2 35 9 4" xfId="32720"/>
    <cellStyle name="Финансовый 2 2 2 2 36" xfId="192"/>
    <cellStyle name="Финансовый 2 2 2 2 36 10" xfId="2266"/>
    <cellStyle name="Финансовый 2 2 2 2 36 10 2" xfId="16401"/>
    <cellStyle name="Финансовый 2 2 2 2 36 10 2 2" xfId="38716"/>
    <cellStyle name="Финансовый 2 2 2 2 36 10 3" xfId="10595"/>
    <cellStyle name="Финансовый 2 2 2 2 36 10 4" xfId="32910"/>
    <cellStyle name="Финансовый 2 2 2 2 36 11" xfId="2500"/>
    <cellStyle name="Финансовый 2 2 2 2 36 11 2" xfId="16593"/>
    <cellStyle name="Финансовый 2 2 2 2 36 11 2 2" xfId="38908"/>
    <cellStyle name="Финансовый 2 2 2 2 36 11 3" xfId="10787"/>
    <cellStyle name="Финансовый 2 2 2 2 36 11 4" xfId="33102"/>
    <cellStyle name="Финансовый 2 2 2 2 36 12" xfId="2728"/>
    <cellStyle name="Финансовый 2 2 2 2 36 12 2" xfId="16780"/>
    <cellStyle name="Финансовый 2 2 2 2 36 12 2 2" xfId="39095"/>
    <cellStyle name="Финансовый 2 2 2 2 36 12 3" xfId="10974"/>
    <cellStyle name="Финансовый 2 2 2 2 36 12 4" xfId="33289"/>
    <cellStyle name="Финансовый 2 2 2 2 36 13" xfId="2948"/>
    <cellStyle name="Финансовый 2 2 2 2 36 13 2" xfId="16960"/>
    <cellStyle name="Финансовый 2 2 2 2 36 13 2 2" xfId="39275"/>
    <cellStyle name="Финансовый 2 2 2 2 36 13 3" xfId="11154"/>
    <cellStyle name="Финансовый 2 2 2 2 36 13 4" xfId="33469"/>
    <cellStyle name="Финансовый 2 2 2 2 36 14" xfId="3157"/>
    <cellStyle name="Финансовый 2 2 2 2 36 14 2" xfId="17130"/>
    <cellStyle name="Финансовый 2 2 2 2 36 14 2 2" xfId="39445"/>
    <cellStyle name="Финансовый 2 2 2 2 36 14 3" xfId="11324"/>
    <cellStyle name="Финансовый 2 2 2 2 36 14 4" xfId="33639"/>
    <cellStyle name="Финансовый 2 2 2 2 36 15" xfId="3350"/>
    <cellStyle name="Финансовый 2 2 2 2 36 15 2" xfId="17284"/>
    <cellStyle name="Финансовый 2 2 2 2 36 15 2 2" xfId="39599"/>
    <cellStyle name="Финансовый 2 2 2 2 36 15 3" xfId="11478"/>
    <cellStyle name="Финансовый 2 2 2 2 36 15 4" xfId="33793"/>
    <cellStyle name="Финансовый 2 2 2 2 36 16" xfId="3533"/>
    <cellStyle name="Финансовый 2 2 2 2 36 16 2" xfId="17428"/>
    <cellStyle name="Финансовый 2 2 2 2 36 16 2 2" xfId="39743"/>
    <cellStyle name="Финансовый 2 2 2 2 36 16 3" xfId="11622"/>
    <cellStyle name="Финансовый 2 2 2 2 36 16 4" xfId="33937"/>
    <cellStyle name="Финансовый 2 2 2 2 36 17" xfId="3695"/>
    <cellStyle name="Финансовый 2 2 2 2 36 17 2" xfId="17552"/>
    <cellStyle name="Финансовый 2 2 2 2 36 17 2 2" xfId="39867"/>
    <cellStyle name="Финансовый 2 2 2 2 36 17 3" xfId="11746"/>
    <cellStyle name="Финансовый 2 2 2 2 36 17 4" xfId="34061"/>
    <cellStyle name="Финансовый 2 2 2 2 36 18" xfId="3837"/>
    <cellStyle name="Финансовый 2 2 2 2 36 18 2" xfId="17659"/>
    <cellStyle name="Финансовый 2 2 2 2 36 18 2 2" xfId="39974"/>
    <cellStyle name="Финансовый 2 2 2 2 36 18 3" xfId="11853"/>
    <cellStyle name="Финансовый 2 2 2 2 36 18 4" xfId="34168"/>
    <cellStyle name="Финансовый 2 2 2 2 36 19" xfId="6910"/>
    <cellStyle name="Финансовый 2 2 2 2 36 19 2" xfId="19339"/>
    <cellStyle name="Финансовый 2 2 2 2 36 19 2 2" xfId="41654"/>
    <cellStyle name="Финансовый 2 2 2 2 36 19 3" xfId="13533"/>
    <cellStyle name="Финансовый 2 2 2 2 36 19 4" xfId="35848"/>
    <cellStyle name="Финансовый 2 2 2 2 36 2" xfId="534"/>
    <cellStyle name="Финансовый 2 2 2 2 36 2 10" xfId="3145"/>
    <cellStyle name="Финансовый 2 2 2 2 36 2 10 2" xfId="17120"/>
    <cellStyle name="Финансовый 2 2 2 2 36 2 10 2 2" xfId="39435"/>
    <cellStyle name="Финансовый 2 2 2 2 36 2 10 3" xfId="11314"/>
    <cellStyle name="Финансовый 2 2 2 2 36 2 10 4" xfId="33629"/>
    <cellStyle name="Финансовый 2 2 2 2 36 2 11" xfId="3338"/>
    <cellStyle name="Финансовый 2 2 2 2 36 2 11 2" xfId="17274"/>
    <cellStyle name="Финансовый 2 2 2 2 36 2 11 2 2" xfId="39589"/>
    <cellStyle name="Финансовый 2 2 2 2 36 2 11 3" xfId="11468"/>
    <cellStyle name="Финансовый 2 2 2 2 36 2 11 4" xfId="33783"/>
    <cellStyle name="Финансовый 2 2 2 2 36 2 12" xfId="3522"/>
    <cellStyle name="Финансовый 2 2 2 2 36 2 12 2" xfId="17419"/>
    <cellStyle name="Финансовый 2 2 2 2 36 2 12 2 2" xfId="39734"/>
    <cellStyle name="Финансовый 2 2 2 2 36 2 12 3" xfId="11613"/>
    <cellStyle name="Финансовый 2 2 2 2 36 2 12 4" xfId="33928"/>
    <cellStyle name="Финансовый 2 2 2 2 36 2 13" xfId="3685"/>
    <cellStyle name="Финансовый 2 2 2 2 36 2 13 2" xfId="17544"/>
    <cellStyle name="Финансовый 2 2 2 2 36 2 13 2 2" xfId="39859"/>
    <cellStyle name="Финансовый 2 2 2 2 36 2 13 3" xfId="11738"/>
    <cellStyle name="Финансовый 2 2 2 2 36 2 13 4" xfId="34053"/>
    <cellStyle name="Финансовый 2 2 2 2 36 2 14" xfId="3829"/>
    <cellStyle name="Финансовый 2 2 2 2 36 2 14 2" xfId="17651"/>
    <cellStyle name="Финансовый 2 2 2 2 36 2 14 2 2" xfId="39966"/>
    <cellStyle name="Финансовый 2 2 2 2 36 2 14 3" xfId="11845"/>
    <cellStyle name="Финансовый 2 2 2 2 36 2 14 4" xfId="34160"/>
    <cellStyle name="Финансовый 2 2 2 2 36 2 15" xfId="5304"/>
    <cellStyle name="Финансовый 2 2 2 2 36 2 15 2" xfId="18474"/>
    <cellStyle name="Финансовый 2 2 2 2 36 2 15 2 2" xfId="40789"/>
    <cellStyle name="Финансовый 2 2 2 2 36 2 15 3" xfId="12668"/>
    <cellStyle name="Финансовый 2 2 2 2 36 2 15 4" xfId="34983"/>
    <cellStyle name="Финансовый 2 2 2 2 36 2 16" xfId="5329"/>
    <cellStyle name="Финансовый 2 2 2 2 36 2 16 2" xfId="18493"/>
    <cellStyle name="Финансовый 2 2 2 2 36 2 16 2 2" xfId="40808"/>
    <cellStyle name="Финансовый 2 2 2 2 36 2 16 3" xfId="12687"/>
    <cellStyle name="Финансовый 2 2 2 2 36 2 16 4" xfId="35002"/>
    <cellStyle name="Финансовый 2 2 2 2 36 2 17" xfId="6906"/>
    <cellStyle name="Финансовый 2 2 2 2 36 2 17 2" xfId="19336"/>
    <cellStyle name="Финансовый 2 2 2 2 36 2 17 2 2" xfId="41651"/>
    <cellStyle name="Финансовый 2 2 2 2 36 2 17 3" xfId="13530"/>
    <cellStyle name="Финансовый 2 2 2 2 36 2 17 4" xfId="35845"/>
    <cellStyle name="Финансовый 2 2 2 2 36 2 18" xfId="14935"/>
    <cellStyle name="Финансовый 2 2 2 2 36 2 18 2" xfId="37250"/>
    <cellStyle name="Финансовый 2 2 2 2 36 2 19" xfId="9129"/>
    <cellStyle name="Финансовый 2 2 2 2 36 2 2" xfId="750"/>
    <cellStyle name="Финансовый 2 2 2 2 36 2 2 2" xfId="15128"/>
    <cellStyle name="Финансовый 2 2 2 2 36 2 2 2 2" xfId="37443"/>
    <cellStyle name="Финансовый 2 2 2 2 36 2 2 3" xfId="9322"/>
    <cellStyle name="Финансовый 2 2 2 2 36 2 2 4" xfId="31645"/>
    <cellStyle name="Финансовый 2 2 2 2 36 2 20" xfId="31462"/>
    <cellStyle name="Финансовый 2 2 2 2 36 2 3" xfId="1500"/>
    <cellStyle name="Финансовый 2 2 2 2 36 2 3 2" xfId="15742"/>
    <cellStyle name="Финансовый 2 2 2 2 36 2 3 2 2" xfId="38057"/>
    <cellStyle name="Финансовый 2 2 2 2 36 2 3 3" xfId="9936"/>
    <cellStyle name="Финансовый 2 2 2 2 36 2 3 4" xfId="32251"/>
    <cellStyle name="Финансовый 2 2 2 2 36 2 4" xfId="1778"/>
    <cellStyle name="Финансовый 2 2 2 2 36 2 4 2" xfId="15999"/>
    <cellStyle name="Финансовый 2 2 2 2 36 2 4 2 2" xfId="38314"/>
    <cellStyle name="Финансовый 2 2 2 2 36 2 4 3" xfId="10193"/>
    <cellStyle name="Финансовый 2 2 2 2 36 2 4 4" xfId="32508"/>
    <cellStyle name="Финансовый 2 2 2 2 36 2 5" xfId="2016"/>
    <cellStyle name="Финансовый 2 2 2 2 36 2 5 2" xfId="16195"/>
    <cellStyle name="Финансовый 2 2 2 2 36 2 5 2 2" xfId="38510"/>
    <cellStyle name="Финансовый 2 2 2 2 36 2 5 3" xfId="10389"/>
    <cellStyle name="Финансовый 2 2 2 2 36 2 5 4" xfId="32704"/>
    <cellStyle name="Финансовый 2 2 2 2 36 2 6" xfId="2251"/>
    <cellStyle name="Финансовый 2 2 2 2 36 2 6 2" xfId="16388"/>
    <cellStyle name="Финансовый 2 2 2 2 36 2 6 2 2" xfId="38703"/>
    <cellStyle name="Финансовый 2 2 2 2 36 2 6 3" xfId="10582"/>
    <cellStyle name="Финансовый 2 2 2 2 36 2 6 4" xfId="32897"/>
    <cellStyle name="Финансовый 2 2 2 2 36 2 7" xfId="2485"/>
    <cellStyle name="Финансовый 2 2 2 2 36 2 7 2" xfId="16580"/>
    <cellStyle name="Финансовый 2 2 2 2 36 2 7 2 2" xfId="38895"/>
    <cellStyle name="Финансовый 2 2 2 2 36 2 7 3" xfId="10774"/>
    <cellStyle name="Финансовый 2 2 2 2 36 2 7 4" xfId="33089"/>
    <cellStyle name="Финансовый 2 2 2 2 36 2 8" xfId="2714"/>
    <cellStyle name="Финансовый 2 2 2 2 36 2 8 2" xfId="16768"/>
    <cellStyle name="Финансовый 2 2 2 2 36 2 8 2 2" xfId="39083"/>
    <cellStyle name="Финансовый 2 2 2 2 36 2 8 3" xfId="10962"/>
    <cellStyle name="Финансовый 2 2 2 2 36 2 8 4" xfId="33277"/>
    <cellStyle name="Финансовый 2 2 2 2 36 2 9" xfId="2934"/>
    <cellStyle name="Финансовый 2 2 2 2 36 2 9 2" xfId="16948"/>
    <cellStyle name="Финансовый 2 2 2 2 36 2 9 2 2" xfId="39263"/>
    <cellStyle name="Финансовый 2 2 2 2 36 2 9 3" xfId="11142"/>
    <cellStyle name="Финансовый 2 2 2 2 36 2 9 4" xfId="33457"/>
    <cellStyle name="Финансовый 2 2 2 2 36 20" xfId="5380"/>
    <cellStyle name="Финансовый 2 2 2 2 36 20 2" xfId="18524"/>
    <cellStyle name="Финансовый 2 2 2 2 36 20 2 2" xfId="40839"/>
    <cellStyle name="Финансовый 2 2 2 2 36 20 3" xfId="12718"/>
    <cellStyle name="Финансовый 2 2 2 2 36 20 4" xfId="35033"/>
    <cellStyle name="Финансовый 2 2 2 2 36 21" xfId="8452"/>
    <cellStyle name="Финансовый 2 2 2 2 36 21 2" xfId="20205"/>
    <cellStyle name="Финансовый 2 2 2 2 36 21 2 2" xfId="42520"/>
    <cellStyle name="Финансовый 2 2 2 2 36 21 3" xfId="14399"/>
    <cellStyle name="Финансовый 2 2 2 2 36 21 4" xfId="36714"/>
    <cellStyle name="Финансовый 2 2 2 2 36 22" xfId="14670"/>
    <cellStyle name="Финансовый 2 2 2 2 36 22 2" xfId="36985"/>
    <cellStyle name="Финансовый 2 2 2 2 36 23" xfId="8864"/>
    <cellStyle name="Финансовый 2 2 2 2 36 24" xfId="31200"/>
    <cellStyle name="Финансовый 2 2 2 2 36 3" xfId="870"/>
    <cellStyle name="Финансовый 2 2 2 2 36 3 2" xfId="15210"/>
    <cellStyle name="Финансовый 2 2 2 2 36 3 2 2" xfId="37525"/>
    <cellStyle name="Финансовый 2 2 2 2 36 3 3" xfId="9404"/>
    <cellStyle name="Финансовый 2 2 2 2 36 3 4" xfId="31726"/>
    <cellStyle name="Финансовый 2 2 2 2 36 4" xfId="929"/>
    <cellStyle name="Финансовый 2 2 2 2 36 4 2" xfId="15257"/>
    <cellStyle name="Финансовый 2 2 2 2 36 4 2 2" xfId="37572"/>
    <cellStyle name="Финансовый 2 2 2 2 36 4 3" xfId="9451"/>
    <cellStyle name="Финансовый 2 2 2 2 36 4 4" xfId="31771"/>
    <cellStyle name="Финансовый 2 2 2 2 36 5" xfId="1086"/>
    <cellStyle name="Финансовый 2 2 2 2 36 5 2" xfId="15399"/>
    <cellStyle name="Финансовый 2 2 2 2 36 5 2 2" xfId="37714"/>
    <cellStyle name="Финансовый 2 2 2 2 36 5 3" xfId="9593"/>
    <cellStyle name="Финансовый 2 2 2 2 36 5 4" xfId="31912"/>
    <cellStyle name="Финансовый 2 2 2 2 36 6" xfId="1145"/>
    <cellStyle name="Финансовый 2 2 2 2 36 6 2" xfId="15446"/>
    <cellStyle name="Финансовый 2 2 2 2 36 6 2 2" xfId="37761"/>
    <cellStyle name="Финансовый 2 2 2 2 36 6 3" xfId="9640"/>
    <cellStyle name="Финансовый 2 2 2 2 36 6 4" xfId="31957"/>
    <cellStyle name="Финансовый 2 2 2 2 36 7" xfId="1292"/>
    <cellStyle name="Финансовый 2 2 2 2 36 7 2" xfId="15549"/>
    <cellStyle name="Финансовый 2 2 2 2 36 7 2 2" xfId="37864"/>
    <cellStyle name="Финансовый 2 2 2 2 36 7 3" xfId="9743"/>
    <cellStyle name="Финансовый 2 2 2 2 36 7 4" xfId="32058"/>
    <cellStyle name="Финансовый 2 2 2 2 36 8" xfId="1793"/>
    <cellStyle name="Финансовый 2 2 2 2 36 8 2" xfId="16012"/>
    <cellStyle name="Финансовый 2 2 2 2 36 8 2 2" xfId="38327"/>
    <cellStyle name="Финансовый 2 2 2 2 36 8 3" xfId="10206"/>
    <cellStyle name="Финансовый 2 2 2 2 36 8 4" xfId="32521"/>
    <cellStyle name="Финансовый 2 2 2 2 36 9" xfId="2031"/>
    <cellStyle name="Финансовый 2 2 2 2 36 9 2" xfId="16208"/>
    <cellStyle name="Финансовый 2 2 2 2 36 9 2 2" xfId="38523"/>
    <cellStyle name="Финансовый 2 2 2 2 36 9 3" xfId="10402"/>
    <cellStyle name="Финансовый 2 2 2 2 36 9 4" xfId="32717"/>
    <cellStyle name="Финансовый 2 2 2 2 37" xfId="196"/>
    <cellStyle name="Финансовый 2 2 2 2 37 10" xfId="2217"/>
    <cellStyle name="Финансовый 2 2 2 2 37 10 2" xfId="16356"/>
    <cellStyle name="Финансовый 2 2 2 2 37 10 2 2" xfId="38671"/>
    <cellStyle name="Финансовый 2 2 2 2 37 10 3" xfId="10550"/>
    <cellStyle name="Финансовый 2 2 2 2 37 10 4" xfId="32865"/>
    <cellStyle name="Финансовый 2 2 2 2 37 11" xfId="2452"/>
    <cellStyle name="Финансовый 2 2 2 2 37 11 2" xfId="16549"/>
    <cellStyle name="Финансовый 2 2 2 2 37 11 2 2" xfId="38864"/>
    <cellStyle name="Финансовый 2 2 2 2 37 11 3" xfId="10743"/>
    <cellStyle name="Финансовый 2 2 2 2 37 11 4" xfId="33058"/>
    <cellStyle name="Финансовый 2 2 2 2 37 12" xfId="2684"/>
    <cellStyle name="Финансовый 2 2 2 2 37 12 2" xfId="16739"/>
    <cellStyle name="Финансовый 2 2 2 2 37 12 2 2" xfId="39054"/>
    <cellStyle name="Финансовый 2 2 2 2 37 12 3" xfId="10933"/>
    <cellStyle name="Финансовый 2 2 2 2 37 12 4" xfId="33248"/>
    <cellStyle name="Финансовый 2 2 2 2 37 13" xfId="2905"/>
    <cellStyle name="Финансовый 2 2 2 2 37 13 2" xfId="16920"/>
    <cellStyle name="Финансовый 2 2 2 2 37 13 2 2" xfId="39235"/>
    <cellStyle name="Финансовый 2 2 2 2 37 13 3" xfId="11114"/>
    <cellStyle name="Финансовый 2 2 2 2 37 13 4" xfId="33429"/>
    <cellStyle name="Финансовый 2 2 2 2 37 14" xfId="3116"/>
    <cellStyle name="Финансовый 2 2 2 2 37 14 2" xfId="17092"/>
    <cellStyle name="Финансовый 2 2 2 2 37 14 2 2" xfId="39407"/>
    <cellStyle name="Финансовый 2 2 2 2 37 14 3" xfId="11286"/>
    <cellStyle name="Финансовый 2 2 2 2 37 14 4" xfId="33601"/>
    <cellStyle name="Финансовый 2 2 2 2 37 15" xfId="3315"/>
    <cellStyle name="Финансовый 2 2 2 2 37 15 2" xfId="17252"/>
    <cellStyle name="Финансовый 2 2 2 2 37 15 2 2" xfId="39567"/>
    <cellStyle name="Финансовый 2 2 2 2 37 15 3" xfId="11446"/>
    <cellStyle name="Финансовый 2 2 2 2 37 15 4" xfId="33761"/>
    <cellStyle name="Финансовый 2 2 2 2 37 16" xfId="3501"/>
    <cellStyle name="Финансовый 2 2 2 2 37 16 2" xfId="17399"/>
    <cellStyle name="Финансовый 2 2 2 2 37 16 2 2" xfId="39714"/>
    <cellStyle name="Финансовый 2 2 2 2 37 16 3" xfId="11593"/>
    <cellStyle name="Финансовый 2 2 2 2 37 16 4" xfId="33908"/>
    <cellStyle name="Финансовый 2 2 2 2 37 17" xfId="3670"/>
    <cellStyle name="Финансовый 2 2 2 2 37 17 2" xfId="17530"/>
    <cellStyle name="Финансовый 2 2 2 2 37 17 2 2" xfId="39845"/>
    <cellStyle name="Финансовый 2 2 2 2 37 17 3" xfId="11724"/>
    <cellStyle name="Финансовый 2 2 2 2 37 17 4" xfId="34039"/>
    <cellStyle name="Финансовый 2 2 2 2 37 18" xfId="3822"/>
    <cellStyle name="Финансовый 2 2 2 2 37 18 2" xfId="17644"/>
    <cellStyle name="Финансовый 2 2 2 2 37 18 2 2" xfId="39959"/>
    <cellStyle name="Финансовый 2 2 2 2 37 18 3" xfId="11838"/>
    <cellStyle name="Финансовый 2 2 2 2 37 18 4" xfId="34153"/>
    <cellStyle name="Финансовый 2 2 2 2 37 19" xfId="7283"/>
    <cellStyle name="Финансовый 2 2 2 2 37 19 2" xfId="19545"/>
    <cellStyle name="Финансовый 2 2 2 2 37 19 2 2" xfId="41860"/>
    <cellStyle name="Финансовый 2 2 2 2 37 19 3" xfId="13739"/>
    <cellStyle name="Финансовый 2 2 2 2 37 19 4" xfId="36054"/>
    <cellStyle name="Финансовый 2 2 2 2 37 2" xfId="537"/>
    <cellStyle name="Финансовый 2 2 2 2 37 2 10" xfId="3143"/>
    <cellStyle name="Финансовый 2 2 2 2 37 2 10 2" xfId="17118"/>
    <cellStyle name="Финансовый 2 2 2 2 37 2 10 2 2" xfId="39433"/>
    <cellStyle name="Финансовый 2 2 2 2 37 2 10 3" xfId="11312"/>
    <cellStyle name="Финансовый 2 2 2 2 37 2 10 4" xfId="33627"/>
    <cellStyle name="Финансовый 2 2 2 2 37 2 11" xfId="3336"/>
    <cellStyle name="Финансовый 2 2 2 2 37 2 11 2" xfId="17272"/>
    <cellStyle name="Финансовый 2 2 2 2 37 2 11 2 2" xfId="39587"/>
    <cellStyle name="Финансовый 2 2 2 2 37 2 11 3" xfId="11466"/>
    <cellStyle name="Финансовый 2 2 2 2 37 2 11 4" xfId="33781"/>
    <cellStyle name="Финансовый 2 2 2 2 37 2 12" xfId="3520"/>
    <cellStyle name="Финансовый 2 2 2 2 37 2 12 2" xfId="17417"/>
    <cellStyle name="Финансовый 2 2 2 2 37 2 12 2 2" xfId="39732"/>
    <cellStyle name="Финансовый 2 2 2 2 37 2 12 3" xfId="11611"/>
    <cellStyle name="Финансовый 2 2 2 2 37 2 12 4" xfId="33926"/>
    <cellStyle name="Финансовый 2 2 2 2 37 2 13" xfId="3684"/>
    <cellStyle name="Финансовый 2 2 2 2 37 2 13 2" xfId="17543"/>
    <cellStyle name="Финансовый 2 2 2 2 37 2 13 2 2" xfId="39858"/>
    <cellStyle name="Финансовый 2 2 2 2 37 2 13 3" xfId="11737"/>
    <cellStyle name="Финансовый 2 2 2 2 37 2 13 4" xfId="34052"/>
    <cellStyle name="Финансовый 2 2 2 2 37 2 14" xfId="3828"/>
    <cellStyle name="Финансовый 2 2 2 2 37 2 14 2" xfId="17650"/>
    <cellStyle name="Финансовый 2 2 2 2 37 2 14 2 2" xfId="39965"/>
    <cellStyle name="Финансовый 2 2 2 2 37 2 14 3" xfId="11844"/>
    <cellStyle name="Финансовый 2 2 2 2 37 2 14 4" xfId="34159"/>
    <cellStyle name="Финансовый 2 2 2 2 37 2 15" xfId="7034"/>
    <cellStyle name="Финансовый 2 2 2 2 37 2 15 2" xfId="19408"/>
    <cellStyle name="Финансовый 2 2 2 2 37 2 15 2 2" xfId="41723"/>
    <cellStyle name="Финансовый 2 2 2 2 37 2 15 3" xfId="13602"/>
    <cellStyle name="Финансовый 2 2 2 2 37 2 15 4" xfId="35917"/>
    <cellStyle name="Финансовый 2 2 2 2 37 2 16" xfId="6816"/>
    <cellStyle name="Финансовый 2 2 2 2 37 2 16 2" xfId="19288"/>
    <cellStyle name="Финансовый 2 2 2 2 37 2 16 2 2" xfId="41603"/>
    <cellStyle name="Финансовый 2 2 2 2 37 2 16 3" xfId="13482"/>
    <cellStyle name="Финансовый 2 2 2 2 37 2 16 4" xfId="35797"/>
    <cellStyle name="Финансовый 2 2 2 2 37 2 17" xfId="4966"/>
    <cellStyle name="Финансовый 2 2 2 2 37 2 17 2" xfId="18286"/>
    <cellStyle name="Финансовый 2 2 2 2 37 2 17 2 2" xfId="40601"/>
    <cellStyle name="Финансовый 2 2 2 2 37 2 17 3" xfId="12480"/>
    <cellStyle name="Финансовый 2 2 2 2 37 2 17 4" xfId="34795"/>
    <cellStyle name="Финансовый 2 2 2 2 37 2 18" xfId="14938"/>
    <cellStyle name="Финансовый 2 2 2 2 37 2 18 2" xfId="37253"/>
    <cellStyle name="Финансовый 2 2 2 2 37 2 19" xfId="9132"/>
    <cellStyle name="Финансовый 2 2 2 2 37 2 2" xfId="754"/>
    <cellStyle name="Финансовый 2 2 2 2 37 2 2 2" xfId="15132"/>
    <cellStyle name="Финансовый 2 2 2 2 37 2 2 2 2" xfId="37447"/>
    <cellStyle name="Финансовый 2 2 2 2 37 2 2 3" xfId="9326"/>
    <cellStyle name="Финансовый 2 2 2 2 37 2 2 4" xfId="31649"/>
    <cellStyle name="Финансовый 2 2 2 2 37 2 20" xfId="31465"/>
    <cellStyle name="Финансовый 2 2 2 2 37 2 3" xfId="1504"/>
    <cellStyle name="Финансовый 2 2 2 2 37 2 3 2" xfId="15746"/>
    <cellStyle name="Финансовый 2 2 2 2 37 2 3 2 2" xfId="38061"/>
    <cellStyle name="Финансовый 2 2 2 2 37 2 3 3" xfId="9940"/>
    <cellStyle name="Финансовый 2 2 2 2 37 2 3 4" xfId="32255"/>
    <cellStyle name="Финансовый 2 2 2 2 37 2 4" xfId="1776"/>
    <cellStyle name="Финансовый 2 2 2 2 37 2 4 2" xfId="15997"/>
    <cellStyle name="Финансовый 2 2 2 2 37 2 4 2 2" xfId="38312"/>
    <cellStyle name="Финансовый 2 2 2 2 37 2 4 3" xfId="10191"/>
    <cellStyle name="Финансовый 2 2 2 2 37 2 4 4" xfId="32506"/>
    <cellStyle name="Финансовый 2 2 2 2 37 2 5" xfId="2014"/>
    <cellStyle name="Финансовый 2 2 2 2 37 2 5 2" xfId="16193"/>
    <cellStyle name="Финансовый 2 2 2 2 37 2 5 2 2" xfId="38508"/>
    <cellStyle name="Финансовый 2 2 2 2 37 2 5 3" xfId="10387"/>
    <cellStyle name="Финансовый 2 2 2 2 37 2 5 4" xfId="32702"/>
    <cellStyle name="Финансовый 2 2 2 2 37 2 6" xfId="2249"/>
    <cellStyle name="Финансовый 2 2 2 2 37 2 6 2" xfId="16386"/>
    <cellStyle name="Финансовый 2 2 2 2 37 2 6 2 2" xfId="38701"/>
    <cellStyle name="Финансовый 2 2 2 2 37 2 6 3" xfId="10580"/>
    <cellStyle name="Финансовый 2 2 2 2 37 2 6 4" xfId="32895"/>
    <cellStyle name="Финансовый 2 2 2 2 37 2 7" xfId="2483"/>
    <cellStyle name="Финансовый 2 2 2 2 37 2 7 2" xfId="16578"/>
    <cellStyle name="Финансовый 2 2 2 2 37 2 7 2 2" xfId="38893"/>
    <cellStyle name="Финансовый 2 2 2 2 37 2 7 3" xfId="10772"/>
    <cellStyle name="Финансовый 2 2 2 2 37 2 7 4" xfId="33087"/>
    <cellStyle name="Финансовый 2 2 2 2 37 2 8" xfId="2712"/>
    <cellStyle name="Финансовый 2 2 2 2 37 2 8 2" xfId="16766"/>
    <cellStyle name="Финансовый 2 2 2 2 37 2 8 2 2" xfId="39081"/>
    <cellStyle name="Финансовый 2 2 2 2 37 2 8 3" xfId="10960"/>
    <cellStyle name="Финансовый 2 2 2 2 37 2 8 4" xfId="33275"/>
    <cellStyle name="Финансовый 2 2 2 2 37 2 9" xfId="2932"/>
    <cellStyle name="Финансовый 2 2 2 2 37 2 9 2" xfId="16946"/>
    <cellStyle name="Финансовый 2 2 2 2 37 2 9 2 2" xfId="39261"/>
    <cellStyle name="Финансовый 2 2 2 2 37 2 9 3" xfId="11140"/>
    <cellStyle name="Финансовый 2 2 2 2 37 2 9 4" xfId="33455"/>
    <cellStyle name="Финансовый 2 2 2 2 37 20" xfId="7078"/>
    <cellStyle name="Финансовый 2 2 2 2 37 20 2" xfId="19428"/>
    <cellStyle name="Финансовый 2 2 2 2 37 20 2 2" xfId="41743"/>
    <cellStyle name="Финансовый 2 2 2 2 37 20 3" xfId="13622"/>
    <cellStyle name="Финансовый 2 2 2 2 37 20 4" xfId="35937"/>
    <cellStyle name="Финансовый 2 2 2 2 37 21" xfId="6804"/>
    <cellStyle name="Финансовый 2 2 2 2 37 21 2" xfId="19280"/>
    <cellStyle name="Финансовый 2 2 2 2 37 21 2 2" xfId="41595"/>
    <cellStyle name="Финансовый 2 2 2 2 37 21 3" xfId="13474"/>
    <cellStyle name="Финансовый 2 2 2 2 37 21 4" xfId="35789"/>
    <cellStyle name="Финансовый 2 2 2 2 37 22" xfId="14672"/>
    <cellStyle name="Финансовый 2 2 2 2 37 22 2" xfId="36987"/>
    <cellStyle name="Финансовый 2 2 2 2 37 23" xfId="8866"/>
    <cellStyle name="Финансовый 2 2 2 2 37 24" xfId="31202"/>
    <cellStyle name="Финансовый 2 2 2 2 37 3" xfId="872"/>
    <cellStyle name="Финансовый 2 2 2 2 37 3 2" xfId="15212"/>
    <cellStyle name="Финансовый 2 2 2 2 37 3 2 2" xfId="37527"/>
    <cellStyle name="Финансовый 2 2 2 2 37 3 3" xfId="9406"/>
    <cellStyle name="Финансовый 2 2 2 2 37 3 4" xfId="31728"/>
    <cellStyle name="Финансовый 2 2 2 2 37 4" xfId="931"/>
    <cellStyle name="Финансовый 2 2 2 2 37 4 2" xfId="15259"/>
    <cellStyle name="Финансовый 2 2 2 2 37 4 2 2" xfId="37574"/>
    <cellStyle name="Финансовый 2 2 2 2 37 4 3" xfId="9453"/>
    <cellStyle name="Финансовый 2 2 2 2 37 4 4" xfId="31773"/>
    <cellStyle name="Финансовый 2 2 2 2 37 5" xfId="1088"/>
    <cellStyle name="Финансовый 2 2 2 2 37 5 2" xfId="15401"/>
    <cellStyle name="Финансовый 2 2 2 2 37 5 2 2" xfId="37716"/>
    <cellStyle name="Финансовый 2 2 2 2 37 5 3" xfId="9595"/>
    <cellStyle name="Финансовый 2 2 2 2 37 5 4" xfId="31914"/>
    <cellStyle name="Финансовый 2 2 2 2 37 6" xfId="1147"/>
    <cellStyle name="Финансовый 2 2 2 2 37 6 2" xfId="15448"/>
    <cellStyle name="Финансовый 2 2 2 2 37 6 2 2" xfId="37763"/>
    <cellStyle name="Финансовый 2 2 2 2 37 6 3" xfId="9642"/>
    <cellStyle name="Финансовый 2 2 2 2 37 6 4" xfId="31959"/>
    <cellStyle name="Финансовый 2 2 2 2 37 7" xfId="1296"/>
    <cellStyle name="Финансовый 2 2 2 2 37 7 2" xfId="15553"/>
    <cellStyle name="Финансовый 2 2 2 2 37 7 2 2" xfId="37868"/>
    <cellStyle name="Финансовый 2 2 2 2 37 7 3" xfId="9747"/>
    <cellStyle name="Финансовый 2 2 2 2 37 7 4" xfId="32062"/>
    <cellStyle name="Финансовый 2 2 2 2 37 8" xfId="1742"/>
    <cellStyle name="Финансовый 2 2 2 2 37 8 2" xfId="15965"/>
    <cellStyle name="Финансовый 2 2 2 2 37 8 2 2" xfId="38280"/>
    <cellStyle name="Финансовый 2 2 2 2 37 8 3" xfId="10159"/>
    <cellStyle name="Финансовый 2 2 2 2 37 8 4" xfId="32474"/>
    <cellStyle name="Финансовый 2 2 2 2 37 9" xfId="1980"/>
    <cellStyle name="Финансовый 2 2 2 2 37 9 2" xfId="16161"/>
    <cellStyle name="Финансовый 2 2 2 2 37 9 2 2" xfId="38476"/>
    <cellStyle name="Финансовый 2 2 2 2 37 9 3" xfId="10355"/>
    <cellStyle name="Финансовый 2 2 2 2 37 9 4" xfId="32670"/>
    <cellStyle name="Финансовый 2 2 2 2 38" xfId="200"/>
    <cellStyle name="Финансовый 2 2 2 2 38 10" xfId="2232"/>
    <cellStyle name="Финансовый 2 2 2 2 38 10 2" xfId="16370"/>
    <cellStyle name="Финансовый 2 2 2 2 38 10 2 2" xfId="38685"/>
    <cellStyle name="Финансовый 2 2 2 2 38 10 3" xfId="10564"/>
    <cellStyle name="Финансовый 2 2 2 2 38 10 4" xfId="32879"/>
    <cellStyle name="Финансовый 2 2 2 2 38 11" xfId="2466"/>
    <cellStyle name="Финансовый 2 2 2 2 38 11 2" xfId="16562"/>
    <cellStyle name="Финансовый 2 2 2 2 38 11 2 2" xfId="38877"/>
    <cellStyle name="Финансовый 2 2 2 2 38 11 3" xfId="10756"/>
    <cellStyle name="Финансовый 2 2 2 2 38 11 4" xfId="33071"/>
    <cellStyle name="Финансовый 2 2 2 2 38 12" xfId="2696"/>
    <cellStyle name="Финансовый 2 2 2 2 38 12 2" xfId="16750"/>
    <cellStyle name="Финансовый 2 2 2 2 38 12 2 2" xfId="39065"/>
    <cellStyle name="Финансовый 2 2 2 2 38 12 3" xfId="10944"/>
    <cellStyle name="Финансовый 2 2 2 2 38 12 4" xfId="33259"/>
    <cellStyle name="Финансовый 2 2 2 2 38 13" xfId="2917"/>
    <cellStyle name="Финансовый 2 2 2 2 38 13 2" xfId="16931"/>
    <cellStyle name="Финансовый 2 2 2 2 38 13 2 2" xfId="39246"/>
    <cellStyle name="Финансовый 2 2 2 2 38 13 3" xfId="11125"/>
    <cellStyle name="Финансовый 2 2 2 2 38 13 4" xfId="33440"/>
    <cellStyle name="Финансовый 2 2 2 2 38 14" xfId="3128"/>
    <cellStyle name="Финансовый 2 2 2 2 38 14 2" xfId="17103"/>
    <cellStyle name="Финансовый 2 2 2 2 38 14 2 2" xfId="39418"/>
    <cellStyle name="Финансовый 2 2 2 2 38 14 3" xfId="11297"/>
    <cellStyle name="Финансовый 2 2 2 2 38 14 4" xfId="33612"/>
    <cellStyle name="Финансовый 2 2 2 2 38 15" xfId="3325"/>
    <cellStyle name="Финансовый 2 2 2 2 38 15 2" xfId="17261"/>
    <cellStyle name="Финансовый 2 2 2 2 38 15 2 2" xfId="39576"/>
    <cellStyle name="Финансовый 2 2 2 2 38 15 3" xfId="11455"/>
    <cellStyle name="Финансовый 2 2 2 2 38 15 4" xfId="33770"/>
    <cellStyle name="Финансовый 2 2 2 2 38 16" xfId="3509"/>
    <cellStyle name="Финансовый 2 2 2 2 38 16 2" xfId="17406"/>
    <cellStyle name="Финансовый 2 2 2 2 38 16 2 2" xfId="39721"/>
    <cellStyle name="Финансовый 2 2 2 2 38 16 3" xfId="11600"/>
    <cellStyle name="Финансовый 2 2 2 2 38 16 4" xfId="33915"/>
    <cellStyle name="Финансовый 2 2 2 2 38 17" xfId="3676"/>
    <cellStyle name="Финансовый 2 2 2 2 38 17 2" xfId="17535"/>
    <cellStyle name="Финансовый 2 2 2 2 38 17 2 2" xfId="39850"/>
    <cellStyle name="Финансовый 2 2 2 2 38 17 3" xfId="11729"/>
    <cellStyle name="Финансовый 2 2 2 2 38 17 4" xfId="34044"/>
    <cellStyle name="Финансовый 2 2 2 2 38 18" xfId="3824"/>
    <cellStyle name="Финансовый 2 2 2 2 38 18 2" xfId="17646"/>
    <cellStyle name="Финансовый 2 2 2 2 38 18 2 2" xfId="39961"/>
    <cellStyle name="Финансовый 2 2 2 2 38 18 3" xfId="11840"/>
    <cellStyle name="Финансовый 2 2 2 2 38 18 4" xfId="34155"/>
    <cellStyle name="Финансовый 2 2 2 2 38 19" xfId="293"/>
    <cellStyle name="Финансовый 2 2 2 2 38 19 2" xfId="14719"/>
    <cellStyle name="Финансовый 2 2 2 2 38 19 2 2" xfId="37034"/>
    <cellStyle name="Финансовый 2 2 2 2 38 19 3" xfId="8913"/>
    <cellStyle name="Финансовый 2 2 2 2 38 19 4" xfId="31248"/>
    <cellStyle name="Финансовый 2 2 2 2 38 2" xfId="541"/>
    <cellStyle name="Финансовый 2 2 2 2 38 2 10" xfId="3154"/>
    <cellStyle name="Финансовый 2 2 2 2 38 2 10 2" xfId="17127"/>
    <cellStyle name="Финансовый 2 2 2 2 38 2 10 2 2" xfId="39442"/>
    <cellStyle name="Финансовый 2 2 2 2 38 2 10 3" xfId="11321"/>
    <cellStyle name="Финансовый 2 2 2 2 38 2 10 4" xfId="33636"/>
    <cellStyle name="Финансовый 2 2 2 2 38 2 11" xfId="3347"/>
    <cellStyle name="Финансовый 2 2 2 2 38 2 11 2" xfId="17281"/>
    <cellStyle name="Финансовый 2 2 2 2 38 2 11 2 2" xfId="39596"/>
    <cellStyle name="Финансовый 2 2 2 2 38 2 11 3" xfId="11475"/>
    <cellStyle name="Финансовый 2 2 2 2 38 2 11 4" xfId="33790"/>
    <cellStyle name="Финансовый 2 2 2 2 38 2 12" xfId="3530"/>
    <cellStyle name="Финансовый 2 2 2 2 38 2 12 2" xfId="17425"/>
    <cellStyle name="Финансовый 2 2 2 2 38 2 12 2 2" xfId="39740"/>
    <cellStyle name="Финансовый 2 2 2 2 38 2 12 3" xfId="11619"/>
    <cellStyle name="Финансовый 2 2 2 2 38 2 12 4" xfId="33934"/>
    <cellStyle name="Финансовый 2 2 2 2 38 2 13" xfId="3692"/>
    <cellStyle name="Финансовый 2 2 2 2 38 2 13 2" xfId="17549"/>
    <cellStyle name="Финансовый 2 2 2 2 38 2 13 2 2" xfId="39864"/>
    <cellStyle name="Финансовый 2 2 2 2 38 2 13 3" xfId="11743"/>
    <cellStyle name="Финансовый 2 2 2 2 38 2 13 4" xfId="34058"/>
    <cellStyle name="Финансовый 2 2 2 2 38 2 14" xfId="3834"/>
    <cellStyle name="Финансовый 2 2 2 2 38 2 14 2" xfId="17656"/>
    <cellStyle name="Финансовый 2 2 2 2 38 2 14 2 2" xfId="39971"/>
    <cellStyle name="Финансовый 2 2 2 2 38 2 14 3" xfId="11850"/>
    <cellStyle name="Финансовый 2 2 2 2 38 2 14 4" xfId="34165"/>
    <cellStyle name="Финансовый 2 2 2 2 38 2 15" xfId="7538"/>
    <cellStyle name="Финансовый 2 2 2 2 38 2 15 2" xfId="19678"/>
    <cellStyle name="Финансовый 2 2 2 2 38 2 15 2 2" xfId="41993"/>
    <cellStyle name="Финансовый 2 2 2 2 38 2 15 3" xfId="13872"/>
    <cellStyle name="Финансовый 2 2 2 2 38 2 15 4" xfId="36187"/>
    <cellStyle name="Финансовый 2 2 2 2 38 2 16" xfId="6771"/>
    <cellStyle name="Финансовый 2 2 2 2 38 2 16 2" xfId="19264"/>
    <cellStyle name="Финансовый 2 2 2 2 38 2 16 2 2" xfId="41579"/>
    <cellStyle name="Финансовый 2 2 2 2 38 2 16 3" xfId="13458"/>
    <cellStyle name="Финансовый 2 2 2 2 38 2 16 4" xfId="35773"/>
    <cellStyle name="Финансовый 2 2 2 2 38 2 17" xfId="5140"/>
    <cellStyle name="Финансовый 2 2 2 2 38 2 17 2" xfId="18388"/>
    <cellStyle name="Финансовый 2 2 2 2 38 2 17 2 2" xfId="40703"/>
    <cellStyle name="Финансовый 2 2 2 2 38 2 17 3" xfId="12582"/>
    <cellStyle name="Финансовый 2 2 2 2 38 2 17 4" xfId="34897"/>
    <cellStyle name="Финансовый 2 2 2 2 38 2 18" xfId="14942"/>
    <cellStyle name="Финансовый 2 2 2 2 38 2 18 2" xfId="37257"/>
    <cellStyle name="Финансовый 2 2 2 2 38 2 19" xfId="9136"/>
    <cellStyle name="Финансовый 2 2 2 2 38 2 2" xfId="757"/>
    <cellStyle name="Финансовый 2 2 2 2 38 2 2 2" xfId="15135"/>
    <cellStyle name="Финансовый 2 2 2 2 38 2 2 2 2" xfId="37450"/>
    <cellStyle name="Финансовый 2 2 2 2 38 2 2 3" xfId="9329"/>
    <cellStyle name="Финансовый 2 2 2 2 38 2 2 4" xfId="31652"/>
    <cellStyle name="Финансовый 2 2 2 2 38 2 20" xfId="31469"/>
    <cellStyle name="Финансовый 2 2 2 2 38 2 3" xfId="1507"/>
    <cellStyle name="Финансовый 2 2 2 2 38 2 3 2" xfId="15749"/>
    <cellStyle name="Финансовый 2 2 2 2 38 2 3 2 2" xfId="38064"/>
    <cellStyle name="Финансовый 2 2 2 2 38 2 3 3" xfId="9943"/>
    <cellStyle name="Финансовый 2 2 2 2 38 2 3 4" xfId="32258"/>
    <cellStyle name="Финансовый 2 2 2 2 38 2 4" xfId="1789"/>
    <cellStyle name="Финансовый 2 2 2 2 38 2 4 2" xfId="16008"/>
    <cellStyle name="Финансовый 2 2 2 2 38 2 4 2 2" xfId="38323"/>
    <cellStyle name="Финансовый 2 2 2 2 38 2 4 3" xfId="10202"/>
    <cellStyle name="Финансовый 2 2 2 2 38 2 4 4" xfId="32517"/>
    <cellStyle name="Финансовый 2 2 2 2 38 2 5" xfId="2027"/>
    <cellStyle name="Финансовый 2 2 2 2 38 2 5 2" xfId="16204"/>
    <cellStyle name="Финансовый 2 2 2 2 38 2 5 2 2" xfId="38519"/>
    <cellStyle name="Финансовый 2 2 2 2 38 2 5 3" xfId="10398"/>
    <cellStyle name="Финансовый 2 2 2 2 38 2 5 4" xfId="32713"/>
    <cellStyle name="Финансовый 2 2 2 2 38 2 6" xfId="2262"/>
    <cellStyle name="Финансовый 2 2 2 2 38 2 6 2" xfId="16397"/>
    <cellStyle name="Финансовый 2 2 2 2 38 2 6 2 2" xfId="38712"/>
    <cellStyle name="Финансовый 2 2 2 2 38 2 6 3" xfId="10591"/>
    <cellStyle name="Финансовый 2 2 2 2 38 2 6 4" xfId="32906"/>
    <cellStyle name="Финансовый 2 2 2 2 38 2 7" xfId="2496"/>
    <cellStyle name="Финансовый 2 2 2 2 38 2 7 2" xfId="16589"/>
    <cellStyle name="Финансовый 2 2 2 2 38 2 7 2 2" xfId="38904"/>
    <cellStyle name="Финансовый 2 2 2 2 38 2 7 3" xfId="10783"/>
    <cellStyle name="Финансовый 2 2 2 2 38 2 7 4" xfId="33098"/>
    <cellStyle name="Финансовый 2 2 2 2 38 2 8" xfId="2724"/>
    <cellStyle name="Финансовый 2 2 2 2 38 2 8 2" xfId="16776"/>
    <cellStyle name="Финансовый 2 2 2 2 38 2 8 2 2" xfId="39091"/>
    <cellStyle name="Финансовый 2 2 2 2 38 2 8 3" xfId="10970"/>
    <cellStyle name="Финансовый 2 2 2 2 38 2 8 4" xfId="33285"/>
    <cellStyle name="Финансовый 2 2 2 2 38 2 9" xfId="2944"/>
    <cellStyle name="Финансовый 2 2 2 2 38 2 9 2" xfId="16956"/>
    <cellStyle name="Финансовый 2 2 2 2 38 2 9 2 2" xfId="39271"/>
    <cellStyle name="Финансовый 2 2 2 2 38 2 9 3" xfId="11150"/>
    <cellStyle name="Финансовый 2 2 2 2 38 2 9 4" xfId="33465"/>
    <cellStyle name="Финансовый 2 2 2 2 38 20" xfId="6509"/>
    <cellStyle name="Финансовый 2 2 2 2 38 20 2" xfId="19127"/>
    <cellStyle name="Финансовый 2 2 2 2 38 20 2 2" xfId="41442"/>
    <cellStyle name="Финансовый 2 2 2 2 38 20 3" xfId="13321"/>
    <cellStyle name="Финансовый 2 2 2 2 38 20 4" xfId="35636"/>
    <cellStyle name="Финансовый 2 2 2 2 38 21" xfId="7985"/>
    <cellStyle name="Финансовый 2 2 2 2 38 21 2" xfId="19935"/>
    <cellStyle name="Финансовый 2 2 2 2 38 21 2 2" xfId="42250"/>
    <cellStyle name="Финансовый 2 2 2 2 38 21 3" xfId="14129"/>
    <cellStyle name="Финансовый 2 2 2 2 38 21 4" xfId="36444"/>
    <cellStyle name="Финансовый 2 2 2 2 38 22" xfId="14674"/>
    <cellStyle name="Финансовый 2 2 2 2 38 22 2" xfId="36989"/>
    <cellStyle name="Финансовый 2 2 2 2 38 23" xfId="8868"/>
    <cellStyle name="Финансовый 2 2 2 2 38 24" xfId="31204"/>
    <cellStyle name="Финансовый 2 2 2 2 38 3" xfId="874"/>
    <cellStyle name="Финансовый 2 2 2 2 38 3 2" xfId="15214"/>
    <cellStyle name="Финансовый 2 2 2 2 38 3 2 2" xfId="37529"/>
    <cellStyle name="Финансовый 2 2 2 2 38 3 3" xfId="9408"/>
    <cellStyle name="Финансовый 2 2 2 2 38 3 4" xfId="31730"/>
    <cellStyle name="Финансовый 2 2 2 2 38 4" xfId="933"/>
    <cellStyle name="Финансовый 2 2 2 2 38 4 2" xfId="15261"/>
    <cellStyle name="Финансовый 2 2 2 2 38 4 2 2" xfId="37576"/>
    <cellStyle name="Финансовый 2 2 2 2 38 4 3" xfId="9455"/>
    <cellStyle name="Финансовый 2 2 2 2 38 4 4" xfId="31775"/>
    <cellStyle name="Финансовый 2 2 2 2 38 5" xfId="1090"/>
    <cellStyle name="Финансовый 2 2 2 2 38 5 2" xfId="15403"/>
    <cellStyle name="Финансовый 2 2 2 2 38 5 2 2" xfId="37718"/>
    <cellStyle name="Финансовый 2 2 2 2 38 5 3" xfId="9597"/>
    <cellStyle name="Финансовый 2 2 2 2 38 5 4" xfId="31916"/>
    <cellStyle name="Финансовый 2 2 2 2 38 6" xfId="1149"/>
    <cellStyle name="Финансовый 2 2 2 2 38 6 2" xfId="15450"/>
    <cellStyle name="Финансовый 2 2 2 2 38 6 2 2" xfId="37765"/>
    <cellStyle name="Финансовый 2 2 2 2 38 6 3" xfId="9644"/>
    <cellStyle name="Финансовый 2 2 2 2 38 6 4" xfId="31961"/>
    <cellStyle name="Финансовый 2 2 2 2 38 7" xfId="1300"/>
    <cellStyle name="Финансовый 2 2 2 2 38 7 2" xfId="15557"/>
    <cellStyle name="Финансовый 2 2 2 2 38 7 2 2" xfId="37872"/>
    <cellStyle name="Финансовый 2 2 2 2 38 7 3" xfId="9751"/>
    <cellStyle name="Финансовый 2 2 2 2 38 7 4" xfId="32066"/>
    <cellStyle name="Финансовый 2 2 2 2 38 8" xfId="1758"/>
    <cellStyle name="Финансовый 2 2 2 2 38 8 2" xfId="15980"/>
    <cellStyle name="Финансовый 2 2 2 2 38 8 2 2" xfId="38295"/>
    <cellStyle name="Финансовый 2 2 2 2 38 8 3" xfId="10174"/>
    <cellStyle name="Финансовый 2 2 2 2 38 8 4" xfId="32489"/>
    <cellStyle name="Финансовый 2 2 2 2 38 9" xfId="1996"/>
    <cellStyle name="Финансовый 2 2 2 2 38 9 2" xfId="16176"/>
    <cellStyle name="Финансовый 2 2 2 2 38 9 2 2" xfId="38491"/>
    <cellStyle name="Финансовый 2 2 2 2 38 9 3" xfId="10370"/>
    <cellStyle name="Финансовый 2 2 2 2 38 9 4" xfId="32685"/>
    <cellStyle name="Финансовый 2 2 2 2 39" xfId="203"/>
    <cellStyle name="Финансовый 2 2 2 2 39 10" xfId="540"/>
    <cellStyle name="Финансовый 2 2 2 2 39 10 2" xfId="14941"/>
    <cellStyle name="Финансовый 2 2 2 2 39 10 2 2" xfId="37256"/>
    <cellStyle name="Финансовый 2 2 2 2 39 10 3" xfId="9135"/>
    <cellStyle name="Финансовый 2 2 2 2 39 10 4" xfId="31468"/>
    <cellStyle name="Финансовый 2 2 2 2 39 11" xfId="1843"/>
    <cellStyle name="Финансовый 2 2 2 2 39 11 2" xfId="16059"/>
    <cellStyle name="Финансовый 2 2 2 2 39 11 2 2" xfId="38374"/>
    <cellStyle name="Финансовый 2 2 2 2 39 11 3" xfId="10253"/>
    <cellStyle name="Финансовый 2 2 2 2 39 11 4" xfId="32568"/>
    <cellStyle name="Финансовый 2 2 2 2 39 12" xfId="2081"/>
    <cellStyle name="Финансовый 2 2 2 2 39 12 2" xfId="16255"/>
    <cellStyle name="Финансовый 2 2 2 2 39 12 2 2" xfId="38570"/>
    <cellStyle name="Финансовый 2 2 2 2 39 12 3" xfId="10449"/>
    <cellStyle name="Финансовый 2 2 2 2 39 12 4" xfId="32764"/>
    <cellStyle name="Финансовый 2 2 2 2 39 13" xfId="2316"/>
    <cellStyle name="Финансовый 2 2 2 2 39 13 2" xfId="16448"/>
    <cellStyle name="Финансовый 2 2 2 2 39 13 2 2" xfId="38763"/>
    <cellStyle name="Финансовый 2 2 2 2 39 13 3" xfId="10642"/>
    <cellStyle name="Финансовый 2 2 2 2 39 13 4" xfId="32957"/>
    <cellStyle name="Финансовый 2 2 2 2 39 14" xfId="2548"/>
    <cellStyle name="Финансовый 2 2 2 2 39 14 2" xfId="16638"/>
    <cellStyle name="Финансовый 2 2 2 2 39 14 2 2" xfId="38953"/>
    <cellStyle name="Финансовый 2 2 2 2 39 14 3" xfId="10832"/>
    <cellStyle name="Финансовый 2 2 2 2 39 14 4" xfId="33147"/>
    <cellStyle name="Финансовый 2 2 2 2 39 15" xfId="2773"/>
    <cellStyle name="Финансовый 2 2 2 2 39 15 2" xfId="16822"/>
    <cellStyle name="Финансовый 2 2 2 2 39 15 2 2" xfId="39137"/>
    <cellStyle name="Финансовый 2 2 2 2 39 15 3" xfId="11016"/>
    <cellStyle name="Финансовый 2 2 2 2 39 15 4" xfId="33331"/>
    <cellStyle name="Финансовый 2 2 2 2 39 16" xfId="2990"/>
    <cellStyle name="Финансовый 2 2 2 2 39 16 2" xfId="16999"/>
    <cellStyle name="Финансовый 2 2 2 2 39 16 2 2" xfId="39314"/>
    <cellStyle name="Финансовый 2 2 2 2 39 16 3" xfId="11193"/>
    <cellStyle name="Финансовый 2 2 2 2 39 16 4" xfId="33508"/>
    <cellStyle name="Финансовый 2 2 2 2 39 17" xfId="3196"/>
    <cellStyle name="Финансовый 2 2 2 2 39 17 2" xfId="17166"/>
    <cellStyle name="Финансовый 2 2 2 2 39 17 2 2" xfId="39481"/>
    <cellStyle name="Финансовый 2 2 2 2 39 17 3" xfId="11360"/>
    <cellStyle name="Финансовый 2 2 2 2 39 17 4" xfId="33675"/>
    <cellStyle name="Финансовый 2 2 2 2 39 18" xfId="3384"/>
    <cellStyle name="Финансовый 2 2 2 2 39 18 2" xfId="17315"/>
    <cellStyle name="Финансовый 2 2 2 2 39 18 2 2" xfId="39630"/>
    <cellStyle name="Финансовый 2 2 2 2 39 18 3" xfId="11509"/>
    <cellStyle name="Финансовый 2 2 2 2 39 18 4" xfId="33824"/>
    <cellStyle name="Финансовый 2 2 2 2 39 19" xfId="5442"/>
    <cellStyle name="Финансовый 2 2 2 2 39 19 2" xfId="18554"/>
    <cellStyle name="Финансовый 2 2 2 2 39 19 2 2" xfId="40869"/>
    <cellStyle name="Финансовый 2 2 2 2 39 19 3" xfId="12748"/>
    <cellStyle name="Финансовый 2 2 2 2 39 19 4" xfId="35063"/>
    <cellStyle name="Финансовый 2 2 2 2 39 2" xfId="544"/>
    <cellStyle name="Финансовый 2 2 2 2 39 2 10" xfId="2136"/>
    <cellStyle name="Финансовый 2 2 2 2 39 2 10 2" xfId="16307"/>
    <cellStyle name="Финансовый 2 2 2 2 39 2 10 2 2" xfId="38622"/>
    <cellStyle name="Финансовый 2 2 2 2 39 2 10 3" xfId="10501"/>
    <cellStyle name="Финансовый 2 2 2 2 39 2 10 4" xfId="32816"/>
    <cellStyle name="Финансовый 2 2 2 2 39 2 11" xfId="2371"/>
    <cellStyle name="Финансовый 2 2 2 2 39 2 11 2" xfId="16500"/>
    <cellStyle name="Финансовый 2 2 2 2 39 2 11 2 2" xfId="38815"/>
    <cellStyle name="Финансовый 2 2 2 2 39 2 11 3" xfId="10694"/>
    <cellStyle name="Финансовый 2 2 2 2 39 2 11 4" xfId="33009"/>
    <cellStyle name="Финансовый 2 2 2 2 39 2 12" xfId="2603"/>
    <cellStyle name="Финансовый 2 2 2 2 39 2 12 2" xfId="16690"/>
    <cellStyle name="Финансовый 2 2 2 2 39 2 12 2 2" xfId="39005"/>
    <cellStyle name="Финансовый 2 2 2 2 39 2 12 3" xfId="10884"/>
    <cellStyle name="Финансовый 2 2 2 2 39 2 12 4" xfId="33199"/>
    <cellStyle name="Финансовый 2 2 2 2 39 2 13" xfId="2825"/>
    <cellStyle name="Финансовый 2 2 2 2 39 2 13 2" xfId="16872"/>
    <cellStyle name="Финансовый 2 2 2 2 39 2 13 2 2" xfId="39187"/>
    <cellStyle name="Финансовый 2 2 2 2 39 2 13 3" xfId="11066"/>
    <cellStyle name="Финансовый 2 2 2 2 39 2 13 4" xfId="33381"/>
    <cellStyle name="Финансовый 2 2 2 2 39 2 14" xfId="3038"/>
    <cellStyle name="Финансовый 2 2 2 2 39 2 14 2" xfId="17045"/>
    <cellStyle name="Финансовый 2 2 2 2 39 2 14 2 2" xfId="39360"/>
    <cellStyle name="Финансовый 2 2 2 2 39 2 14 3" xfId="11239"/>
    <cellStyle name="Финансовый 2 2 2 2 39 2 14 4" xfId="33554"/>
    <cellStyle name="Финансовый 2 2 2 2 39 2 15" xfId="7643"/>
    <cellStyle name="Финансовый 2 2 2 2 39 2 15 2" xfId="19735"/>
    <cellStyle name="Финансовый 2 2 2 2 39 2 15 2 2" xfId="42050"/>
    <cellStyle name="Финансовый 2 2 2 2 39 2 15 3" xfId="13929"/>
    <cellStyle name="Финансовый 2 2 2 2 39 2 15 4" xfId="36244"/>
    <cellStyle name="Финансовый 2 2 2 2 39 2 16" xfId="4697"/>
    <cellStyle name="Финансовый 2 2 2 2 39 2 16 2" xfId="18145"/>
    <cellStyle name="Финансовый 2 2 2 2 39 2 16 2 2" xfId="40460"/>
    <cellStyle name="Финансовый 2 2 2 2 39 2 16 3" xfId="12339"/>
    <cellStyle name="Финансовый 2 2 2 2 39 2 16 4" xfId="34654"/>
    <cellStyle name="Финансовый 2 2 2 2 39 2 17" xfId="6922"/>
    <cellStyle name="Финансовый 2 2 2 2 39 2 17 2" xfId="19343"/>
    <cellStyle name="Финансовый 2 2 2 2 39 2 17 2 2" xfId="41658"/>
    <cellStyle name="Финансовый 2 2 2 2 39 2 17 3" xfId="13537"/>
    <cellStyle name="Финансовый 2 2 2 2 39 2 17 4" xfId="35852"/>
    <cellStyle name="Финансовый 2 2 2 2 39 2 18" xfId="14945"/>
    <cellStyle name="Финансовый 2 2 2 2 39 2 18 2" xfId="37260"/>
    <cellStyle name="Финансовый 2 2 2 2 39 2 19" xfId="9139"/>
    <cellStyle name="Финансовый 2 2 2 2 39 2 2" xfId="760"/>
    <cellStyle name="Финансовый 2 2 2 2 39 2 2 2" xfId="15138"/>
    <cellStyle name="Финансовый 2 2 2 2 39 2 2 2 2" xfId="37453"/>
    <cellStyle name="Финансовый 2 2 2 2 39 2 2 3" xfId="9332"/>
    <cellStyle name="Финансовый 2 2 2 2 39 2 2 4" xfId="31655"/>
    <cellStyle name="Финансовый 2 2 2 2 39 2 20" xfId="31472"/>
    <cellStyle name="Финансовый 2 2 2 2 39 2 3" xfId="1510"/>
    <cellStyle name="Финансовый 2 2 2 2 39 2 3 2" xfId="15752"/>
    <cellStyle name="Финансовый 2 2 2 2 39 2 3 2 2" xfId="38067"/>
    <cellStyle name="Финансовый 2 2 2 2 39 2 3 3" xfId="9946"/>
    <cellStyle name="Финансовый 2 2 2 2 39 2 3 4" xfId="32261"/>
    <cellStyle name="Финансовый 2 2 2 2 39 2 4" xfId="1404"/>
    <cellStyle name="Финансовый 2 2 2 2 39 2 4 2" xfId="15649"/>
    <cellStyle name="Финансовый 2 2 2 2 39 2 4 2 2" xfId="37964"/>
    <cellStyle name="Финансовый 2 2 2 2 39 2 4 3" xfId="9843"/>
    <cellStyle name="Финансовый 2 2 2 2 39 2 4 4" xfId="32158"/>
    <cellStyle name="Финансовый 2 2 2 2 39 2 5" xfId="1728"/>
    <cellStyle name="Финансовый 2 2 2 2 39 2 5 2" xfId="15953"/>
    <cellStyle name="Финансовый 2 2 2 2 39 2 5 2 2" xfId="38268"/>
    <cellStyle name="Финансовый 2 2 2 2 39 2 5 3" xfId="10147"/>
    <cellStyle name="Финансовый 2 2 2 2 39 2 5 4" xfId="32462"/>
    <cellStyle name="Финансовый 2 2 2 2 39 2 6" xfId="371"/>
    <cellStyle name="Финансовый 2 2 2 2 39 2 6 2" xfId="14774"/>
    <cellStyle name="Финансовый 2 2 2 2 39 2 6 2 2" xfId="37089"/>
    <cellStyle name="Финансовый 2 2 2 2 39 2 6 3" xfId="8968"/>
    <cellStyle name="Финансовый 2 2 2 2 39 2 6 4" xfId="31301"/>
    <cellStyle name="Финансовый 2 2 2 2 39 2 7" xfId="1337"/>
    <cellStyle name="Финансовый 2 2 2 2 39 2 7 2" xfId="15590"/>
    <cellStyle name="Финансовый 2 2 2 2 39 2 7 2 2" xfId="37905"/>
    <cellStyle name="Финансовый 2 2 2 2 39 2 7 3" xfId="9784"/>
    <cellStyle name="Финансовый 2 2 2 2 39 2 7 4" xfId="32099"/>
    <cellStyle name="Финансовый 2 2 2 2 39 2 8" xfId="360"/>
    <cellStyle name="Финансовый 2 2 2 2 39 2 8 2" xfId="14763"/>
    <cellStyle name="Финансовый 2 2 2 2 39 2 8 2 2" xfId="37078"/>
    <cellStyle name="Финансовый 2 2 2 2 39 2 8 3" xfId="8957"/>
    <cellStyle name="Финансовый 2 2 2 2 39 2 8 4" xfId="31290"/>
    <cellStyle name="Финансовый 2 2 2 2 39 2 9" xfId="1898"/>
    <cellStyle name="Финансовый 2 2 2 2 39 2 9 2" xfId="16111"/>
    <cellStyle name="Финансовый 2 2 2 2 39 2 9 2 2" xfId="38426"/>
    <cellStyle name="Финансовый 2 2 2 2 39 2 9 3" xfId="10305"/>
    <cellStyle name="Финансовый 2 2 2 2 39 2 9 4" xfId="32620"/>
    <cellStyle name="Финансовый 2 2 2 2 39 20" xfId="5121"/>
    <cellStyle name="Финансовый 2 2 2 2 39 20 2" xfId="18379"/>
    <cellStyle name="Финансовый 2 2 2 2 39 20 2 2" xfId="40694"/>
    <cellStyle name="Финансовый 2 2 2 2 39 20 3" xfId="12573"/>
    <cellStyle name="Финансовый 2 2 2 2 39 20 4" xfId="34888"/>
    <cellStyle name="Финансовый 2 2 2 2 39 21" xfId="6388"/>
    <cellStyle name="Финансовый 2 2 2 2 39 21 2" xfId="19057"/>
    <cellStyle name="Финансовый 2 2 2 2 39 21 2 2" xfId="41372"/>
    <cellStyle name="Финансовый 2 2 2 2 39 21 3" xfId="13251"/>
    <cellStyle name="Финансовый 2 2 2 2 39 21 4" xfId="35566"/>
    <cellStyle name="Финансовый 2 2 2 2 39 22" xfId="14676"/>
    <cellStyle name="Финансовый 2 2 2 2 39 22 2" xfId="36991"/>
    <cellStyle name="Финансовый 2 2 2 2 39 23" xfId="8870"/>
    <cellStyle name="Финансовый 2 2 2 2 39 24" xfId="31206"/>
    <cellStyle name="Финансовый 2 2 2 2 39 3" xfId="877"/>
    <cellStyle name="Финансовый 2 2 2 2 39 3 2" xfId="15217"/>
    <cellStyle name="Финансовый 2 2 2 2 39 3 2 2" xfId="37532"/>
    <cellStyle name="Финансовый 2 2 2 2 39 3 3" xfId="9411"/>
    <cellStyle name="Финансовый 2 2 2 2 39 3 4" xfId="31733"/>
    <cellStyle name="Финансовый 2 2 2 2 39 4" xfId="935"/>
    <cellStyle name="Финансовый 2 2 2 2 39 4 2" xfId="15263"/>
    <cellStyle name="Финансовый 2 2 2 2 39 4 2 2" xfId="37578"/>
    <cellStyle name="Финансовый 2 2 2 2 39 4 3" xfId="9457"/>
    <cellStyle name="Финансовый 2 2 2 2 39 4 4" xfId="31777"/>
    <cellStyle name="Финансовый 2 2 2 2 39 5" xfId="1093"/>
    <cellStyle name="Финансовый 2 2 2 2 39 5 2" xfId="15406"/>
    <cellStyle name="Финансовый 2 2 2 2 39 5 2 2" xfId="37721"/>
    <cellStyle name="Финансовый 2 2 2 2 39 5 3" xfId="9600"/>
    <cellStyle name="Финансовый 2 2 2 2 39 5 4" xfId="31919"/>
    <cellStyle name="Финансовый 2 2 2 2 39 6" xfId="1151"/>
    <cellStyle name="Финансовый 2 2 2 2 39 6 2" xfId="15452"/>
    <cellStyle name="Финансовый 2 2 2 2 39 6 2 2" xfId="37767"/>
    <cellStyle name="Финансовый 2 2 2 2 39 6 3" xfId="9646"/>
    <cellStyle name="Финансовый 2 2 2 2 39 6 4" xfId="31963"/>
    <cellStyle name="Финансовый 2 2 2 2 39 7" xfId="1303"/>
    <cellStyle name="Финансовый 2 2 2 2 39 7 2" xfId="15560"/>
    <cellStyle name="Финансовый 2 2 2 2 39 7 2 2" xfId="37875"/>
    <cellStyle name="Финансовый 2 2 2 2 39 7 3" xfId="9754"/>
    <cellStyle name="Финансовый 2 2 2 2 39 7 4" xfId="32069"/>
    <cellStyle name="Финансовый 2 2 2 2 39 8" xfId="1582"/>
    <cellStyle name="Финансовый 2 2 2 2 39 8 2" xfId="15820"/>
    <cellStyle name="Финансовый 2 2 2 2 39 8 2 2" xfId="38135"/>
    <cellStyle name="Финансовый 2 2 2 2 39 8 3" xfId="10014"/>
    <cellStyle name="Финансовый 2 2 2 2 39 8 4" xfId="32329"/>
    <cellStyle name="Финансовый 2 2 2 2 39 9" xfId="1335"/>
    <cellStyle name="Финансовый 2 2 2 2 39 9 2" xfId="15588"/>
    <cellStyle name="Финансовый 2 2 2 2 39 9 2 2" xfId="37903"/>
    <cellStyle name="Финансовый 2 2 2 2 39 9 3" xfId="9782"/>
    <cellStyle name="Финансовый 2 2 2 2 39 9 4" xfId="32097"/>
    <cellStyle name="Финансовый 2 2 2 2 4" xfId="33"/>
    <cellStyle name="Финансовый 2 2 2 2 4 10" xfId="1309"/>
    <cellStyle name="Финансовый 2 2 2 2 4 10 2" xfId="15566"/>
    <cellStyle name="Финансовый 2 2 2 2 4 10 2 2" xfId="37881"/>
    <cellStyle name="Финансовый 2 2 2 2 4 10 3" xfId="9760"/>
    <cellStyle name="Финансовый 2 2 2 2 4 10 4" xfId="32075"/>
    <cellStyle name="Финансовый 2 2 2 2 4 11" xfId="1779"/>
    <cellStyle name="Финансовый 2 2 2 2 4 11 2" xfId="16000"/>
    <cellStyle name="Финансовый 2 2 2 2 4 11 2 2" xfId="38315"/>
    <cellStyle name="Финансовый 2 2 2 2 4 11 3" xfId="10194"/>
    <cellStyle name="Финансовый 2 2 2 2 4 11 4" xfId="32509"/>
    <cellStyle name="Финансовый 2 2 2 2 4 12" xfId="2017"/>
    <cellStyle name="Финансовый 2 2 2 2 4 12 2" xfId="16196"/>
    <cellStyle name="Финансовый 2 2 2 2 4 12 2 2" xfId="38511"/>
    <cellStyle name="Финансовый 2 2 2 2 4 12 3" xfId="10390"/>
    <cellStyle name="Финансовый 2 2 2 2 4 12 4" xfId="32705"/>
    <cellStyle name="Финансовый 2 2 2 2 4 13" xfId="2252"/>
    <cellStyle name="Финансовый 2 2 2 2 4 13 2" xfId="16389"/>
    <cellStyle name="Финансовый 2 2 2 2 4 13 2 2" xfId="38704"/>
    <cellStyle name="Финансовый 2 2 2 2 4 13 3" xfId="10583"/>
    <cellStyle name="Финансовый 2 2 2 2 4 13 4" xfId="32898"/>
    <cellStyle name="Финансовый 2 2 2 2 4 14" xfId="2486"/>
    <cellStyle name="Финансовый 2 2 2 2 4 14 2" xfId="16581"/>
    <cellStyle name="Финансовый 2 2 2 2 4 14 2 2" xfId="38896"/>
    <cellStyle name="Финансовый 2 2 2 2 4 14 3" xfId="10775"/>
    <cellStyle name="Финансовый 2 2 2 2 4 14 4" xfId="33090"/>
    <cellStyle name="Финансовый 2 2 2 2 4 15" xfId="2715"/>
    <cellStyle name="Финансовый 2 2 2 2 4 15 2" xfId="16769"/>
    <cellStyle name="Финансовый 2 2 2 2 4 15 2 2" xfId="39084"/>
    <cellStyle name="Финансовый 2 2 2 2 4 15 3" xfId="10963"/>
    <cellStyle name="Финансовый 2 2 2 2 4 15 4" xfId="33278"/>
    <cellStyle name="Финансовый 2 2 2 2 4 16" xfId="2935"/>
    <cellStyle name="Финансовый 2 2 2 2 4 16 2" xfId="16949"/>
    <cellStyle name="Финансовый 2 2 2 2 4 16 2 2" xfId="39264"/>
    <cellStyle name="Финансовый 2 2 2 2 4 16 3" xfId="11143"/>
    <cellStyle name="Финансовый 2 2 2 2 4 16 4" xfId="33458"/>
    <cellStyle name="Финансовый 2 2 2 2 4 17" xfId="3146"/>
    <cellStyle name="Финансовый 2 2 2 2 4 17 2" xfId="17121"/>
    <cellStyle name="Финансовый 2 2 2 2 4 17 2 2" xfId="39436"/>
    <cellStyle name="Финансовый 2 2 2 2 4 17 3" xfId="11315"/>
    <cellStyle name="Финансовый 2 2 2 2 4 17 4" xfId="33630"/>
    <cellStyle name="Финансовый 2 2 2 2 4 18" xfId="3339"/>
    <cellStyle name="Финансовый 2 2 2 2 4 18 2" xfId="17275"/>
    <cellStyle name="Финансовый 2 2 2 2 4 18 2 2" xfId="39590"/>
    <cellStyle name="Финансовый 2 2 2 2 4 18 3" xfId="11469"/>
    <cellStyle name="Финансовый 2 2 2 2 4 18 4" xfId="33784"/>
    <cellStyle name="Финансовый 2 2 2 2 4 19" xfId="6895"/>
    <cellStyle name="Финансовый 2 2 2 2 4 19 2" xfId="19331"/>
    <cellStyle name="Финансовый 2 2 2 2 4 19 2 2" xfId="41646"/>
    <cellStyle name="Финансовый 2 2 2 2 4 19 3" xfId="13525"/>
    <cellStyle name="Финансовый 2 2 2 2 4 19 4" xfId="35840"/>
    <cellStyle name="Финансовый 2 2 2 2 4 2" xfId="378"/>
    <cellStyle name="Финансовый 2 2 2 2 4 2 10" xfId="2711"/>
    <cellStyle name="Финансовый 2 2 2 2 4 2 10 2" xfId="16765"/>
    <cellStyle name="Финансовый 2 2 2 2 4 2 10 2 2" xfId="39080"/>
    <cellStyle name="Финансовый 2 2 2 2 4 2 10 3" xfId="10959"/>
    <cellStyle name="Финансовый 2 2 2 2 4 2 10 4" xfId="33274"/>
    <cellStyle name="Финансовый 2 2 2 2 4 2 11" xfId="2931"/>
    <cellStyle name="Финансовый 2 2 2 2 4 2 11 2" xfId="16945"/>
    <cellStyle name="Финансовый 2 2 2 2 4 2 11 2 2" xfId="39260"/>
    <cellStyle name="Финансовый 2 2 2 2 4 2 11 3" xfId="11139"/>
    <cellStyle name="Финансовый 2 2 2 2 4 2 11 4" xfId="33454"/>
    <cellStyle name="Финансовый 2 2 2 2 4 2 12" xfId="3142"/>
    <cellStyle name="Финансовый 2 2 2 2 4 2 12 2" xfId="17117"/>
    <cellStyle name="Финансовый 2 2 2 2 4 2 12 2 2" xfId="39432"/>
    <cellStyle name="Финансовый 2 2 2 2 4 2 12 3" xfId="11311"/>
    <cellStyle name="Финансовый 2 2 2 2 4 2 12 4" xfId="33626"/>
    <cellStyle name="Финансовый 2 2 2 2 4 2 13" xfId="3335"/>
    <cellStyle name="Финансовый 2 2 2 2 4 2 13 2" xfId="17271"/>
    <cellStyle name="Финансовый 2 2 2 2 4 2 13 2 2" xfId="39586"/>
    <cellStyle name="Финансовый 2 2 2 2 4 2 13 3" xfId="11465"/>
    <cellStyle name="Финансовый 2 2 2 2 4 2 13 4" xfId="33780"/>
    <cellStyle name="Финансовый 2 2 2 2 4 2 14" xfId="3519"/>
    <cellStyle name="Финансовый 2 2 2 2 4 2 14 2" xfId="17416"/>
    <cellStyle name="Финансовый 2 2 2 2 4 2 14 2 2" xfId="39731"/>
    <cellStyle name="Финансовый 2 2 2 2 4 2 14 3" xfId="11610"/>
    <cellStyle name="Финансовый 2 2 2 2 4 2 14 4" xfId="33925"/>
    <cellStyle name="Финансовый 2 2 2 2 4 2 15" xfId="4071"/>
    <cellStyle name="Финансовый 2 2 2 2 4 2 15 2" xfId="17796"/>
    <cellStyle name="Финансовый 2 2 2 2 4 2 15 2 2" xfId="40111"/>
    <cellStyle name="Финансовый 2 2 2 2 4 2 15 3" xfId="11990"/>
    <cellStyle name="Финансовый 2 2 2 2 4 2 15 4" xfId="34305"/>
    <cellStyle name="Финансовый 2 2 2 2 4 2 16" xfId="8546"/>
    <cellStyle name="Финансовый 2 2 2 2 4 2 16 2" xfId="20255"/>
    <cellStyle name="Финансовый 2 2 2 2 4 2 16 2 2" xfId="42570"/>
    <cellStyle name="Финансовый 2 2 2 2 4 2 16 3" xfId="14449"/>
    <cellStyle name="Финансовый 2 2 2 2 4 2 16 4" xfId="36764"/>
    <cellStyle name="Финансовый 2 2 2 2 4 2 17" xfId="4713"/>
    <cellStyle name="Финансовый 2 2 2 2 4 2 17 2" xfId="18154"/>
    <cellStyle name="Финансовый 2 2 2 2 4 2 17 2 2" xfId="40469"/>
    <cellStyle name="Финансовый 2 2 2 2 4 2 17 3" xfId="12348"/>
    <cellStyle name="Финансовый 2 2 2 2 4 2 17 4" xfId="34663"/>
    <cellStyle name="Финансовый 2 2 2 2 4 2 18" xfId="14781"/>
    <cellStyle name="Финансовый 2 2 2 2 4 2 18 2" xfId="37096"/>
    <cellStyle name="Финансовый 2 2 2 2 4 2 19" xfId="8975"/>
    <cellStyle name="Финансовый 2 2 2 2 4 2 2" xfId="625"/>
    <cellStyle name="Финансовый 2 2 2 2 4 2 2 2" xfId="15004"/>
    <cellStyle name="Финансовый 2 2 2 2 4 2 2 2 2" xfId="37319"/>
    <cellStyle name="Финансовый 2 2 2 2 4 2 2 3" xfId="9198"/>
    <cellStyle name="Финансовый 2 2 2 2 4 2 2 4" xfId="31522"/>
    <cellStyle name="Финансовый 2 2 2 2 4 2 20" xfId="31308"/>
    <cellStyle name="Финансовый 2 2 2 2 4 2 3" xfId="1383"/>
    <cellStyle name="Финансовый 2 2 2 2 4 2 3 2" xfId="15630"/>
    <cellStyle name="Финансовый 2 2 2 2 4 2 3 2 2" xfId="37945"/>
    <cellStyle name="Финансовый 2 2 2 2 4 2 3 3" xfId="9824"/>
    <cellStyle name="Финансовый 2 2 2 2 4 2 3 4" xfId="32139"/>
    <cellStyle name="Финансовый 2 2 2 2 4 2 4" xfId="1252"/>
    <cellStyle name="Финансовый 2 2 2 2 4 2 4 2" xfId="15512"/>
    <cellStyle name="Финансовый 2 2 2 2 4 2 4 2 2" xfId="37827"/>
    <cellStyle name="Финансовый 2 2 2 2 4 2 4 3" xfId="9706"/>
    <cellStyle name="Финансовый 2 2 2 2 4 2 4 4" xfId="32021"/>
    <cellStyle name="Финансовый 2 2 2 2 4 2 5" xfId="1710"/>
    <cellStyle name="Финансовый 2 2 2 2 4 2 5 2" xfId="15936"/>
    <cellStyle name="Финансовый 2 2 2 2 4 2 5 2 2" xfId="38251"/>
    <cellStyle name="Финансовый 2 2 2 2 4 2 5 3" xfId="10130"/>
    <cellStyle name="Финансовый 2 2 2 2 4 2 5 4" xfId="32445"/>
    <cellStyle name="Финансовый 2 2 2 2 4 2 6" xfId="1775"/>
    <cellStyle name="Финансовый 2 2 2 2 4 2 6 2" xfId="15996"/>
    <cellStyle name="Финансовый 2 2 2 2 4 2 6 2 2" xfId="38311"/>
    <cellStyle name="Финансовый 2 2 2 2 4 2 6 3" xfId="10190"/>
    <cellStyle name="Финансовый 2 2 2 2 4 2 6 4" xfId="32505"/>
    <cellStyle name="Финансовый 2 2 2 2 4 2 7" xfId="2013"/>
    <cellStyle name="Финансовый 2 2 2 2 4 2 7 2" xfId="16192"/>
    <cellStyle name="Финансовый 2 2 2 2 4 2 7 2 2" xfId="38507"/>
    <cellStyle name="Финансовый 2 2 2 2 4 2 7 3" xfId="10386"/>
    <cellStyle name="Финансовый 2 2 2 2 4 2 7 4" xfId="32701"/>
    <cellStyle name="Финансовый 2 2 2 2 4 2 8" xfId="2248"/>
    <cellStyle name="Финансовый 2 2 2 2 4 2 8 2" xfId="16385"/>
    <cellStyle name="Финансовый 2 2 2 2 4 2 8 2 2" xfId="38700"/>
    <cellStyle name="Финансовый 2 2 2 2 4 2 8 3" xfId="10579"/>
    <cellStyle name="Финансовый 2 2 2 2 4 2 8 4" xfId="32894"/>
    <cellStyle name="Финансовый 2 2 2 2 4 2 9" xfId="2482"/>
    <cellStyle name="Финансовый 2 2 2 2 4 2 9 2" xfId="16577"/>
    <cellStyle name="Финансовый 2 2 2 2 4 2 9 2 2" xfId="38892"/>
    <cellStyle name="Финансовый 2 2 2 2 4 2 9 3" xfId="10771"/>
    <cellStyle name="Финансовый 2 2 2 2 4 2 9 4" xfId="33086"/>
    <cellStyle name="Финансовый 2 2 2 2 4 20" xfId="7973"/>
    <cellStyle name="Финансовый 2 2 2 2 4 20 2" xfId="19926"/>
    <cellStyle name="Финансовый 2 2 2 2 4 20 2 2" xfId="42241"/>
    <cellStyle name="Финансовый 2 2 2 2 4 20 3" xfId="14120"/>
    <cellStyle name="Финансовый 2 2 2 2 4 20 4" xfId="36435"/>
    <cellStyle name="Финансовый 2 2 2 2 4 21" xfId="8246"/>
    <cellStyle name="Финансовый 2 2 2 2 4 21 2" xfId="20084"/>
    <cellStyle name="Финансовый 2 2 2 2 4 21 2 2" xfId="42399"/>
    <cellStyle name="Финансовый 2 2 2 2 4 21 3" xfId="14278"/>
    <cellStyle name="Финансовый 2 2 2 2 4 21 4" xfId="36593"/>
    <cellStyle name="Финансовый 2 2 2 2 4 22" xfId="14575"/>
    <cellStyle name="Финансовый 2 2 2 2 4 22 2" xfId="36890"/>
    <cellStyle name="Финансовый 2 2 2 2 4 23" xfId="8769"/>
    <cellStyle name="Финансовый 2 2 2 2 4 24" xfId="31136"/>
    <cellStyle name="Финансовый 2 2 2 2 4 3" xfId="635"/>
    <cellStyle name="Финансовый 2 2 2 2 4 3 2" xfId="15014"/>
    <cellStyle name="Финансовый 2 2 2 2 4 3 2 2" xfId="37329"/>
    <cellStyle name="Финансовый 2 2 2 2 4 3 3" xfId="9208"/>
    <cellStyle name="Финансовый 2 2 2 2 4 3 4" xfId="31532"/>
    <cellStyle name="Финансовый 2 2 2 2 4 4" xfId="865"/>
    <cellStyle name="Финансовый 2 2 2 2 4 4 2" xfId="15205"/>
    <cellStyle name="Финансовый 2 2 2 2 4 4 2 2" xfId="37520"/>
    <cellStyle name="Финансовый 2 2 2 2 4 4 3" xfId="9399"/>
    <cellStyle name="Финансовый 2 2 2 2 4 4 4" xfId="31721"/>
    <cellStyle name="Финансовый 2 2 2 2 4 5" xfId="982"/>
    <cellStyle name="Финансовый 2 2 2 2 4 5 2" xfId="15295"/>
    <cellStyle name="Финансовый 2 2 2 2 4 5 2 2" xfId="37610"/>
    <cellStyle name="Финансовый 2 2 2 2 4 5 3" xfId="9489"/>
    <cellStyle name="Финансовый 2 2 2 2 4 5 4" xfId="31808"/>
    <cellStyle name="Финансовый 2 2 2 2 4 6" xfId="1081"/>
    <cellStyle name="Финансовый 2 2 2 2 4 6 2" xfId="15394"/>
    <cellStyle name="Финансовый 2 2 2 2 4 6 2 2" xfId="37709"/>
    <cellStyle name="Финансовый 2 2 2 2 4 6 3" xfId="9588"/>
    <cellStyle name="Финансовый 2 2 2 2 4 6 4" xfId="31907"/>
    <cellStyle name="Финансовый 2 2 2 2 4 7" xfId="440"/>
    <cellStyle name="Финансовый 2 2 2 2 4 7 2" xfId="14843"/>
    <cellStyle name="Финансовый 2 2 2 2 4 7 2 2" xfId="37158"/>
    <cellStyle name="Финансовый 2 2 2 2 4 7 3" xfId="9037"/>
    <cellStyle name="Финансовый 2 2 2 2 4 7 4" xfId="31370"/>
    <cellStyle name="Финансовый 2 2 2 2 4 8" xfId="1531"/>
    <cellStyle name="Финансовый 2 2 2 2 4 8 2" xfId="15771"/>
    <cellStyle name="Финансовый 2 2 2 2 4 8 2 2" xfId="38086"/>
    <cellStyle name="Финансовый 2 2 2 2 4 8 3" xfId="9965"/>
    <cellStyle name="Финансовый 2 2 2 2 4 8 4" xfId="32280"/>
    <cellStyle name="Финансовый 2 2 2 2 4 9" xfId="1550"/>
    <cellStyle name="Финансовый 2 2 2 2 4 9 2" xfId="15790"/>
    <cellStyle name="Финансовый 2 2 2 2 4 9 2 2" xfId="38105"/>
    <cellStyle name="Финансовый 2 2 2 2 4 9 3" xfId="9984"/>
    <cellStyle name="Финансовый 2 2 2 2 4 9 4" xfId="32299"/>
    <cellStyle name="Финансовый 2 2 2 2 40" xfId="208"/>
    <cellStyle name="Финансовый 2 2 2 2 40 10" xfId="1766"/>
    <cellStyle name="Финансовый 2 2 2 2 40 10 2" xfId="15987"/>
    <cellStyle name="Финансовый 2 2 2 2 40 10 2 2" xfId="38302"/>
    <cellStyle name="Финансовый 2 2 2 2 40 10 3" xfId="10181"/>
    <cellStyle name="Финансовый 2 2 2 2 40 10 4" xfId="32496"/>
    <cellStyle name="Финансовый 2 2 2 2 40 11" xfId="2004"/>
    <cellStyle name="Финансовый 2 2 2 2 40 11 2" xfId="16183"/>
    <cellStyle name="Финансовый 2 2 2 2 40 11 2 2" xfId="38498"/>
    <cellStyle name="Финансовый 2 2 2 2 40 11 3" xfId="10377"/>
    <cellStyle name="Финансовый 2 2 2 2 40 11 4" xfId="32692"/>
    <cellStyle name="Финансовый 2 2 2 2 40 12" xfId="2240"/>
    <cellStyle name="Финансовый 2 2 2 2 40 12 2" xfId="16377"/>
    <cellStyle name="Финансовый 2 2 2 2 40 12 2 2" xfId="38692"/>
    <cellStyle name="Финансовый 2 2 2 2 40 12 3" xfId="10571"/>
    <cellStyle name="Финансовый 2 2 2 2 40 12 4" xfId="32886"/>
    <cellStyle name="Финансовый 2 2 2 2 40 13" xfId="2474"/>
    <cellStyle name="Финансовый 2 2 2 2 40 13 2" xfId="16569"/>
    <cellStyle name="Финансовый 2 2 2 2 40 13 2 2" xfId="38884"/>
    <cellStyle name="Финансовый 2 2 2 2 40 13 3" xfId="10763"/>
    <cellStyle name="Финансовый 2 2 2 2 40 13 4" xfId="33078"/>
    <cellStyle name="Финансовый 2 2 2 2 40 14" xfId="2703"/>
    <cellStyle name="Финансовый 2 2 2 2 40 14 2" xfId="16757"/>
    <cellStyle name="Финансовый 2 2 2 2 40 14 2 2" xfId="39072"/>
    <cellStyle name="Финансовый 2 2 2 2 40 14 3" xfId="10951"/>
    <cellStyle name="Финансовый 2 2 2 2 40 14 4" xfId="33266"/>
    <cellStyle name="Финансовый 2 2 2 2 40 15" xfId="2923"/>
    <cellStyle name="Финансовый 2 2 2 2 40 15 2" xfId="16937"/>
    <cellStyle name="Финансовый 2 2 2 2 40 15 2 2" xfId="39252"/>
    <cellStyle name="Финансовый 2 2 2 2 40 15 3" xfId="11131"/>
    <cellStyle name="Финансовый 2 2 2 2 40 15 4" xfId="33446"/>
    <cellStyle name="Финансовый 2 2 2 2 40 16" xfId="3134"/>
    <cellStyle name="Финансовый 2 2 2 2 40 16 2" xfId="17109"/>
    <cellStyle name="Финансовый 2 2 2 2 40 16 2 2" xfId="39424"/>
    <cellStyle name="Финансовый 2 2 2 2 40 16 3" xfId="11303"/>
    <cellStyle name="Финансовый 2 2 2 2 40 16 4" xfId="33618"/>
    <cellStyle name="Финансовый 2 2 2 2 40 17" xfId="3329"/>
    <cellStyle name="Финансовый 2 2 2 2 40 17 2" xfId="17265"/>
    <cellStyle name="Финансовый 2 2 2 2 40 17 2 2" xfId="39580"/>
    <cellStyle name="Финансовый 2 2 2 2 40 17 3" xfId="11459"/>
    <cellStyle name="Финансовый 2 2 2 2 40 17 4" xfId="33774"/>
    <cellStyle name="Финансовый 2 2 2 2 40 18" xfId="3513"/>
    <cellStyle name="Финансовый 2 2 2 2 40 18 2" xfId="17410"/>
    <cellStyle name="Финансовый 2 2 2 2 40 18 2 2" xfId="39725"/>
    <cellStyle name="Финансовый 2 2 2 2 40 18 3" xfId="11604"/>
    <cellStyle name="Финансовый 2 2 2 2 40 18 4" xfId="33919"/>
    <cellStyle name="Финансовый 2 2 2 2 40 19" xfId="3679"/>
    <cellStyle name="Финансовый 2 2 2 2 40 19 2" xfId="17538"/>
    <cellStyle name="Финансовый 2 2 2 2 40 19 2 2" xfId="39853"/>
    <cellStyle name="Финансовый 2 2 2 2 40 19 3" xfId="11732"/>
    <cellStyle name="Финансовый 2 2 2 2 40 19 4" xfId="34047"/>
    <cellStyle name="Финансовый 2 2 2 2 40 2" xfId="549"/>
    <cellStyle name="Финансовый 2 2 2 2 40 2 10" xfId="2079"/>
    <cellStyle name="Финансовый 2 2 2 2 40 2 11" xfId="2314"/>
    <cellStyle name="Финансовый 2 2 2 2 40 2 12" xfId="2546"/>
    <cellStyle name="Финансовый 2 2 2 2 40 2 13" xfId="2771"/>
    <cellStyle name="Финансовый 2 2 2 2 40 2 14" xfId="2988"/>
    <cellStyle name="Финансовый 2 2 2 2 40 2 15" xfId="3194"/>
    <cellStyle name="Финансовый 2 2 2 2 40 2 16" xfId="3382"/>
    <cellStyle name="Финансовый 2 2 2 2 40 2 17" xfId="3561"/>
    <cellStyle name="Финансовый 2 2 2 2 40 2 18" xfId="3721"/>
    <cellStyle name="Финансовый 2 2 2 2 40 2 19" xfId="6917"/>
    <cellStyle name="Финансовый 2 2 2 2 40 2 2" xfId="766"/>
    <cellStyle name="Финансовый 2 2 2 2 40 2 2 10" xfId="2894"/>
    <cellStyle name="Финансовый 2 2 2 2 40 2 2 10 2" xfId="16911"/>
    <cellStyle name="Финансовый 2 2 2 2 40 2 2 10 2 2" xfId="39226"/>
    <cellStyle name="Финансовый 2 2 2 2 40 2 2 10 3" xfId="11105"/>
    <cellStyle name="Финансовый 2 2 2 2 40 2 2 10 4" xfId="33420"/>
    <cellStyle name="Финансовый 2 2 2 2 40 2 2 11" xfId="3107"/>
    <cellStyle name="Финансовый 2 2 2 2 40 2 2 11 2" xfId="17084"/>
    <cellStyle name="Финансовый 2 2 2 2 40 2 2 11 2 2" xfId="39399"/>
    <cellStyle name="Финансовый 2 2 2 2 40 2 2 11 3" xfId="11278"/>
    <cellStyle name="Финансовый 2 2 2 2 40 2 2 11 4" xfId="33593"/>
    <cellStyle name="Финансовый 2 2 2 2 40 2 2 12" xfId="3306"/>
    <cellStyle name="Финансовый 2 2 2 2 40 2 2 12 2" xfId="17244"/>
    <cellStyle name="Финансовый 2 2 2 2 40 2 2 12 2 2" xfId="39559"/>
    <cellStyle name="Финансовый 2 2 2 2 40 2 2 12 3" xfId="11438"/>
    <cellStyle name="Финансовый 2 2 2 2 40 2 2 12 4" xfId="33753"/>
    <cellStyle name="Финансовый 2 2 2 2 40 2 2 13" xfId="3493"/>
    <cellStyle name="Финансовый 2 2 2 2 40 2 2 13 2" xfId="17392"/>
    <cellStyle name="Финансовый 2 2 2 2 40 2 2 13 2 2" xfId="39707"/>
    <cellStyle name="Финансовый 2 2 2 2 40 2 2 13 3" xfId="11586"/>
    <cellStyle name="Финансовый 2 2 2 2 40 2 2 13 4" xfId="33901"/>
    <cellStyle name="Финансовый 2 2 2 2 40 2 2 14" xfId="3664"/>
    <cellStyle name="Финансовый 2 2 2 2 40 2 2 14 2" xfId="17525"/>
    <cellStyle name="Финансовый 2 2 2 2 40 2 2 14 2 2" xfId="39840"/>
    <cellStyle name="Финансовый 2 2 2 2 40 2 2 14 3" xfId="11719"/>
    <cellStyle name="Финансовый 2 2 2 2 40 2 2 14 4" xfId="34034"/>
    <cellStyle name="Финансовый 2 2 2 2 40 2 2 15" xfId="8230"/>
    <cellStyle name="Финансовый 2 2 2 2 40 2 2 15 2" xfId="20072"/>
    <cellStyle name="Финансовый 2 2 2 2 40 2 2 15 2 2" xfId="42387"/>
    <cellStyle name="Финансовый 2 2 2 2 40 2 2 15 3" xfId="14266"/>
    <cellStyle name="Финансовый 2 2 2 2 40 2 2 15 4" xfId="36581"/>
    <cellStyle name="Финансовый 2 2 2 2 40 2 2 16" xfId="4182"/>
    <cellStyle name="Финансовый 2 2 2 2 40 2 2 16 2" xfId="17856"/>
    <cellStyle name="Финансовый 2 2 2 2 40 2 2 16 2 2" xfId="40171"/>
    <cellStyle name="Финансовый 2 2 2 2 40 2 2 16 3" xfId="12050"/>
    <cellStyle name="Финансовый 2 2 2 2 40 2 2 16 4" xfId="34365"/>
    <cellStyle name="Финансовый 2 2 2 2 40 2 2 17" xfId="6960"/>
    <cellStyle name="Финансовый 2 2 2 2 40 2 2 17 2" xfId="19367"/>
    <cellStyle name="Финансовый 2 2 2 2 40 2 2 17 2 2" xfId="41682"/>
    <cellStyle name="Финансовый 2 2 2 2 40 2 2 17 3" xfId="13561"/>
    <cellStyle name="Финансовый 2 2 2 2 40 2 2 17 4" xfId="35876"/>
    <cellStyle name="Финансовый 2 2 2 2 40 2 2 2" xfId="771"/>
    <cellStyle name="Финансовый 2 2 2 2 40 2 2 2 2" xfId="15145"/>
    <cellStyle name="Финансовый 2 2 2 2 40 2 2 2 2 2" xfId="37460"/>
    <cellStyle name="Финансовый 2 2 2 2 40 2 2 2 3" xfId="9339"/>
    <cellStyle name="Финансовый 2 2 2 2 40 2 2 2 4" xfId="31662"/>
    <cellStyle name="Финансовый 2 2 2 2 40 2 2 3" xfId="1520"/>
    <cellStyle name="Финансовый 2 2 2 2 40 2 2 3 2" xfId="15760"/>
    <cellStyle name="Финансовый 2 2 2 2 40 2 2 3 2 2" xfId="38075"/>
    <cellStyle name="Финансовый 2 2 2 2 40 2 2 3 3" xfId="9954"/>
    <cellStyle name="Финансовый 2 2 2 2 40 2 2 3 4" xfId="32269"/>
    <cellStyle name="Финансовый 2 2 2 2 40 2 2 4" xfId="1708"/>
    <cellStyle name="Финансовый 2 2 2 2 40 2 2 4 2" xfId="15934"/>
    <cellStyle name="Финансовый 2 2 2 2 40 2 2 4 2 2" xfId="38249"/>
    <cellStyle name="Финансовый 2 2 2 2 40 2 2 4 3" xfId="10128"/>
    <cellStyle name="Финансовый 2 2 2 2 40 2 2 4 4" xfId="32443"/>
    <cellStyle name="Финансовый 2 2 2 2 40 2 2 5" xfId="1731"/>
    <cellStyle name="Финансовый 2 2 2 2 40 2 2 5 2" xfId="15956"/>
    <cellStyle name="Финансовый 2 2 2 2 40 2 2 5 2 2" xfId="38271"/>
    <cellStyle name="Финансовый 2 2 2 2 40 2 2 5 3" xfId="10150"/>
    <cellStyle name="Финансовый 2 2 2 2 40 2 2 5 4" xfId="32465"/>
    <cellStyle name="Финансовый 2 2 2 2 40 2 2 6" xfId="1969"/>
    <cellStyle name="Финансовый 2 2 2 2 40 2 2 6 2" xfId="16152"/>
    <cellStyle name="Финансовый 2 2 2 2 40 2 2 6 2 2" xfId="38467"/>
    <cellStyle name="Финансовый 2 2 2 2 40 2 2 6 3" xfId="10346"/>
    <cellStyle name="Финансовый 2 2 2 2 40 2 2 6 4" xfId="32661"/>
    <cellStyle name="Финансовый 2 2 2 2 40 2 2 7" xfId="2206"/>
    <cellStyle name="Финансовый 2 2 2 2 40 2 2 7 2" xfId="16347"/>
    <cellStyle name="Финансовый 2 2 2 2 40 2 2 7 2 2" xfId="38662"/>
    <cellStyle name="Финансовый 2 2 2 2 40 2 2 7 3" xfId="10541"/>
    <cellStyle name="Финансовый 2 2 2 2 40 2 2 7 4" xfId="32856"/>
    <cellStyle name="Финансовый 2 2 2 2 40 2 2 8" xfId="2441"/>
    <cellStyle name="Финансовый 2 2 2 2 40 2 2 8 2" xfId="16540"/>
    <cellStyle name="Финансовый 2 2 2 2 40 2 2 8 2 2" xfId="38855"/>
    <cellStyle name="Финансовый 2 2 2 2 40 2 2 8 3" xfId="10734"/>
    <cellStyle name="Финансовый 2 2 2 2 40 2 2 8 4" xfId="33049"/>
    <cellStyle name="Финансовый 2 2 2 2 40 2 2 9" xfId="2673"/>
    <cellStyle name="Финансовый 2 2 2 2 40 2 2 9 2" xfId="16730"/>
    <cellStyle name="Финансовый 2 2 2 2 40 2 2 9 2 2" xfId="39045"/>
    <cellStyle name="Финансовый 2 2 2 2 40 2 2 9 3" xfId="10924"/>
    <cellStyle name="Финансовый 2 2 2 2 40 2 2 9 4" xfId="33239"/>
    <cellStyle name="Финансовый 2 2 2 2 40 2 20" xfId="239"/>
    <cellStyle name="Финансовый 2 2 2 2 40 2 21" xfId="4487"/>
    <cellStyle name="Финансовый 2 2 2 2 40 2 22" xfId="14950"/>
    <cellStyle name="Финансовый 2 2 2 2 40 2 22 2" xfId="37265"/>
    <cellStyle name="Финансовый 2 2 2 2 40 2 23" xfId="9144"/>
    <cellStyle name="Финансовый 2 2 2 2 40 2 24" xfId="31477"/>
    <cellStyle name="Финансовый 2 2 2 2 40 2 3" xfId="886"/>
    <cellStyle name="Финансовый 2 2 2 2 40 2 3 2" xfId="15222"/>
    <cellStyle name="Финансовый 2 2 2 2 40 2 3 2 2" xfId="37537"/>
    <cellStyle name="Финансовый 2 2 2 2 40 2 3 3" xfId="9416"/>
    <cellStyle name="Финансовый 2 2 2 2 40 2 3 4" xfId="31738"/>
    <cellStyle name="Финансовый 2 2 2 2 40 2 4" xfId="944"/>
    <cellStyle name="Финансовый 2 2 2 2 40 2 4 2" xfId="15268"/>
    <cellStyle name="Финансовый 2 2 2 2 40 2 4 2 2" xfId="37583"/>
    <cellStyle name="Финансовый 2 2 2 2 40 2 4 3" xfId="9462"/>
    <cellStyle name="Финансовый 2 2 2 2 40 2 4 4" xfId="31782"/>
    <cellStyle name="Финансовый 2 2 2 2 40 2 5" xfId="1102"/>
    <cellStyle name="Финансовый 2 2 2 2 40 2 5 2" xfId="15411"/>
    <cellStyle name="Финансовый 2 2 2 2 40 2 5 2 2" xfId="37726"/>
    <cellStyle name="Финансовый 2 2 2 2 40 2 5 3" xfId="9605"/>
    <cellStyle name="Финансовый 2 2 2 2 40 2 5 4" xfId="31924"/>
    <cellStyle name="Финансовый 2 2 2 2 40 2 6" xfId="1160"/>
    <cellStyle name="Финансовый 2 2 2 2 40 2 6 2" xfId="15457"/>
    <cellStyle name="Финансовый 2 2 2 2 40 2 6 2 2" xfId="37772"/>
    <cellStyle name="Финансовый 2 2 2 2 40 2 6 3" xfId="9651"/>
    <cellStyle name="Финансовый 2 2 2 2 40 2 6 4" xfId="31968"/>
    <cellStyle name="Финансовый 2 2 2 2 40 2 7" xfId="1516"/>
    <cellStyle name="Финансовый 2 2 2 2 40 2 8" xfId="519"/>
    <cellStyle name="Финансовый 2 2 2 2 40 2 9" xfId="1841"/>
    <cellStyle name="Финансовый 2 2 2 2 40 20" xfId="3825"/>
    <cellStyle name="Финансовый 2 2 2 2 40 20 2" xfId="17647"/>
    <cellStyle name="Финансовый 2 2 2 2 40 20 2 2" xfId="39962"/>
    <cellStyle name="Финансовый 2 2 2 2 40 20 3" xfId="11841"/>
    <cellStyle name="Финансовый 2 2 2 2 40 20 4" xfId="34156"/>
    <cellStyle name="Финансовый 2 2 2 2 40 21" xfId="8448"/>
    <cellStyle name="Финансовый 2 2 2 2 40 21 2" xfId="20201"/>
    <cellStyle name="Финансовый 2 2 2 2 40 21 2 2" xfId="42516"/>
    <cellStyle name="Финансовый 2 2 2 2 40 21 3" xfId="14395"/>
    <cellStyle name="Финансовый 2 2 2 2 40 21 4" xfId="36710"/>
    <cellStyle name="Финансовый 2 2 2 2 40 22" xfId="6103"/>
    <cellStyle name="Финансовый 2 2 2 2 40 22 2" xfId="18903"/>
    <cellStyle name="Финансовый 2 2 2 2 40 22 2 2" xfId="41218"/>
    <cellStyle name="Финансовый 2 2 2 2 40 22 3" xfId="13097"/>
    <cellStyle name="Финансовый 2 2 2 2 40 22 4" xfId="35412"/>
    <cellStyle name="Финансовый 2 2 2 2 40 23" xfId="7794"/>
    <cellStyle name="Финансовый 2 2 2 2 40 23 2" xfId="19823"/>
    <cellStyle name="Финансовый 2 2 2 2 40 23 2 2" xfId="42138"/>
    <cellStyle name="Финансовый 2 2 2 2 40 23 3" xfId="14017"/>
    <cellStyle name="Финансовый 2 2 2 2 40 23 4" xfId="36332"/>
    <cellStyle name="Финансовый 2 2 2 2 40 24" xfId="14678"/>
    <cellStyle name="Финансовый 2 2 2 2 40 24 2" xfId="36993"/>
    <cellStyle name="Финансовый 2 2 2 2 40 25" xfId="8872"/>
    <cellStyle name="Финансовый 2 2 2 2 40 26" xfId="31208"/>
    <cellStyle name="Финансовый 2 2 2 2 40 3" xfId="812"/>
    <cellStyle name="Финансовый 2 2 2 2 40 3 2" xfId="15158"/>
    <cellStyle name="Финансовый 2 2 2 2 40 3 2 2" xfId="37473"/>
    <cellStyle name="Финансовый 2 2 2 2 40 3 3" xfId="9352"/>
    <cellStyle name="Финансовый 2 2 2 2 40 3 4" xfId="31674"/>
    <cellStyle name="Финансовый 2 2 2 2 40 4" xfId="823"/>
    <cellStyle name="Финансовый 2 2 2 2 40 4 2" xfId="15165"/>
    <cellStyle name="Финансовый 2 2 2 2 40 4 2 2" xfId="37480"/>
    <cellStyle name="Финансовый 2 2 2 2 40 4 3" xfId="9359"/>
    <cellStyle name="Финансовый 2 2 2 2 40 4 4" xfId="31681"/>
    <cellStyle name="Финансовый 2 2 2 2 40 5" xfId="881"/>
    <cellStyle name="Финансовый 2 2 2 2 40 6" xfId="939"/>
    <cellStyle name="Финансовый 2 2 2 2 40 7" xfId="1097"/>
    <cellStyle name="Финансовый 2 2 2 2 40 8" xfId="1155"/>
    <cellStyle name="Финансовый 2 2 2 2 40 9" xfId="1308"/>
    <cellStyle name="Финансовый 2 2 2 2 40 9 2" xfId="15565"/>
    <cellStyle name="Финансовый 2 2 2 2 40 9 2 2" xfId="37880"/>
    <cellStyle name="Финансовый 2 2 2 2 40 9 3" xfId="9759"/>
    <cellStyle name="Финансовый 2 2 2 2 40 9 4" xfId="32074"/>
    <cellStyle name="Финансовый 2 2 2 2 41" xfId="558"/>
    <cellStyle name="Финансовый 2 2 2 2 42" xfId="569"/>
    <cellStyle name="Финансовый 2 2 2 2 43" xfId="564"/>
    <cellStyle name="Финансовый 2 2 2 2 44" xfId="582"/>
    <cellStyle name="Финансовый 2 2 2 2 44 2" xfId="14973"/>
    <cellStyle name="Финансовый 2 2 2 2 44 2 2" xfId="37288"/>
    <cellStyle name="Финансовый 2 2 2 2 44 3" xfId="9167"/>
    <cellStyle name="Финансовый 2 2 2 2 44 4" xfId="31495"/>
    <cellStyle name="Финансовый 2 2 2 2 45" xfId="584"/>
    <cellStyle name="Финансовый 2 2 2 2 45 2" xfId="14974"/>
    <cellStyle name="Финансовый 2 2 2 2 45 2 2" xfId="37289"/>
    <cellStyle name="Финансовый 2 2 2 2 45 3" xfId="9168"/>
    <cellStyle name="Финансовый 2 2 2 2 45 4" xfId="31496"/>
    <cellStyle name="Финансовый 2 2 2 2 46" xfId="609"/>
    <cellStyle name="Финансовый 2 2 2 2 46 2" xfId="14990"/>
    <cellStyle name="Финансовый 2 2 2 2 46 2 2" xfId="37305"/>
    <cellStyle name="Финансовый 2 2 2 2 46 3" xfId="9184"/>
    <cellStyle name="Финансовый 2 2 2 2 46 4" xfId="31509"/>
    <cellStyle name="Финансовый 2 2 2 2 47" xfId="731"/>
    <cellStyle name="Финансовый 2 2 2 2 47 2" xfId="15109"/>
    <cellStyle name="Финансовый 2 2 2 2 47 2 2" xfId="37424"/>
    <cellStyle name="Финансовый 2 2 2 2 47 3" xfId="9303"/>
    <cellStyle name="Финансовый 2 2 2 2 47 4" xfId="31626"/>
    <cellStyle name="Финансовый 2 2 2 2 48" xfId="902"/>
    <cellStyle name="Финансовый 2 2 2 2 48 2" xfId="15232"/>
    <cellStyle name="Финансовый 2 2 2 2 48 2 2" xfId="37547"/>
    <cellStyle name="Финансовый 2 2 2 2 48 3" xfId="9426"/>
    <cellStyle name="Финансовый 2 2 2 2 48 4" xfId="31746"/>
    <cellStyle name="Финансовый 2 2 2 2 49" xfId="968"/>
    <cellStyle name="Финансовый 2 2 2 2 49 2" xfId="15283"/>
    <cellStyle name="Финансовый 2 2 2 2 49 2 2" xfId="37598"/>
    <cellStyle name="Финансовый 2 2 2 2 49 3" xfId="9477"/>
    <cellStyle name="Финансовый 2 2 2 2 49 4" xfId="31797"/>
    <cellStyle name="Финансовый 2 2 2 2 5" xfId="38"/>
    <cellStyle name="Финансовый 2 2 2 2 5 10" xfId="2317"/>
    <cellStyle name="Финансовый 2 2 2 2 5 10 2" xfId="16449"/>
    <cellStyle name="Финансовый 2 2 2 2 5 10 2 2" xfId="38764"/>
    <cellStyle name="Финансовый 2 2 2 2 5 10 3" xfId="10643"/>
    <cellStyle name="Финансовый 2 2 2 2 5 10 4" xfId="32958"/>
    <cellStyle name="Финансовый 2 2 2 2 5 11" xfId="2549"/>
    <cellStyle name="Финансовый 2 2 2 2 5 11 2" xfId="16639"/>
    <cellStyle name="Финансовый 2 2 2 2 5 11 2 2" xfId="38954"/>
    <cellStyle name="Финансовый 2 2 2 2 5 11 3" xfId="10833"/>
    <cellStyle name="Финансовый 2 2 2 2 5 11 4" xfId="33148"/>
    <cellStyle name="Финансовый 2 2 2 2 5 12" xfId="2774"/>
    <cellStyle name="Финансовый 2 2 2 2 5 12 2" xfId="16823"/>
    <cellStyle name="Финансовый 2 2 2 2 5 12 2 2" xfId="39138"/>
    <cellStyle name="Финансовый 2 2 2 2 5 12 3" xfId="11017"/>
    <cellStyle name="Финансовый 2 2 2 2 5 12 4" xfId="33332"/>
    <cellStyle name="Финансовый 2 2 2 2 5 13" xfId="2991"/>
    <cellStyle name="Финансовый 2 2 2 2 5 13 2" xfId="17000"/>
    <cellStyle name="Финансовый 2 2 2 2 5 13 2 2" xfId="39315"/>
    <cellStyle name="Финансовый 2 2 2 2 5 13 3" xfId="11194"/>
    <cellStyle name="Финансовый 2 2 2 2 5 13 4" xfId="33509"/>
    <cellStyle name="Финансовый 2 2 2 2 5 14" xfId="3197"/>
    <cellStyle name="Финансовый 2 2 2 2 5 14 2" xfId="17167"/>
    <cellStyle name="Финансовый 2 2 2 2 5 14 2 2" xfId="39482"/>
    <cellStyle name="Финансовый 2 2 2 2 5 14 3" xfId="11361"/>
    <cellStyle name="Финансовый 2 2 2 2 5 14 4" xfId="33676"/>
    <cellStyle name="Финансовый 2 2 2 2 5 15" xfId="3385"/>
    <cellStyle name="Финансовый 2 2 2 2 5 15 2" xfId="17316"/>
    <cellStyle name="Финансовый 2 2 2 2 5 15 2 2" xfId="39631"/>
    <cellStyle name="Финансовый 2 2 2 2 5 15 3" xfId="11510"/>
    <cellStyle name="Финансовый 2 2 2 2 5 15 4" xfId="33825"/>
    <cellStyle name="Финансовый 2 2 2 2 5 16" xfId="3563"/>
    <cellStyle name="Финансовый 2 2 2 2 5 16 2" xfId="17456"/>
    <cellStyle name="Финансовый 2 2 2 2 5 16 2 2" xfId="39771"/>
    <cellStyle name="Финансовый 2 2 2 2 5 16 3" xfId="11650"/>
    <cellStyle name="Финансовый 2 2 2 2 5 16 4" xfId="33965"/>
    <cellStyle name="Финансовый 2 2 2 2 5 17" xfId="3723"/>
    <cellStyle name="Финансовый 2 2 2 2 5 17 2" xfId="17578"/>
    <cellStyle name="Финансовый 2 2 2 2 5 17 2 2" xfId="39893"/>
    <cellStyle name="Финансовый 2 2 2 2 5 17 3" xfId="11772"/>
    <cellStyle name="Финансовый 2 2 2 2 5 17 4" xfId="34087"/>
    <cellStyle name="Финансовый 2 2 2 2 5 18" xfId="3855"/>
    <cellStyle name="Финансовый 2 2 2 2 5 18 2" xfId="17677"/>
    <cellStyle name="Финансовый 2 2 2 2 5 18 2 2" xfId="39992"/>
    <cellStyle name="Финансовый 2 2 2 2 5 18 3" xfId="11871"/>
    <cellStyle name="Финансовый 2 2 2 2 5 18 4" xfId="34186"/>
    <cellStyle name="Финансовый 2 2 2 2 5 19" xfId="4302"/>
    <cellStyle name="Финансовый 2 2 2 2 5 19 2" xfId="17927"/>
    <cellStyle name="Финансовый 2 2 2 2 5 19 2 2" xfId="40242"/>
    <cellStyle name="Финансовый 2 2 2 2 5 19 3" xfId="12121"/>
    <cellStyle name="Финансовый 2 2 2 2 5 19 4" xfId="34436"/>
    <cellStyle name="Финансовый 2 2 2 2 5 2" xfId="383"/>
    <cellStyle name="Финансовый 2 2 2 2 5 2 10" xfId="2713"/>
    <cellStyle name="Финансовый 2 2 2 2 5 2 10 2" xfId="16767"/>
    <cellStyle name="Финансовый 2 2 2 2 5 2 10 2 2" xfId="39082"/>
    <cellStyle name="Финансовый 2 2 2 2 5 2 10 3" xfId="10961"/>
    <cellStyle name="Финансовый 2 2 2 2 5 2 10 4" xfId="33276"/>
    <cellStyle name="Финансовый 2 2 2 2 5 2 11" xfId="2933"/>
    <cellStyle name="Финансовый 2 2 2 2 5 2 11 2" xfId="16947"/>
    <cellStyle name="Финансовый 2 2 2 2 5 2 11 2 2" xfId="39262"/>
    <cellStyle name="Финансовый 2 2 2 2 5 2 11 3" xfId="11141"/>
    <cellStyle name="Финансовый 2 2 2 2 5 2 11 4" xfId="33456"/>
    <cellStyle name="Финансовый 2 2 2 2 5 2 12" xfId="3144"/>
    <cellStyle name="Финансовый 2 2 2 2 5 2 12 2" xfId="17119"/>
    <cellStyle name="Финансовый 2 2 2 2 5 2 12 2 2" xfId="39434"/>
    <cellStyle name="Финансовый 2 2 2 2 5 2 12 3" xfId="11313"/>
    <cellStyle name="Финансовый 2 2 2 2 5 2 12 4" xfId="33628"/>
    <cellStyle name="Финансовый 2 2 2 2 5 2 13" xfId="3337"/>
    <cellStyle name="Финансовый 2 2 2 2 5 2 13 2" xfId="17273"/>
    <cellStyle name="Финансовый 2 2 2 2 5 2 13 2 2" xfId="39588"/>
    <cellStyle name="Финансовый 2 2 2 2 5 2 13 3" xfId="11467"/>
    <cellStyle name="Финансовый 2 2 2 2 5 2 13 4" xfId="33782"/>
    <cellStyle name="Финансовый 2 2 2 2 5 2 14" xfId="3521"/>
    <cellStyle name="Финансовый 2 2 2 2 5 2 14 2" xfId="17418"/>
    <cellStyle name="Финансовый 2 2 2 2 5 2 14 2 2" xfId="39733"/>
    <cellStyle name="Финансовый 2 2 2 2 5 2 14 3" xfId="11612"/>
    <cellStyle name="Финансовый 2 2 2 2 5 2 14 4" xfId="33927"/>
    <cellStyle name="Финансовый 2 2 2 2 5 2 15" xfId="4943"/>
    <cellStyle name="Финансовый 2 2 2 2 5 2 15 2" xfId="18273"/>
    <cellStyle name="Финансовый 2 2 2 2 5 2 15 2 2" xfId="40588"/>
    <cellStyle name="Финансовый 2 2 2 2 5 2 15 3" xfId="12467"/>
    <cellStyle name="Финансовый 2 2 2 2 5 2 15 4" xfId="34782"/>
    <cellStyle name="Финансовый 2 2 2 2 5 2 16" xfId="6777"/>
    <cellStyle name="Финансовый 2 2 2 2 5 2 16 2" xfId="19267"/>
    <cellStyle name="Финансовый 2 2 2 2 5 2 16 2 2" xfId="41582"/>
    <cellStyle name="Финансовый 2 2 2 2 5 2 16 3" xfId="13461"/>
    <cellStyle name="Финансовый 2 2 2 2 5 2 16 4" xfId="35776"/>
    <cellStyle name="Финансовый 2 2 2 2 5 2 17" xfId="5856"/>
    <cellStyle name="Финансовый 2 2 2 2 5 2 17 2" xfId="18775"/>
    <cellStyle name="Финансовый 2 2 2 2 5 2 17 2 2" xfId="41090"/>
    <cellStyle name="Финансовый 2 2 2 2 5 2 17 3" xfId="12969"/>
    <cellStyle name="Финансовый 2 2 2 2 5 2 17 4" xfId="35284"/>
    <cellStyle name="Финансовый 2 2 2 2 5 2 18" xfId="14786"/>
    <cellStyle name="Финансовый 2 2 2 2 5 2 18 2" xfId="37101"/>
    <cellStyle name="Финансовый 2 2 2 2 5 2 19" xfId="8980"/>
    <cellStyle name="Финансовый 2 2 2 2 5 2 2" xfId="630"/>
    <cellStyle name="Финансовый 2 2 2 2 5 2 2 2" xfId="15009"/>
    <cellStyle name="Финансовый 2 2 2 2 5 2 2 2 2" xfId="37324"/>
    <cellStyle name="Финансовый 2 2 2 2 5 2 2 3" xfId="9203"/>
    <cellStyle name="Финансовый 2 2 2 2 5 2 2 4" xfId="31527"/>
    <cellStyle name="Финансовый 2 2 2 2 5 2 20" xfId="31313"/>
    <cellStyle name="Финансовый 2 2 2 2 5 2 3" xfId="1388"/>
    <cellStyle name="Финансовый 2 2 2 2 5 2 3 2" xfId="15635"/>
    <cellStyle name="Финансовый 2 2 2 2 5 2 3 2 2" xfId="37950"/>
    <cellStyle name="Финансовый 2 2 2 2 5 2 3 3" xfId="9829"/>
    <cellStyle name="Финансовый 2 2 2 2 5 2 3 4" xfId="32144"/>
    <cellStyle name="Финансовый 2 2 2 2 5 2 4" xfId="819"/>
    <cellStyle name="Финансовый 2 2 2 2 5 2 4 2" xfId="15163"/>
    <cellStyle name="Финансовый 2 2 2 2 5 2 4 2 2" xfId="37478"/>
    <cellStyle name="Финансовый 2 2 2 2 5 2 4 3" xfId="9357"/>
    <cellStyle name="Финансовый 2 2 2 2 5 2 4 4" xfId="31679"/>
    <cellStyle name="Финансовый 2 2 2 2 5 2 5" xfId="1312"/>
    <cellStyle name="Финансовый 2 2 2 2 5 2 5 2" xfId="15568"/>
    <cellStyle name="Финансовый 2 2 2 2 5 2 5 2 2" xfId="37883"/>
    <cellStyle name="Финансовый 2 2 2 2 5 2 5 3" xfId="9762"/>
    <cellStyle name="Финансовый 2 2 2 2 5 2 5 4" xfId="32077"/>
    <cellStyle name="Финансовый 2 2 2 2 5 2 6" xfId="1777"/>
    <cellStyle name="Финансовый 2 2 2 2 5 2 6 2" xfId="15998"/>
    <cellStyle name="Финансовый 2 2 2 2 5 2 6 2 2" xfId="38313"/>
    <cellStyle name="Финансовый 2 2 2 2 5 2 6 3" xfId="10192"/>
    <cellStyle name="Финансовый 2 2 2 2 5 2 6 4" xfId="32507"/>
    <cellStyle name="Финансовый 2 2 2 2 5 2 7" xfId="2015"/>
    <cellStyle name="Финансовый 2 2 2 2 5 2 7 2" xfId="16194"/>
    <cellStyle name="Финансовый 2 2 2 2 5 2 7 2 2" xfId="38509"/>
    <cellStyle name="Финансовый 2 2 2 2 5 2 7 3" xfId="10388"/>
    <cellStyle name="Финансовый 2 2 2 2 5 2 7 4" xfId="32703"/>
    <cellStyle name="Финансовый 2 2 2 2 5 2 8" xfId="2250"/>
    <cellStyle name="Финансовый 2 2 2 2 5 2 8 2" xfId="16387"/>
    <cellStyle name="Финансовый 2 2 2 2 5 2 8 2 2" xfId="38702"/>
    <cellStyle name="Финансовый 2 2 2 2 5 2 8 3" xfId="10581"/>
    <cellStyle name="Финансовый 2 2 2 2 5 2 8 4" xfId="32896"/>
    <cellStyle name="Финансовый 2 2 2 2 5 2 9" xfId="2484"/>
    <cellStyle name="Финансовый 2 2 2 2 5 2 9 2" xfId="16579"/>
    <cellStyle name="Финансовый 2 2 2 2 5 2 9 2 2" xfId="38894"/>
    <cellStyle name="Финансовый 2 2 2 2 5 2 9 3" xfId="10773"/>
    <cellStyle name="Финансовый 2 2 2 2 5 2 9 4" xfId="33088"/>
    <cellStyle name="Финансовый 2 2 2 2 5 20" xfId="8204"/>
    <cellStyle name="Финансовый 2 2 2 2 5 20 2" xfId="20056"/>
    <cellStyle name="Финансовый 2 2 2 2 5 20 2 2" xfId="42371"/>
    <cellStyle name="Финансовый 2 2 2 2 5 20 3" xfId="14250"/>
    <cellStyle name="Финансовый 2 2 2 2 5 20 4" xfId="36565"/>
    <cellStyle name="Финансовый 2 2 2 2 5 21" xfId="4766"/>
    <cellStyle name="Финансовый 2 2 2 2 5 21 2" xfId="18188"/>
    <cellStyle name="Финансовый 2 2 2 2 5 21 2 2" xfId="40503"/>
    <cellStyle name="Финансовый 2 2 2 2 5 21 3" xfId="12382"/>
    <cellStyle name="Финансовый 2 2 2 2 5 21 4" xfId="34697"/>
    <cellStyle name="Финансовый 2 2 2 2 5 22" xfId="14578"/>
    <cellStyle name="Финансовый 2 2 2 2 5 22 2" xfId="36893"/>
    <cellStyle name="Финансовый 2 2 2 2 5 23" xfId="8772"/>
    <cellStyle name="Финансовый 2 2 2 2 5 24" xfId="31138"/>
    <cellStyle name="Финансовый 2 2 2 2 5 3" xfId="756"/>
    <cellStyle name="Финансовый 2 2 2 2 5 3 2" xfId="15134"/>
    <cellStyle name="Финансовый 2 2 2 2 5 3 2 2" xfId="37449"/>
    <cellStyle name="Финансовый 2 2 2 2 5 3 3" xfId="9328"/>
    <cellStyle name="Финансовый 2 2 2 2 5 3 4" xfId="31651"/>
    <cellStyle name="Финансовый 2 2 2 2 5 4" xfId="854"/>
    <cellStyle name="Финансовый 2 2 2 2 5 4 2" xfId="15194"/>
    <cellStyle name="Финансовый 2 2 2 2 5 4 2 2" xfId="37509"/>
    <cellStyle name="Финансовый 2 2 2 2 5 4 3" xfId="9388"/>
    <cellStyle name="Финансовый 2 2 2 2 5 4 4" xfId="31710"/>
    <cellStyle name="Финансовый 2 2 2 2 5 5" xfId="986"/>
    <cellStyle name="Финансовый 2 2 2 2 5 5 2" xfId="15299"/>
    <cellStyle name="Финансовый 2 2 2 2 5 5 2 2" xfId="37614"/>
    <cellStyle name="Финансовый 2 2 2 2 5 5 3" xfId="9493"/>
    <cellStyle name="Финансовый 2 2 2 2 5 5 4" xfId="31812"/>
    <cellStyle name="Финансовый 2 2 2 2 5 6" xfId="1070"/>
    <cellStyle name="Финансовый 2 2 2 2 5 6 2" xfId="15383"/>
    <cellStyle name="Финансовый 2 2 2 2 5 6 2 2" xfId="37698"/>
    <cellStyle name="Финансовый 2 2 2 2 5 6 3" xfId="9577"/>
    <cellStyle name="Финансовый 2 2 2 2 5 6 4" xfId="31896"/>
    <cellStyle name="Финансовый 2 2 2 2 5 7" xfId="390"/>
    <cellStyle name="Финансовый 2 2 2 2 5 7 2" xfId="14793"/>
    <cellStyle name="Финансовый 2 2 2 2 5 7 2 2" xfId="37108"/>
    <cellStyle name="Финансовый 2 2 2 2 5 7 3" xfId="8987"/>
    <cellStyle name="Финансовый 2 2 2 2 5 7 4" xfId="31320"/>
    <cellStyle name="Финансовый 2 2 2 2 5 8" xfId="1844"/>
    <cellStyle name="Финансовый 2 2 2 2 5 8 2" xfId="16060"/>
    <cellStyle name="Финансовый 2 2 2 2 5 8 2 2" xfId="38375"/>
    <cellStyle name="Финансовый 2 2 2 2 5 8 3" xfId="10254"/>
    <cellStyle name="Финансовый 2 2 2 2 5 8 4" xfId="32569"/>
    <cellStyle name="Финансовый 2 2 2 2 5 9" xfId="2082"/>
    <cellStyle name="Финансовый 2 2 2 2 5 9 2" xfId="16256"/>
    <cellStyle name="Финансовый 2 2 2 2 5 9 2 2" xfId="38571"/>
    <cellStyle name="Финансовый 2 2 2 2 5 9 3" xfId="10450"/>
    <cellStyle name="Финансовый 2 2 2 2 5 9 4" xfId="32765"/>
    <cellStyle name="Финансовый 2 2 2 2 50" xfId="1118"/>
    <cellStyle name="Финансовый 2 2 2 2 50 2" xfId="15421"/>
    <cellStyle name="Финансовый 2 2 2 2 50 2 2" xfId="37736"/>
    <cellStyle name="Финансовый 2 2 2 2 50 3" xfId="9615"/>
    <cellStyle name="Финансовый 2 2 2 2 50 4" xfId="31932"/>
    <cellStyle name="Финансовый 2 2 2 2 6" xfId="42"/>
    <cellStyle name="Финансовый 2 2 2 2 6 10" xfId="1304"/>
    <cellStyle name="Финансовый 2 2 2 2 6 10 2" xfId="15561"/>
    <cellStyle name="Финансовый 2 2 2 2 6 10 2 2" xfId="37876"/>
    <cellStyle name="Финансовый 2 2 2 2 6 10 3" xfId="9755"/>
    <cellStyle name="Финансовый 2 2 2 2 6 10 4" xfId="32070"/>
    <cellStyle name="Финансовый 2 2 2 2 6 11" xfId="1750"/>
    <cellStyle name="Финансовый 2 2 2 2 6 11 2" xfId="15973"/>
    <cellStyle name="Финансовый 2 2 2 2 6 11 2 2" xfId="38288"/>
    <cellStyle name="Финансовый 2 2 2 2 6 11 3" xfId="10167"/>
    <cellStyle name="Финансовый 2 2 2 2 6 11 4" xfId="32482"/>
    <cellStyle name="Финансовый 2 2 2 2 6 12" xfId="1988"/>
    <cellStyle name="Финансовый 2 2 2 2 6 12 2" xfId="16169"/>
    <cellStyle name="Финансовый 2 2 2 2 6 12 2 2" xfId="38484"/>
    <cellStyle name="Финансовый 2 2 2 2 6 12 3" xfId="10363"/>
    <cellStyle name="Финансовый 2 2 2 2 6 12 4" xfId="32678"/>
    <cellStyle name="Финансовый 2 2 2 2 6 13" xfId="2225"/>
    <cellStyle name="Финансовый 2 2 2 2 6 13 2" xfId="16364"/>
    <cellStyle name="Финансовый 2 2 2 2 6 13 2 2" xfId="38679"/>
    <cellStyle name="Финансовый 2 2 2 2 6 13 3" xfId="10558"/>
    <cellStyle name="Финансовый 2 2 2 2 6 13 4" xfId="32873"/>
    <cellStyle name="Финансовый 2 2 2 2 6 14" xfId="2460"/>
    <cellStyle name="Финансовый 2 2 2 2 6 14 2" xfId="16557"/>
    <cellStyle name="Финансовый 2 2 2 2 6 14 2 2" xfId="38872"/>
    <cellStyle name="Финансовый 2 2 2 2 6 14 3" xfId="10751"/>
    <cellStyle name="Финансовый 2 2 2 2 6 14 4" xfId="33066"/>
    <cellStyle name="Финансовый 2 2 2 2 6 15" xfId="2691"/>
    <cellStyle name="Финансовый 2 2 2 2 6 15 2" xfId="16746"/>
    <cellStyle name="Финансовый 2 2 2 2 6 15 2 2" xfId="39061"/>
    <cellStyle name="Финансовый 2 2 2 2 6 15 3" xfId="10940"/>
    <cellStyle name="Финансовый 2 2 2 2 6 15 4" xfId="33255"/>
    <cellStyle name="Финансовый 2 2 2 2 6 16" xfId="2912"/>
    <cellStyle name="Финансовый 2 2 2 2 6 16 2" xfId="16927"/>
    <cellStyle name="Финансовый 2 2 2 2 6 16 2 2" xfId="39242"/>
    <cellStyle name="Финансовый 2 2 2 2 6 16 3" xfId="11121"/>
    <cellStyle name="Финансовый 2 2 2 2 6 16 4" xfId="33436"/>
    <cellStyle name="Финансовый 2 2 2 2 6 17" xfId="3123"/>
    <cellStyle name="Финансовый 2 2 2 2 6 17 2" xfId="17099"/>
    <cellStyle name="Финансовый 2 2 2 2 6 17 2 2" xfId="39414"/>
    <cellStyle name="Финансовый 2 2 2 2 6 17 3" xfId="11293"/>
    <cellStyle name="Финансовый 2 2 2 2 6 17 4" xfId="33608"/>
    <cellStyle name="Финансовый 2 2 2 2 6 18" xfId="3320"/>
    <cellStyle name="Финансовый 2 2 2 2 6 18 2" xfId="17257"/>
    <cellStyle name="Финансовый 2 2 2 2 6 18 2 2" xfId="39572"/>
    <cellStyle name="Финансовый 2 2 2 2 6 18 3" xfId="11451"/>
    <cellStyle name="Финансовый 2 2 2 2 6 18 4" xfId="33766"/>
    <cellStyle name="Финансовый 2 2 2 2 6 19" xfId="7569"/>
    <cellStyle name="Финансовый 2 2 2 2 6 19 2" xfId="19698"/>
    <cellStyle name="Финансовый 2 2 2 2 6 19 2 2" xfId="42013"/>
    <cellStyle name="Финансовый 2 2 2 2 6 19 3" xfId="13892"/>
    <cellStyle name="Финансовый 2 2 2 2 6 19 4" xfId="36207"/>
    <cellStyle name="Финансовый 2 2 2 2 6 2" xfId="387"/>
    <cellStyle name="Финансовый 2 2 2 2 6 2 10" xfId="2699"/>
    <cellStyle name="Финансовый 2 2 2 2 6 2 10 2" xfId="16753"/>
    <cellStyle name="Финансовый 2 2 2 2 6 2 10 2 2" xfId="39068"/>
    <cellStyle name="Финансовый 2 2 2 2 6 2 10 3" xfId="10947"/>
    <cellStyle name="Финансовый 2 2 2 2 6 2 10 4" xfId="33262"/>
    <cellStyle name="Финансовый 2 2 2 2 6 2 11" xfId="2920"/>
    <cellStyle name="Финансовый 2 2 2 2 6 2 11 2" xfId="16934"/>
    <cellStyle name="Финансовый 2 2 2 2 6 2 11 2 2" xfId="39249"/>
    <cellStyle name="Финансовый 2 2 2 2 6 2 11 3" xfId="11128"/>
    <cellStyle name="Финансовый 2 2 2 2 6 2 11 4" xfId="33443"/>
    <cellStyle name="Финансовый 2 2 2 2 6 2 12" xfId="3131"/>
    <cellStyle name="Финансовый 2 2 2 2 6 2 12 2" xfId="17106"/>
    <cellStyle name="Финансовый 2 2 2 2 6 2 12 2 2" xfId="39421"/>
    <cellStyle name="Финансовый 2 2 2 2 6 2 12 3" xfId="11300"/>
    <cellStyle name="Финансовый 2 2 2 2 6 2 12 4" xfId="33615"/>
    <cellStyle name="Финансовый 2 2 2 2 6 2 13" xfId="3328"/>
    <cellStyle name="Финансовый 2 2 2 2 6 2 13 2" xfId="17264"/>
    <cellStyle name="Финансовый 2 2 2 2 6 2 13 2 2" xfId="39579"/>
    <cellStyle name="Финансовый 2 2 2 2 6 2 13 3" xfId="11458"/>
    <cellStyle name="Финансовый 2 2 2 2 6 2 13 4" xfId="33773"/>
    <cellStyle name="Финансовый 2 2 2 2 6 2 14" xfId="3512"/>
    <cellStyle name="Финансовый 2 2 2 2 6 2 14 2" xfId="17409"/>
    <cellStyle name="Финансовый 2 2 2 2 6 2 14 2 2" xfId="39724"/>
    <cellStyle name="Финансовый 2 2 2 2 6 2 14 3" xfId="11603"/>
    <cellStyle name="Финансовый 2 2 2 2 6 2 14 4" xfId="33918"/>
    <cellStyle name="Финансовый 2 2 2 2 6 2 15" xfId="7661"/>
    <cellStyle name="Финансовый 2 2 2 2 6 2 15 2" xfId="19746"/>
    <cellStyle name="Финансовый 2 2 2 2 6 2 15 2 2" xfId="42061"/>
    <cellStyle name="Финансовый 2 2 2 2 6 2 15 3" xfId="13940"/>
    <cellStyle name="Финансовый 2 2 2 2 6 2 15 4" xfId="36255"/>
    <cellStyle name="Финансовый 2 2 2 2 6 2 16" xfId="5177"/>
    <cellStyle name="Финансовый 2 2 2 2 6 2 16 2" xfId="18406"/>
    <cellStyle name="Финансовый 2 2 2 2 6 2 16 2 2" xfId="40721"/>
    <cellStyle name="Финансовый 2 2 2 2 6 2 16 3" xfId="12600"/>
    <cellStyle name="Финансовый 2 2 2 2 6 2 16 4" xfId="34915"/>
    <cellStyle name="Финансовый 2 2 2 2 6 2 17" xfId="7656"/>
    <cellStyle name="Финансовый 2 2 2 2 6 2 17 2" xfId="19745"/>
    <cellStyle name="Финансовый 2 2 2 2 6 2 17 2 2" xfId="42060"/>
    <cellStyle name="Финансовый 2 2 2 2 6 2 17 3" xfId="13939"/>
    <cellStyle name="Финансовый 2 2 2 2 6 2 17 4" xfId="36254"/>
    <cellStyle name="Финансовый 2 2 2 2 6 2 18" xfId="14790"/>
    <cellStyle name="Финансовый 2 2 2 2 6 2 18 2" xfId="37105"/>
    <cellStyle name="Финансовый 2 2 2 2 6 2 19" xfId="8984"/>
    <cellStyle name="Финансовый 2 2 2 2 6 2 2" xfId="633"/>
    <cellStyle name="Финансовый 2 2 2 2 6 2 2 2" xfId="15012"/>
    <cellStyle name="Финансовый 2 2 2 2 6 2 2 2 2" xfId="37327"/>
    <cellStyle name="Финансовый 2 2 2 2 6 2 2 3" xfId="9206"/>
    <cellStyle name="Финансовый 2 2 2 2 6 2 2 4" xfId="31530"/>
    <cellStyle name="Финансовый 2 2 2 2 6 2 20" xfId="31317"/>
    <cellStyle name="Финансовый 2 2 2 2 6 2 3" xfId="1391"/>
    <cellStyle name="Финансовый 2 2 2 2 6 2 3 2" xfId="15638"/>
    <cellStyle name="Финансовый 2 2 2 2 6 2 3 2 2" xfId="37953"/>
    <cellStyle name="Финансовый 2 2 2 2 6 2 3 3" xfId="9832"/>
    <cellStyle name="Финансовый 2 2 2 2 6 2 3 4" xfId="32147"/>
    <cellStyle name="Финансовый 2 2 2 2 6 2 4" xfId="412"/>
    <cellStyle name="Финансовый 2 2 2 2 6 2 4 2" xfId="14815"/>
    <cellStyle name="Финансовый 2 2 2 2 6 2 4 2 2" xfId="37130"/>
    <cellStyle name="Финансовый 2 2 2 2 6 2 4 3" xfId="9009"/>
    <cellStyle name="Финансовый 2 2 2 2 6 2 4 4" xfId="31342"/>
    <cellStyle name="Финансовый 2 2 2 2 6 2 5" xfId="1632"/>
    <cellStyle name="Финансовый 2 2 2 2 6 2 5 2" xfId="15865"/>
    <cellStyle name="Финансовый 2 2 2 2 6 2 5 2 2" xfId="38180"/>
    <cellStyle name="Финансовый 2 2 2 2 6 2 5 3" xfId="10059"/>
    <cellStyle name="Финансовый 2 2 2 2 6 2 5 4" xfId="32374"/>
    <cellStyle name="Финансовый 2 2 2 2 6 2 6" xfId="1762"/>
    <cellStyle name="Финансовый 2 2 2 2 6 2 6 2" xfId="15983"/>
    <cellStyle name="Финансовый 2 2 2 2 6 2 6 2 2" xfId="38298"/>
    <cellStyle name="Финансовый 2 2 2 2 6 2 6 3" xfId="10177"/>
    <cellStyle name="Финансовый 2 2 2 2 6 2 6 4" xfId="32492"/>
    <cellStyle name="Финансовый 2 2 2 2 6 2 7" xfId="2000"/>
    <cellStyle name="Финансовый 2 2 2 2 6 2 7 2" xfId="16179"/>
    <cellStyle name="Финансовый 2 2 2 2 6 2 7 2 2" xfId="38494"/>
    <cellStyle name="Финансовый 2 2 2 2 6 2 7 3" xfId="10373"/>
    <cellStyle name="Финансовый 2 2 2 2 6 2 7 4" xfId="32688"/>
    <cellStyle name="Финансовый 2 2 2 2 6 2 8" xfId="2236"/>
    <cellStyle name="Финансовый 2 2 2 2 6 2 8 2" xfId="16373"/>
    <cellStyle name="Финансовый 2 2 2 2 6 2 8 2 2" xfId="38688"/>
    <cellStyle name="Финансовый 2 2 2 2 6 2 8 3" xfId="10567"/>
    <cellStyle name="Финансовый 2 2 2 2 6 2 8 4" xfId="32882"/>
    <cellStyle name="Финансовый 2 2 2 2 6 2 9" xfId="2470"/>
    <cellStyle name="Финансовый 2 2 2 2 6 2 9 2" xfId="16565"/>
    <cellStyle name="Финансовый 2 2 2 2 6 2 9 2 2" xfId="38880"/>
    <cellStyle name="Финансовый 2 2 2 2 6 2 9 3" xfId="10759"/>
    <cellStyle name="Финансовый 2 2 2 2 6 2 9 4" xfId="33074"/>
    <cellStyle name="Финансовый 2 2 2 2 6 20" xfId="4398"/>
    <cellStyle name="Финансовый 2 2 2 2 6 20 2" xfId="17983"/>
    <cellStyle name="Финансовый 2 2 2 2 6 20 2 2" xfId="40298"/>
    <cellStyle name="Финансовый 2 2 2 2 6 20 3" xfId="12177"/>
    <cellStyle name="Финансовый 2 2 2 2 6 20 4" xfId="34492"/>
    <cellStyle name="Финансовый 2 2 2 2 6 21" xfId="5484"/>
    <cellStyle name="Финансовый 2 2 2 2 6 21 2" xfId="18579"/>
    <cellStyle name="Финансовый 2 2 2 2 6 21 2 2" xfId="40894"/>
    <cellStyle name="Финансовый 2 2 2 2 6 21 3" xfId="12773"/>
    <cellStyle name="Финансовый 2 2 2 2 6 21 4" xfId="35088"/>
    <cellStyle name="Финансовый 2 2 2 2 6 22" xfId="14580"/>
    <cellStyle name="Финансовый 2 2 2 2 6 22 2" xfId="36895"/>
    <cellStyle name="Финансовый 2 2 2 2 6 23" xfId="8774"/>
    <cellStyle name="Финансовый 2 2 2 2 6 24" xfId="31140"/>
    <cellStyle name="Финансовый 2 2 2 2 6 3" xfId="745"/>
    <cellStyle name="Финансовый 2 2 2 2 6 3 2" xfId="15123"/>
    <cellStyle name="Финансовый 2 2 2 2 6 3 2 2" xfId="37438"/>
    <cellStyle name="Финансовый 2 2 2 2 6 3 3" xfId="9317"/>
    <cellStyle name="Финансовый 2 2 2 2 6 3 4" xfId="31640"/>
    <cellStyle name="Финансовый 2 2 2 2 6 4" xfId="840"/>
    <cellStyle name="Финансовый 2 2 2 2 6 4 2" xfId="15180"/>
    <cellStyle name="Финансовый 2 2 2 2 6 4 2 2" xfId="37495"/>
    <cellStyle name="Финансовый 2 2 2 2 6 4 3" xfId="9374"/>
    <cellStyle name="Финансовый 2 2 2 2 6 4 4" xfId="31696"/>
    <cellStyle name="Финансовый 2 2 2 2 6 5" xfId="990"/>
    <cellStyle name="Финансовый 2 2 2 2 6 5 2" xfId="15303"/>
    <cellStyle name="Финансовый 2 2 2 2 6 5 2 2" xfId="37618"/>
    <cellStyle name="Финансовый 2 2 2 2 6 5 3" xfId="9497"/>
    <cellStyle name="Финансовый 2 2 2 2 6 5 4" xfId="31816"/>
    <cellStyle name="Финансовый 2 2 2 2 6 6" xfId="1056"/>
    <cellStyle name="Финансовый 2 2 2 2 6 6 2" xfId="15369"/>
    <cellStyle name="Финансовый 2 2 2 2 6 6 2 2" xfId="37684"/>
    <cellStyle name="Финансовый 2 2 2 2 6 6 3" xfId="9563"/>
    <cellStyle name="Финансовый 2 2 2 2 6 6 4" xfId="31882"/>
    <cellStyle name="Финансовый 2 2 2 2 6 7" xfId="372"/>
    <cellStyle name="Финансовый 2 2 2 2 6 7 2" xfId="14775"/>
    <cellStyle name="Финансовый 2 2 2 2 6 7 2 2" xfId="37090"/>
    <cellStyle name="Финансовый 2 2 2 2 6 7 3" xfId="8969"/>
    <cellStyle name="Финансовый 2 2 2 2 6 7 4" xfId="31302"/>
    <cellStyle name="Финансовый 2 2 2 2 6 8" xfId="1352"/>
    <cellStyle name="Финансовый 2 2 2 2 6 8 2" xfId="15604"/>
    <cellStyle name="Финансовый 2 2 2 2 6 8 2 2" xfId="37919"/>
    <cellStyle name="Финансовый 2 2 2 2 6 8 3" xfId="9798"/>
    <cellStyle name="Финансовый 2 2 2 2 6 8 4" xfId="32113"/>
    <cellStyle name="Финансовый 2 2 2 2 6 9" xfId="1552"/>
    <cellStyle name="Финансовый 2 2 2 2 6 9 2" xfId="15792"/>
    <cellStyle name="Финансовый 2 2 2 2 6 9 2 2" xfId="38107"/>
    <cellStyle name="Финансовый 2 2 2 2 6 9 3" xfId="9986"/>
    <cellStyle name="Финансовый 2 2 2 2 6 9 4" xfId="32301"/>
    <cellStyle name="Финансовый 2 2 2 2 7" xfId="46"/>
    <cellStyle name="Финансовый 2 2 2 2 7 10" xfId="1862"/>
    <cellStyle name="Финансовый 2 2 2 2 7 10 2" xfId="16076"/>
    <cellStyle name="Финансовый 2 2 2 2 7 10 2 2" xfId="38391"/>
    <cellStyle name="Финансовый 2 2 2 2 7 10 3" xfId="10270"/>
    <cellStyle name="Финансовый 2 2 2 2 7 10 4" xfId="32585"/>
    <cellStyle name="Финансовый 2 2 2 2 7 11" xfId="2100"/>
    <cellStyle name="Финансовый 2 2 2 2 7 11 2" xfId="16272"/>
    <cellStyle name="Финансовый 2 2 2 2 7 11 2 2" xfId="38587"/>
    <cellStyle name="Финансовый 2 2 2 2 7 11 3" xfId="10466"/>
    <cellStyle name="Финансовый 2 2 2 2 7 11 4" xfId="32781"/>
    <cellStyle name="Финансовый 2 2 2 2 7 12" xfId="2335"/>
    <cellStyle name="Финансовый 2 2 2 2 7 12 2" xfId="16465"/>
    <cellStyle name="Финансовый 2 2 2 2 7 12 2 2" xfId="38780"/>
    <cellStyle name="Финансовый 2 2 2 2 7 12 3" xfId="10659"/>
    <cellStyle name="Финансовый 2 2 2 2 7 12 4" xfId="32974"/>
    <cellStyle name="Финансовый 2 2 2 2 7 13" xfId="2567"/>
    <cellStyle name="Финансовый 2 2 2 2 7 13 2" xfId="16655"/>
    <cellStyle name="Финансовый 2 2 2 2 7 13 2 2" xfId="38970"/>
    <cellStyle name="Финансовый 2 2 2 2 7 13 3" xfId="10849"/>
    <cellStyle name="Финансовый 2 2 2 2 7 13 4" xfId="33164"/>
    <cellStyle name="Финансовый 2 2 2 2 7 14" xfId="2790"/>
    <cellStyle name="Финансовый 2 2 2 2 7 14 2" xfId="16838"/>
    <cellStyle name="Финансовый 2 2 2 2 7 14 2 2" xfId="39153"/>
    <cellStyle name="Финансовый 2 2 2 2 7 14 3" xfId="11032"/>
    <cellStyle name="Финансовый 2 2 2 2 7 14 4" xfId="33347"/>
    <cellStyle name="Финансовый 2 2 2 2 7 15" xfId="3005"/>
    <cellStyle name="Финансовый 2 2 2 2 7 15 2" xfId="17013"/>
    <cellStyle name="Финансовый 2 2 2 2 7 15 2 2" xfId="39328"/>
    <cellStyle name="Финансовый 2 2 2 2 7 15 3" xfId="11207"/>
    <cellStyle name="Финансовый 2 2 2 2 7 15 4" xfId="33522"/>
    <cellStyle name="Финансовый 2 2 2 2 7 16" xfId="3210"/>
    <cellStyle name="Финансовый 2 2 2 2 7 16 2" xfId="17179"/>
    <cellStyle name="Финансовый 2 2 2 2 7 16 2 2" xfId="39494"/>
    <cellStyle name="Финансовый 2 2 2 2 7 16 3" xfId="11373"/>
    <cellStyle name="Финансовый 2 2 2 2 7 16 4" xfId="33688"/>
    <cellStyle name="Финансовый 2 2 2 2 7 17" xfId="3398"/>
    <cellStyle name="Финансовый 2 2 2 2 7 17 2" xfId="17328"/>
    <cellStyle name="Финансовый 2 2 2 2 7 17 2 2" xfId="39643"/>
    <cellStyle name="Финансовый 2 2 2 2 7 17 3" xfId="11522"/>
    <cellStyle name="Финансовый 2 2 2 2 7 17 4" xfId="33837"/>
    <cellStyle name="Финансовый 2 2 2 2 7 18" xfId="3573"/>
    <cellStyle name="Финансовый 2 2 2 2 7 18 2" xfId="17465"/>
    <cellStyle name="Финансовый 2 2 2 2 7 18 2 2" xfId="39780"/>
    <cellStyle name="Финансовый 2 2 2 2 7 18 3" xfId="11659"/>
    <cellStyle name="Финансовый 2 2 2 2 7 18 4" xfId="33974"/>
    <cellStyle name="Финансовый 2 2 2 2 7 19" xfId="5088"/>
    <cellStyle name="Финансовый 2 2 2 2 7 19 2" xfId="18358"/>
    <cellStyle name="Финансовый 2 2 2 2 7 19 2 2" xfId="40673"/>
    <cellStyle name="Финансовый 2 2 2 2 7 19 3" xfId="12552"/>
    <cellStyle name="Финансовый 2 2 2 2 7 19 4" xfId="34867"/>
    <cellStyle name="Финансовый 2 2 2 2 7 2" xfId="391"/>
    <cellStyle name="Финансовый 2 2 2 2 7 2 10" xfId="1319"/>
    <cellStyle name="Финансовый 2 2 2 2 7 2 10 2" xfId="15574"/>
    <cellStyle name="Финансовый 2 2 2 2 7 2 10 2 2" xfId="37889"/>
    <cellStyle name="Финансовый 2 2 2 2 7 2 10 3" xfId="9768"/>
    <cellStyle name="Финансовый 2 2 2 2 7 2 10 4" xfId="32083"/>
    <cellStyle name="Финансовый 2 2 2 2 7 2 11" xfId="1799"/>
    <cellStyle name="Финансовый 2 2 2 2 7 2 11 2" xfId="16018"/>
    <cellStyle name="Финансовый 2 2 2 2 7 2 11 2 2" xfId="38333"/>
    <cellStyle name="Финансовый 2 2 2 2 7 2 11 3" xfId="10212"/>
    <cellStyle name="Финансовый 2 2 2 2 7 2 11 4" xfId="32527"/>
    <cellStyle name="Финансовый 2 2 2 2 7 2 12" xfId="2037"/>
    <cellStyle name="Финансовый 2 2 2 2 7 2 12 2" xfId="16214"/>
    <cellStyle name="Финансовый 2 2 2 2 7 2 12 2 2" xfId="38529"/>
    <cellStyle name="Финансовый 2 2 2 2 7 2 12 3" xfId="10408"/>
    <cellStyle name="Финансовый 2 2 2 2 7 2 12 4" xfId="32723"/>
    <cellStyle name="Финансовый 2 2 2 2 7 2 13" xfId="2272"/>
    <cellStyle name="Финансовый 2 2 2 2 7 2 13 2" xfId="16407"/>
    <cellStyle name="Финансовый 2 2 2 2 7 2 13 2 2" xfId="38722"/>
    <cellStyle name="Финансовый 2 2 2 2 7 2 13 3" xfId="10601"/>
    <cellStyle name="Финансовый 2 2 2 2 7 2 13 4" xfId="32916"/>
    <cellStyle name="Финансовый 2 2 2 2 7 2 14" xfId="2506"/>
    <cellStyle name="Финансовый 2 2 2 2 7 2 14 2" xfId="16599"/>
    <cellStyle name="Финансовый 2 2 2 2 7 2 14 2 2" xfId="38914"/>
    <cellStyle name="Финансовый 2 2 2 2 7 2 14 3" xfId="10793"/>
    <cellStyle name="Финансовый 2 2 2 2 7 2 14 4" xfId="33108"/>
    <cellStyle name="Финансовый 2 2 2 2 7 2 15" xfId="5629"/>
    <cellStyle name="Финансовый 2 2 2 2 7 2 15 2" xfId="18655"/>
    <cellStyle name="Финансовый 2 2 2 2 7 2 15 2 2" xfId="40970"/>
    <cellStyle name="Финансовый 2 2 2 2 7 2 15 3" xfId="12849"/>
    <cellStyle name="Финансовый 2 2 2 2 7 2 15 4" xfId="35164"/>
    <cellStyle name="Финансовый 2 2 2 2 7 2 16" xfId="5717"/>
    <cellStyle name="Финансовый 2 2 2 2 7 2 16 2" xfId="18702"/>
    <cellStyle name="Финансовый 2 2 2 2 7 2 16 2 2" xfId="41017"/>
    <cellStyle name="Финансовый 2 2 2 2 7 2 16 3" xfId="12896"/>
    <cellStyle name="Финансовый 2 2 2 2 7 2 16 4" xfId="35211"/>
    <cellStyle name="Финансовый 2 2 2 2 7 2 17" xfId="4212"/>
    <cellStyle name="Финансовый 2 2 2 2 7 2 17 2" xfId="17874"/>
    <cellStyle name="Финансовый 2 2 2 2 7 2 17 2 2" xfId="40189"/>
    <cellStyle name="Финансовый 2 2 2 2 7 2 17 3" xfId="12068"/>
    <cellStyle name="Финансовый 2 2 2 2 7 2 17 4" xfId="34383"/>
    <cellStyle name="Финансовый 2 2 2 2 7 2 18" xfId="14794"/>
    <cellStyle name="Финансовый 2 2 2 2 7 2 18 2" xfId="37109"/>
    <cellStyle name="Финансовый 2 2 2 2 7 2 19" xfId="8988"/>
    <cellStyle name="Финансовый 2 2 2 2 7 2 2" xfId="636"/>
    <cellStyle name="Финансовый 2 2 2 2 7 2 2 2" xfId="15015"/>
    <cellStyle name="Финансовый 2 2 2 2 7 2 2 2 2" xfId="37330"/>
    <cellStyle name="Финансовый 2 2 2 2 7 2 2 3" xfId="9209"/>
    <cellStyle name="Финансовый 2 2 2 2 7 2 2 4" xfId="31533"/>
    <cellStyle name="Финансовый 2 2 2 2 7 2 20" xfId="31321"/>
    <cellStyle name="Финансовый 2 2 2 2 7 2 3" xfId="1394"/>
    <cellStyle name="Финансовый 2 2 2 2 7 2 3 2" xfId="15641"/>
    <cellStyle name="Финансовый 2 2 2 2 7 2 3 2 2" xfId="37956"/>
    <cellStyle name="Финансовый 2 2 2 2 7 2 3 3" xfId="9835"/>
    <cellStyle name="Финансовый 2 2 2 2 7 2 3 4" xfId="32150"/>
    <cellStyle name="Финансовый 2 2 2 2 7 2 4" xfId="442"/>
    <cellStyle name="Финансовый 2 2 2 2 7 2 4 2" xfId="14845"/>
    <cellStyle name="Финансовый 2 2 2 2 7 2 4 2 2" xfId="37160"/>
    <cellStyle name="Финансовый 2 2 2 2 7 2 4 3" xfId="9039"/>
    <cellStyle name="Финансовый 2 2 2 2 7 2 4 4" xfId="31372"/>
    <cellStyle name="Финансовый 2 2 2 2 7 2 5" xfId="526"/>
    <cellStyle name="Финансовый 2 2 2 2 7 2 5 2" xfId="14927"/>
    <cellStyle name="Финансовый 2 2 2 2 7 2 5 2 2" xfId="37242"/>
    <cellStyle name="Финансовый 2 2 2 2 7 2 5 3" xfId="9121"/>
    <cellStyle name="Финансовый 2 2 2 2 7 2 5 4" xfId="31454"/>
    <cellStyle name="Финансовый 2 2 2 2 7 2 6" xfId="1261"/>
    <cellStyle name="Финансовый 2 2 2 2 7 2 6 2" xfId="15521"/>
    <cellStyle name="Финансовый 2 2 2 2 7 2 6 2 2" xfId="37836"/>
    <cellStyle name="Финансовый 2 2 2 2 7 2 6 3" xfId="9715"/>
    <cellStyle name="Финансовый 2 2 2 2 7 2 6 4" xfId="32030"/>
    <cellStyle name="Финансовый 2 2 2 2 7 2 7" xfId="1669"/>
    <cellStyle name="Финансовый 2 2 2 2 7 2 7 2" xfId="15898"/>
    <cellStyle name="Финансовый 2 2 2 2 7 2 7 2 2" xfId="38213"/>
    <cellStyle name="Финансовый 2 2 2 2 7 2 7 3" xfId="10092"/>
    <cellStyle name="Финансовый 2 2 2 2 7 2 7 4" xfId="32407"/>
    <cellStyle name="Финансовый 2 2 2 2 7 2 8" xfId="501"/>
    <cellStyle name="Финансовый 2 2 2 2 7 2 8 2" xfId="14903"/>
    <cellStyle name="Финансовый 2 2 2 2 7 2 8 2 2" xfId="37218"/>
    <cellStyle name="Финансовый 2 2 2 2 7 2 8 3" xfId="9097"/>
    <cellStyle name="Финансовый 2 2 2 2 7 2 8 4" xfId="31430"/>
    <cellStyle name="Финансовый 2 2 2 2 7 2 9" xfId="376"/>
    <cellStyle name="Финансовый 2 2 2 2 7 2 9 2" xfId="14779"/>
    <cellStyle name="Финансовый 2 2 2 2 7 2 9 2 2" xfId="37094"/>
    <cellStyle name="Финансовый 2 2 2 2 7 2 9 3" xfId="8973"/>
    <cellStyle name="Финансовый 2 2 2 2 7 2 9 4" xfId="31306"/>
    <cellStyle name="Финансовый 2 2 2 2 7 20" xfId="8325"/>
    <cellStyle name="Финансовый 2 2 2 2 7 20 2" xfId="20125"/>
    <cellStyle name="Финансовый 2 2 2 2 7 20 2 2" xfId="42440"/>
    <cellStyle name="Финансовый 2 2 2 2 7 20 3" xfId="14319"/>
    <cellStyle name="Финансовый 2 2 2 2 7 20 4" xfId="36634"/>
    <cellStyle name="Финансовый 2 2 2 2 7 21" xfId="5073"/>
    <cellStyle name="Финансовый 2 2 2 2 7 21 2" xfId="18349"/>
    <cellStyle name="Финансовый 2 2 2 2 7 21 2 2" xfId="40664"/>
    <cellStyle name="Финансовый 2 2 2 2 7 21 3" xfId="12543"/>
    <cellStyle name="Финансовый 2 2 2 2 7 21 4" xfId="34858"/>
    <cellStyle name="Финансовый 2 2 2 2 7 22" xfId="14582"/>
    <cellStyle name="Финансовый 2 2 2 2 7 22 2" xfId="36897"/>
    <cellStyle name="Финансовый 2 2 2 2 7 23" xfId="8776"/>
    <cellStyle name="Финансовый 2 2 2 2 7 24" xfId="31142"/>
    <cellStyle name="Финансовый 2 2 2 2 7 3" xfId="732"/>
    <cellStyle name="Финансовый 2 2 2 2 7 3 2" xfId="15110"/>
    <cellStyle name="Финансовый 2 2 2 2 7 3 2 2" xfId="37425"/>
    <cellStyle name="Финансовый 2 2 2 2 7 3 3" xfId="9304"/>
    <cellStyle name="Финансовый 2 2 2 2 7 3 4" xfId="31627"/>
    <cellStyle name="Финансовый 2 2 2 2 7 4" xfId="735"/>
    <cellStyle name="Финансовый 2 2 2 2 7 4 2" xfId="15113"/>
    <cellStyle name="Финансовый 2 2 2 2 7 4 2 2" xfId="37428"/>
    <cellStyle name="Финансовый 2 2 2 2 7 4 3" xfId="9307"/>
    <cellStyle name="Финансовый 2 2 2 2 7 4 4" xfId="31630"/>
    <cellStyle name="Финансовый 2 2 2 2 7 5" xfId="992"/>
    <cellStyle name="Финансовый 2 2 2 2 7 5 2" xfId="15305"/>
    <cellStyle name="Финансовый 2 2 2 2 7 5 2 2" xfId="37620"/>
    <cellStyle name="Финансовый 2 2 2 2 7 5 3" xfId="9499"/>
    <cellStyle name="Финансовый 2 2 2 2 7 5 4" xfId="31818"/>
    <cellStyle name="Финансовый 2 2 2 2 7 6" xfId="967"/>
    <cellStyle name="Финансовый 2 2 2 2 7 6 2" xfId="15282"/>
    <cellStyle name="Финансовый 2 2 2 2 7 6 2 2" xfId="37597"/>
    <cellStyle name="Финансовый 2 2 2 2 7 6 3" xfId="9476"/>
    <cellStyle name="Финансовый 2 2 2 2 7 6 4" xfId="31796"/>
    <cellStyle name="Финансовый 2 2 2 2 7 7" xfId="367"/>
    <cellStyle name="Финансовый 2 2 2 2 7 7 2" xfId="14770"/>
    <cellStyle name="Финансовый 2 2 2 2 7 7 2 2" xfId="37085"/>
    <cellStyle name="Финансовый 2 2 2 2 7 7 3" xfId="8964"/>
    <cellStyle name="Финансовый 2 2 2 2 7 7 4" xfId="31297"/>
    <cellStyle name="Финансовый 2 2 2 2 7 8" xfId="1690"/>
    <cellStyle name="Финансовый 2 2 2 2 7 8 2" xfId="15919"/>
    <cellStyle name="Финансовый 2 2 2 2 7 8 2 2" xfId="38234"/>
    <cellStyle name="Финансовый 2 2 2 2 7 8 3" xfId="10113"/>
    <cellStyle name="Финансовый 2 2 2 2 7 8 4" xfId="32428"/>
    <cellStyle name="Финансовый 2 2 2 2 7 9" xfId="1590"/>
    <cellStyle name="Финансовый 2 2 2 2 7 9 2" xfId="15827"/>
    <cellStyle name="Финансовый 2 2 2 2 7 9 2 2" xfId="38142"/>
    <cellStyle name="Финансовый 2 2 2 2 7 9 3" xfId="10021"/>
    <cellStyle name="Финансовый 2 2 2 2 7 9 4" xfId="32336"/>
    <cellStyle name="Финансовый 2 2 2 2 8" xfId="50"/>
    <cellStyle name="Финансовый 2 2 2 2 8 10" xfId="2368"/>
    <cellStyle name="Финансовый 2 2 2 2 8 10 2" xfId="16497"/>
    <cellStyle name="Финансовый 2 2 2 2 8 10 2 2" xfId="38812"/>
    <cellStyle name="Финансовый 2 2 2 2 8 10 3" xfId="10691"/>
    <cellStyle name="Финансовый 2 2 2 2 8 10 4" xfId="33006"/>
    <cellStyle name="Финансовый 2 2 2 2 8 11" xfId="2600"/>
    <cellStyle name="Финансовый 2 2 2 2 8 11 2" xfId="16687"/>
    <cellStyle name="Финансовый 2 2 2 2 8 11 2 2" xfId="39002"/>
    <cellStyle name="Финансовый 2 2 2 2 8 11 3" xfId="10881"/>
    <cellStyle name="Финансовый 2 2 2 2 8 11 4" xfId="33196"/>
    <cellStyle name="Финансовый 2 2 2 2 8 12" xfId="2822"/>
    <cellStyle name="Финансовый 2 2 2 2 8 12 2" xfId="16869"/>
    <cellStyle name="Финансовый 2 2 2 2 8 12 2 2" xfId="39184"/>
    <cellStyle name="Финансовый 2 2 2 2 8 12 3" xfId="11063"/>
    <cellStyle name="Финансовый 2 2 2 2 8 12 4" xfId="33378"/>
    <cellStyle name="Финансовый 2 2 2 2 8 13" xfId="3035"/>
    <cellStyle name="Финансовый 2 2 2 2 8 13 2" xfId="17042"/>
    <cellStyle name="Финансовый 2 2 2 2 8 13 2 2" xfId="39357"/>
    <cellStyle name="Финансовый 2 2 2 2 8 13 3" xfId="11236"/>
    <cellStyle name="Финансовый 2 2 2 2 8 13 4" xfId="33551"/>
    <cellStyle name="Финансовый 2 2 2 2 8 14" xfId="3236"/>
    <cellStyle name="Финансовый 2 2 2 2 8 14 2" xfId="17204"/>
    <cellStyle name="Финансовый 2 2 2 2 8 14 2 2" xfId="39519"/>
    <cellStyle name="Финансовый 2 2 2 2 8 14 3" xfId="11398"/>
    <cellStyle name="Финансовый 2 2 2 2 8 14 4" xfId="33713"/>
    <cellStyle name="Финансовый 2 2 2 2 8 15" xfId="3423"/>
    <cellStyle name="Финансовый 2 2 2 2 8 15 2" xfId="17352"/>
    <cellStyle name="Финансовый 2 2 2 2 8 15 2 2" xfId="39667"/>
    <cellStyle name="Финансовый 2 2 2 2 8 15 3" xfId="11546"/>
    <cellStyle name="Финансовый 2 2 2 2 8 15 4" xfId="33861"/>
    <cellStyle name="Финансовый 2 2 2 2 8 16" xfId="3596"/>
    <cellStyle name="Финансовый 2 2 2 2 8 16 2" xfId="17487"/>
    <cellStyle name="Финансовый 2 2 2 2 8 16 2 2" xfId="39802"/>
    <cellStyle name="Финансовый 2 2 2 2 8 16 3" xfId="11681"/>
    <cellStyle name="Финансовый 2 2 2 2 8 16 4" xfId="33996"/>
    <cellStyle name="Финансовый 2 2 2 2 8 17" xfId="3752"/>
    <cellStyle name="Финансовый 2 2 2 2 8 17 2" xfId="17605"/>
    <cellStyle name="Финансовый 2 2 2 2 8 17 2 2" xfId="39920"/>
    <cellStyle name="Финансовый 2 2 2 2 8 17 3" xfId="11799"/>
    <cellStyle name="Финансовый 2 2 2 2 8 17 4" xfId="34114"/>
    <cellStyle name="Финансовый 2 2 2 2 8 18" xfId="3875"/>
    <cellStyle name="Финансовый 2 2 2 2 8 18 2" xfId="17695"/>
    <cellStyle name="Финансовый 2 2 2 2 8 18 2 2" xfId="40010"/>
    <cellStyle name="Финансовый 2 2 2 2 8 18 3" xfId="11889"/>
    <cellStyle name="Финансовый 2 2 2 2 8 18 4" xfId="34204"/>
    <cellStyle name="Финансовый 2 2 2 2 8 19" xfId="5609"/>
    <cellStyle name="Финансовый 2 2 2 2 8 19 2" xfId="18644"/>
    <cellStyle name="Финансовый 2 2 2 2 8 19 2 2" xfId="40959"/>
    <cellStyle name="Финансовый 2 2 2 2 8 19 3" xfId="12838"/>
    <cellStyle name="Финансовый 2 2 2 2 8 19 4" xfId="35153"/>
    <cellStyle name="Финансовый 2 2 2 2 8 2" xfId="395"/>
    <cellStyle name="Финансовый 2 2 2 2 8 2 10" xfId="2977"/>
    <cellStyle name="Финансовый 2 2 2 2 8 2 10 2" xfId="16987"/>
    <cellStyle name="Финансовый 2 2 2 2 8 2 10 2 2" xfId="39302"/>
    <cellStyle name="Финансовый 2 2 2 2 8 2 10 3" xfId="11181"/>
    <cellStyle name="Финансовый 2 2 2 2 8 2 10 4" xfId="33496"/>
    <cellStyle name="Финансовый 2 2 2 2 8 2 11" xfId="3185"/>
    <cellStyle name="Финансовый 2 2 2 2 8 2 11 2" xfId="17156"/>
    <cellStyle name="Финансовый 2 2 2 2 8 2 11 2 2" xfId="39471"/>
    <cellStyle name="Финансовый 2 2 2 2 8 2 11 3" xfId="11350"/>
    <cellStyle name="Финансовый 2 2 2 2 8 2 11 4" xfId="33665"/>
    <cellStyle name="Финансовый 2 2 2 2 8 2 12" xfId="3374"/>
    <cellStyle name="Финансовый 2 2 2 2 8 2 12 2" xfId="17306"/>
    <cellStyle name="Финансовый 2 2 2 2 8 2 12 2 2" xfId="39621"/>
    <cellStyle name="Финансовый 2 2 2 2 8 2 12 3" xfId="11500"/>
    <cellStyle name="Финансовый 2 2 2 2 8 2 12 4" xfId="33815"/>
    <cellStyle name="Финансовый 2 2 2 2 8 2 13" xfId="3553"/>
    <cellStyle name="Финансовый 2 2 2 2 8 2 13 2" xfId="17447"/>
    <cellStyle name="Финансовый 2 2 2 2 8 2 13 2 2" xfId="39762"/>
    <cellStyle name="Финансовый 2 2 2 2 8 2 13 3" xfId="11641"/>
    <cellStyle name="Финансовый 2 2 2 2 8 2 13 4" xfId="33956"/>
    <cellStyle name="Финансовый 2 2 2 2 8 2 14" xfId="3713"/>
    <cellStyle name="Финансовый 2 2 2 2 8 2 14 2" xfId="17569"/>
    <cellStyle name="Финансовый 2 2 2 2 8 2 14 2 2" xfId="39884"/>
    <cellStyle name="Финансовый 2 2 2 2 8 2 14 3" xfId="11763"/>
    <cellStyle name="Финансовый 2 2 2 2 8 2 14 4" xfId="34078"/>
    <cellStyle name="Финансовый 2 2 2 2 8 2 15" xfId="6495"/>
    <cellStyle name="Финансовый 2 2 2 2 8 2 15 2" xfId="19117"/>
    <cellStyle name="Финансовый 2 2 2 2 8 2 15 2 2" xfId="41432"/>
    <cellStyle name="Финансовый 2 2 2 2 8 2 15 3" xfId="13311"/>
    <cellStyle name="Финансовый 2 2 2 2 8 2 15 4" xfId="35626"/>
    <cellStyle name="Финансовый 2 2 2 2 8 2 16" xfId="5074"/>
    <cellStyle name="Финансовый 2 2 2 2 8 2 16 2" xfId="18350"/>
    <cellStyle name="Финансовый 2 2 2 2 8 2 16 2 2" xfId="40665"/>
    <cellStyle name="Финансовый 2 2 2 2 8 2 16 3" xfId="12544"/>
    <cellStyle name="Финансовый 2 2 2 2 8 2 16 4" xfId="34859"/>
    <cellStyle name="Финансовый 2 2 2 2 8 2 17" xfId="4857"/>
    <cellStyle name="Финансовый 2 2 2 2 8 2 17 2" xfId="18227"/>
    <cellStyle name="Финансовый 2 2 2 2 8 2 17 2 2" xfId="40542"/>
    <cellStyle name="Финансовый 2 2 2 2 8 2 17 3" xfId="12421"/>
    <cellStyle name="Финансовый 2 2 2 2 8 2 17 4" xfId="34736"/>
    <cellStyle name="Финансовый 2 2 2 2 8 2 18" xfId="14798"/>
    <cellStyle name="Финансовый 2 2 2 2 8 2 18 2" xfId="37113"/>
    <cellStyle name="Финансовый 2 2 2 2 8 2 19" xfId="8992"/>
    <cellStyle name="Финансовый 2 2 2 2 8 2 2" xfId="639"/>
    <cellStyle name="Финансовый 2 2 2 2 8 2 2 2" xfId="15018"/>
    <cellStyle name="Финансовый 2 2 2 2 8 2 2 2 2" xfId="37333"/>
    <cellStyle name="Финансовый 2 2 2 2 8 2 2 3" xfId="9212"/>
    <cellStyle name="Финансовый 2 2 2 2 8 2 2 4" xfId="31536"/>
    <cellStyle name="Финансовый 2 2 2 2 8 2 20" xfId="31325"/>
    <cellStyle name="Финансовый 2 2 2 2 8 2 3" xfId="1397"/>
    <cellStyle name="Финансовый 2 2 2 2 8 2 3 2" xfId="15643"/>
    <cellStyle name="Финансовый 2 2 2 2 8 2 3 2 2" xfId="37958"/>
    <cellStyle name="Финансовый 2 2 2 2 8 2 3 3" xfId="9837"/>
    <cellStyle name="Финансовый 2 2 2 2 8 2 3 4" xfId="32152"/>
    <cellStyle name="Финансовый 2 2 2 2 8 2 4" xfId="1438"/>
    <cellStyle name="Финансовый 2 2 2 2 8 2 4 2" xfId="15681"/>
    <cellStyle name="Финансовый 2 2 2 2 8 2 4 2 2" xfId="37996"/>
    <cellStyle name="Финансовый 2 2 2 2 8 2 4 3" xfId="9875"/>
    <cellStyle name="Финансовый 2 2 2 2 8 2 4 4" xfId="32190"/>
    <cellStyle name="Финансовый 2 2 2 2 8 2 5" xfId="1827"/>
    <cellStyle name="Финансовый 2 2 2 2 8 2 5 2" xfId="16044"/>
    <cellStyle name="Финансовый 2 2 2 2 8 2 5 2 2" xfId="38359"/>
    <cellStyle name="Финансовый 2 2 2 2 8 2 5 3" xfId="10238"/>
    <cellStyle name="Финансовый 2 2 2 2 8 2 5 4" xfId="32553"/>
    <cellStyle name="Финансовый 2 2 2 2 8 2 6" xfId="2065"/>
    <cellStyle name="Финансовый 2 2 2 2 8 2 6 2" xfId="16240"/>
    <cellStyle name="Финансовый 2 2 2 2 8 2 6 2 2" xfId="38555"/>
    <cellStyle name="Финансовый 2 2 2 2 8 2 6 3" xfId="10434"/>
    <cellStyle name="Финансовый 2 2 2 2 8 2 6 4" xfId="32749"/>
    <cellStyle name="Финансовый 2 2 2 2 8 2 7" xfId="2300"/>
    <cellStyle name="Финансовый 2 2 2 2 8 2 7 2" xfId="16433"/>
    <cellStyle name="Финансовый 2 2 2 2 8 2 7 2 2" xfId="38748"/>
    <cellStyle name="Финансовый 2 2 2 2 8 2 7 3" xfId="10627"/>
    <cellStyle name="Финансовый 2 2 2 2 8 2 7 4" xfId="32942"/>
    <cellStyle name="Финансовый 2 2 2 2 8 2 8" xfId="2533"/>
    <cellStyle name="Финансовый 2 2 2 2 8 2 8 2" xfId="16624"/>
    <cellStyle name="Финансовый 2 2 2 2 8 2 8 2 2" xfId="38939"/>
    <cellStyle name="Финансовый 2 2 2 2 8 2 8 3" xfId="10818"/>
    <cellStyle name="Финансовый 2 2 2 2 8 2 8 4" xfId="33133"/>
    <cellStyle name="Финансовый 2 2 2 2 8 2 9" xfId="2759"/>
    <cellStyle name="Финансовый 2 2 2 2 8 2 9 2" xfId="16809"/>
    <cellStyle name="Финансовый 2 2 2 2 8 2 9 2 2" xfId="39124"/>
    <cellStyle name="Финансовый 2 2 2 2 8 2 9 3" xfId="11003"/>
    <cellStyle name="Финансовый 2 2 2 2 8 2 9 4" xfId="33318"/>
    <cellStyle name="Финансовый 2 2 2 2 8 20" xfId="6116"/>
    <cellStyle name="Финансовый 2 2 2 2 8 20 2" xfId="18912"/>
    <cellStyle name="Финансовый 2 2 2 2 8 20 2 2" xfId="41227"/>
    <cellStyle name="Финансовый 2 2 2 2 8 20 3" xfId="13106"/>
    <cellStyle name="Финансовый 2 2 2 2 8 20 4" xfId="35421"/>
    <cellStyle name="Финансовый 2 2 2 2 8 21" xfId="4020"/>
    <cellStyle name="Финансовый 2 2 2 2 8 21 2" xfId="17772"/>
    <cellStyle name="Финансовый 2 2 2 2 8 21 2 2" xfId="40087"/>
    <cellStyle name="Финансовый 2 2 2 2 8 21 3" xfId="11966"/>
    <cellStyle name="Финансовый 2 2 2 2 8 21 4" xfId="34281"/>
    <cellStyle name="Финансовый 2 2 2 2 8 22" xfId="14585"/>
    <cellStyle name="Финансовый 2 2 2 2 8 22 2" xfId="36900"/>
    <cellStyle name="Финансовый 2 2 2 2 8 23" xfId="8779"/>
    <cellStyle name="Финансовый 2 2 2 2 8 24" xfId="31144"/>
    <cellStyle name="Финансовый 2 2 2 2 8 3" xfId="615"/>
    <cellStyle name="Финансовый 2 2 2 2 8 3 2" xfId="14995"/>
    <cellStyle name="Финансовый 2 2 2 2 8 3 2 2" xfId="37310"/>
    <cellStyle name="Финансовый 2 2 2 2 8 3 3" xfId="9189"/>
    <cellStyle name="Финансовый 2 2 2 2 8 3 4" xfId="31514"/>
    <cellStyle name="Финансовый 2 2 2 2 8 4" xfId="652"/>
    <cellStyle name="Финансовый 2 2 2 2 8 4 2" xfId="15031"/>
    <cellStyle name="Финансовый 2 2 2 2 8 4 2 2" xfId="37346"/>
    <cellStyle name="Финансовый 2 2 2 2 8 4 3" xfId="9225"/>
    <cellStyle name="Финансовый 2 2 2 2 8 4 4" xfId="31549"/>
    <cellStyle name="Финансовый 2 2 2 2 8 5" xfId="995"/>
    <cellStyle name="Финансовый 2 2 2 2 8 5 2" xfId="15308"/>
    <cellStyle name="Финансовый 2 2 2 2 8 5 2 2" xfId="37623"/>
    <cellStyle name="Финансовый 2 2 2 2 8 5 3" xfId="9502"/>
    <cellStyle name="Финансовый 2 2 2 2 8 5 4" xfId="31821"/>
    <cellStyle name="Финансовый 2 2 2 2 8 6" xfId="1033"/>
    <cellStyle name="Финансовый 2 2 2 2 8 6 2" xfId="15346"/>
    <cellStyle name="Финансовый 2 2 2 2 8 6 2 2" xfId="37661"/>
    <cellStyle name="Финансовый 2 2 2 2 8 6 3" xfId="9540"/>
    <cellStyle name="Финансовый 2 2 2 2 8 6 4" xfId="31859"/>
    <cellStyle name="Финансовый 2 2 2 2 8 7" xfId="524"/>
    <cellStyle name="Финансовый 2 2 2 2 8 7 2" xfId="14925"/>
    <cellStyle name="Финансовый 2 2 2 2 8 7 2 2" xfId="37240"/>
    <cellStyle name="Финансовый 2 2 2 2 8 7 3" xfId="9119"/>
    <cellStyle name="Финансовый 2 2 2 2 8 7 4" xfId="31452"/>
    <cellStyle name="Финансовый 2 2 2 2 8 8" xfId="1895"/>
    <cellStyle name="Финансовый 2 2 2 2 8 8 2" xfId="16108"/>
    <cellStyle name="Финансовый 2 2 2 2 8 8 2 2" xfId="38423"/>
    <cellStyle name="Финансовый 2 2 2 2 8 8 3" xfId="10302"/>
    <cellStyle name="Финансовый 2 2 2 2 8 8 4" xfId="32617"/>
    <cellStyle name="Финансовый 2 2 2 2 8 9" xfId="2133"/>
    <cellStyle name="Финансовый 2 2 2 2 8 9 2" xfId="16304"/>
    <cellStyle name="Финансовый 2 2 2 2 8 9 2 2" xfId="38619"/>
    <cellStyle name="Финансовый 2 2 2 2 8 9 3" xfId="10498"/>
    <cellStyle name="Финансовый 2 2 2 2 8 9 4" xfId="32813"/>
    <cellStyle name="Финансовый 2 2 2 2 9" xfId="53"/>
    <cellStyle name="Финансовый 2 2 2 2 9 10" xfId="421"/>
    <cellStyle name="Финансовый 2 2 2 2 9 10 2" xfId="14824"/>
    <cellStyle name="Финансовый 2 2 2 2 9 10 2 2" xfId="37139"/>
    <cellStyle name="Финансовый 2 2 2 2 9 10 3" xfId="9018"/>
    <cellStyle name="Финансовый 2 2 2 2 9 10 4" xfId="31351"/>
    <cellStyle name="Финансовый 2 2 2 2 9 11" xfId="1847"/>
    <cellStyle name="Финансовый 2 2 2 2 9 11 2" xfId="16063"/>
    <cellStyle name="Финансовый 2 2 2 2 9 11 2 2" xfId="38378"/>
    <cellStyle name="Финансовый 2 2 2 2 9 11 3" xfId="10257"/>
    <cellStyle name="Финансовый 2 2 2 2 9 11 4" xfId="32572"/>
    <cellStyle name="Финансовый 2 2 2 2 9 12" xfId="2085"/>
    <cellStyle name="Финансовый 2 2 2 2 9 12 2" xfId="16259"/>
    <cellStyle name="Финансовый 2 2 2 2 9 12 2 2" xfId="38574"/>
    <cellStyle name="Финансовый 2 2 2 2 9 12 3" xfId="10453"/>
    <cellStyle name="Финансовый 2 2 2 2 9 12 4" xfId="32768"/>
    <cellStyle name="Финансовый 2 2 2 2 9 13" xfId="2320"/>
    <cellStyle name="Финансовый 2 2 2 2 9 13 2" xfId="16452"/>
    <cellStyle name="Финансовый 2 2 2 2 9 13 2 2" xfId="38767"/>
    <cellStyle name="Финансовый 2 2 2 2 9 13 3" xfId="10646"/>
    <cellStyle name="Финансовый 2 2 2 2 9 13 4" xfId="32961"/>
    <cellStyle name="Финансовый 2 2 2 2 9 14" xfId="2552"/>
    <cellStyle name="Финансовый 2 2 2 2 9 14 2" xfId="16642"/>
    <cellStyle name="Финансовый 2 2 2 2 9 14 2 2" xfId="38957"/>
    <cellStyle name="Финансовый 2 2 2 2 9 14 3" xfId="10836"/>
    <cellStyle name="Финансовый 2 2 2 2 9 14 4" xfId="33151"/>
    <cellStyle name="Финансовый 2 2 2 2 9 15" xfId="2777"/>
    <cellStyle name="Финансовый 2 2 2 2 9 15 2" xfId="16826"/>
    <cellStyle name="Финансовый 2 2 2 2 9 15 2 2" xfId="39141"/>
    <cellStyle name="Финансовый 2 2 2 2 9 15 3" xfId="11020"/>
    <cellStyle name="Финансовый 2 2 2 2 9 15 4" xfId="33335"/>
    <cellStyle name="Финансовый 2 2 2 2 9 16" xfId="2993"/>
    <cellStyle name="Финансовый 2 2 2 2 9 16 2" xfId="17002"/>
    <cellStyle name="Финансовый 2 2 2 2 9 16 2 2" xfId="39317"/>
    <cellStyle name="Финансовый 2 2 2 2 9 16 3" xfId="11196"/>
    <cellStyle name="Финансовый 2 2 2 2 9 16 4" xfId="33511"/>
    <cellStyle name="Финансовый 2 2 2 2 9 17" xfId="3199"/>
    <cellStyle name="Финансовый 2 2 2 2 9 17 2" xfId="17169"/>
    <cellStyle name="Финансовый 2 2 2 2 9 17 2 2" xfId="39484"/>
    <cellStyle name="Финансовый 2 2 2 2 9 17 3" xfId="11363"/>
    <cellStyle name="Финансовый 2 2 2 2 9 17 4" xfId="33678"/>
    <cellStyle name="Финансовый 2 2 2 2 9 18" xfId="3387"/>
    <cellStyle name="Финансовый 2 2 2 2 9 18 2" xfId="17318"/>
    <cellStyle name="Финансовый 2 2 2 2 9 18 2 2" xfId="39633"/>
    <cellStyle name="Финансовый 2 2 2 2 9 18 3" xfId="11512"/>
    <cellStyle name="Финансовый 2 2 2 2 9 18 4" xfId="33827"/>
    <cellStyle name="Финансовый 2 2 2 2 9 19" xfId="5620"/>
    <cellStyle name="Финансовый 2 2 2 2 9 19 2" xfId="18650"/>
    <cellStyle name="Финансовый 2 2 2 2 9 19 2 2" xfId="40965"/>
    <cellStyle name="Финансовый 2 2 2 2 9 19 3" xfId="12844"/>
    <cellStyle name="Финансовый 2 2 2 2 9 19 4" xfId="35159"/>
    <cellStyle name="Финансовый 2 2 2 2 9 2" xfId="398"/>
    <cellStyle name="Финансовый 2 2 2 2 9 2 10" xfId="3136"/>
    <cellStyle name="Финансовый 2 2 2 2 9 2 10 2" xfId="17111"/>
    <cellStyle name="Финансовый 2 2 2 2 9 2 10 2 2" xfId="39426"/>
    <cellStyle name="Финансовый 2 2 2 2 9 2 10 3" xfId="11305"/>
    <cellStyle name="Финансовый 2 2 2 2 9 2 10 4" xfId="33620"/>
    <cellStyle name="Финансовый 2 2 2 2 9 2 11" xfId="3331"/>
    <cellStyle name="Финансовый 2 2 2 2 9 2 11 2" xfId="17267"/>
    <cellStyle name="Финансовый 2 2 2 2 9 2 11 2 2" xfId="39582"/>
    <cellStyle name="Финансовый 2 2 2 2 9 2 11 3" xfId="11461"/>
    <cellStyle name="Финансовый 2 2 2 2 9 2 11 4" xfId="33776"/>
    <cellStyle name="Финансовый 2 2 2 2 9 2 12" xfId="3515"/>
    <cellStyle name="Финансовый 2 2 2 2 9 2 12 2" xfId="17412"/>
    <cellStyle name="Финансовый 2 2 2 2 9 2 12 2 2" xfId="39727"/>
    <cellStyle name="Финансовый 2 2 2 2 9 2 12 3" xfId="11606"/>
    <cellStyle name="Финансовый 2 2 2 2 9 2 12 4" xfId="33921"/>
    <cellStyle name="Финансовый 2 2 2 2 9 2 13" xfId="3681"/>
    <cellStyle name="Финансовый 2 2 2 2 9 2 13 2" xfId="17540"/>
    <cellStyle name="Финансовый 2 2 2 2 9 2 13 2 2" xfId="39855"/>
    <cellStyle name="Финансовый 2 2 2 2 9 2 13 3" xfId="11734"/>
    <cellStyle name="Финансовый 2 2 2 2 9 2 13 4" xfId="34049"/>
    <cellStyle name="Финансовый 2 2 2 2 9 2 14" xfId="3826"/>
    <cellStyle name="Финансовый 2 2 2 2 9 2 14 2" xfId="17648"/>
    <cellStyle name="Финансовый 2 2 2 2 9 2 14 2 2" xfId="39963"/>
    <cellStyle name="Финансовый 2 2 2 2 9 2 14 3" xfId="11842"/>
    <cellStyle name="Финансовый 2 2 2 2 9 2 14 4" xfId="34157"/>
    <cellStyle name="Финансовый 2 2 2 2 9 2 15" xfId="7655"/>
    <cellStyle name="Финансовый 2 2 2 2 9 2 15 2" xfId="19744"/>
    <cellStyle name="Финансовый 2 2 2 2 9 2 15 2 2" xfId="42059"/>
    <cellStyle name="Финансовый 2 2 2 2 9 2 15 3" xfId="13938"/>
    <cellStyle name="Финансовый 2 2 2 2 9 2 15 4" xfId="36253"/>
    <cellStyle name="Финансовый 2 2 2 2 9 2 16" xfId="4740"/>
    <cellStyle name="Финансовый 2 2 2 2 9 2 16 2" xfId="18169"/>
    <cellStyle name="Финансовый 2 2 2 2 9 2 16 2 2" xfId="40484"/>
    <cellStyle name="Финансовый 2 2 2 2 9 2 16 3" xfId="12363"/>
    <cellStyle name="Финансовый 2 2 2 2 9 2 16 4" xfId="34678"/>
    <cellStyle name="Финансовый 2 2 2 2 9 2 17" xfId="7418"/>
    <cellStyle name="Финансовый 2 2 2 2 9 2 17 2" xfId="19615"/>
    <cellStyle name="Финансовый 2 2 2 2 9 2 17 2 2" xfId="41930"/>
    <cellStyle name="Финансовый 2 2 2 2 9 2 17 3" xfId="13809"/>
    <cellStyle name="Финансовый 2 2 2 2 9 2 17 4" xfId="36124"/>
    <cellStyle name="Финансовый 2 2 2 2 9 2 18" xfId="14801"/>
    <cellStyle name="Финансовый 2 2 2 2 9 2 18 2" xfId="37116"/>
    <cellStyle name="Финансовый 2 2 2 2 9 2 19" xfId="8995"/>
    <cellStyle name="Финансовый 2 2 2 2 9 2 2" xfId="641"/>
    <cellStyle name="Финансовый 2 2 2 2 9 2 2 2" xfId="15020"/>
    <cellStyle name="Финансовый 2 2 2 2 9 2 2 2 2" xfId="37335"/>
    <cellStyle name="Финансовый 2 2 2 2 9 2 2 3" xfId="9214"/>
    <cellStyle name="Финансовый 2 2 2 2 9 2 2 4" xfId="31538"/>
    <cellStyle name="Финансовый 2 2 2 2 9 2 20" xfId="31328"/>
    <cellStyle name="Финансовый 2 2 2 2 9 2 3" xfId="1399"/>
    <cellStyle name="Финансовый 2 2 2 2 9 2 3 2" xfId="15645"/>
    <cellStyle name="Финансовый 2 2 2 2 9 2 3 2 2" xfId="37960"/>
    <cellStyle name="Финансовый 2 2 2 2 9 2 3 3" xfId="9839"/>
    <cellStyle name="Финансовый 2 2 2 2 9 2 3 4" xfId="32154"/>
    <cellStyle name="Финансовый 2 2 2 2 9 2 4" xfId="1768"/>
    <cellStyle name="Финансовый 2 2 2 2 9 2 4 2" xfId="15989"/>
    <cellStyle name="Финансовый 2 2 2 2 9 2 4 2 2" xfId="38304"/>
    <cellStyle name="Финансовый 2 2 2 2 9 2 4 3" xfId="10183"/>
    <cellStyle name="Финансовый 2 2 2 2 9 2 4 4" xfId="32498"/>
    <cellStyle name="Финансовый 2 2 2 2 9 2 5" xfId="2006"/>
    <cellStyle name="Финансовый 2 2 2 2 9 2 5 2" xfId="16185"/>
    <cellStyle name="Финансовый 2 2 2 2 9 2 5 2 2" xfId="38500"/>
    <cellStyle name="Финансовый 2 2 2 2 9 2 5 3" xfId="10379"/>
    <cellStyle name="Финансовый 2 2 2 2 9 2 5 4" xfId="32694"/>
    <cellStyle name="Финансовый 2 2 2 2 9 2 6" xfId="2242"/>
    <cellStyle name="Финансовый 2 2 2 2 9 2 6 2" xfId="16379"/>
    <cellStyle name="Финансовый 2 2 2 2 9 2 6 2 2" xfId="38694"/>
    <cellStyle name="Финансовый 2 2 2 2 9 2 6 3" xfId="10573"/>
    <cellStyle name="Финансовый 2 2 2 2 9 2 6 4" xfId="32888"/>
    <cellStyle name="Финансовый 2 2 2 2 9 2 7" xfId="2476"/>
    <cellStyle name="Финансовый 2 2 2 2 9 2 7 2" xfId="16571"/>
    <cellStyle name="Финансовый 2 2 2 2 9 2 7 2 2" xfId="38886"/>
    <cellStyle name="Финансовый 2 2 2 2 9 2 7 3" xfId="10765"/>
    <cellStyle name="Финансовый 2 2 2 2 9 2 7 4" xfId="33080"/>
    <cellStyle name="Финансовый 2 2 2 2 9 2 8" xfId="2705"/>
    <cellStyle name="Финансовый 2 2 2 2 9 2 8 2" xfId="16759"/>
    <cellStyle name="Финансовый 2 2 2 2 9 2 8 2 2" xfId="39074"/>
    <cellStyle name="Финансовый 2 2 2 2 9 2 8 3" xfId="10953"/>
    <cellStyle name="Финансовый 2 2 2 2 9 2 8 4" xfId="33268"/>
    <cellStyle name="Финансовый 2 2 2 2 9 2 9" xfId="2925"/>
    <cellStyle name="Финансовый 2 2 2 2 9 2 9 2" xfId="16939"/>
    <cellStyle name="Финансовый 2 2 2 2 9 2 9 2 2" xfId="39254"/>
    <cellStyle name="Финансовый 2 2 2 2 9 2 9 3" xfId="11133"/>
    <cellStyle name="Финансовый 2 2 2 2 9 2 9 4" xfId="33448"/>
    <cellStyle name="Финансовый 2 2 2 2 9 20" xfId="8616"/>
    <cellStyle name="Финансовый 2 2 2 2 9 20 2" xfId="20293"/>
    <cellStyle name="Финансовый 2 2 2 2 9 20 2 2" xfId="42608"/>
    <cellStyle name="Финансовый 2 2 2 2 9 20 3" xfId="14487"/>
    <cellStyle name="Финансовый 2 2 2 2 9 20 4" xfId="36802"/>
    <cellStyle name="Финансовый 2 2 2 2 9 21" xfId="4643"/>
    <cellStyle name="Финансовый 2 2 2 2 9 21 2" xfId="18113"/>
    <cellStyle name="Финансовый 2 2 2 2 9 21 2 2" xfId="40428"/>
    <cellStyle name="Финансовый 2 2 2 2 9 21 3" xfId="12307"/>
    <cellStyle name="Финансовый 2 2 2 2 9 21 4" xfId="34622"/>
    <cellStyle name="Финансовый 2 2 2 2 9 22" xfId="14587"/>
    <cellStyle name="Финансовый 2 2 2 2 9 22 2" xfId="36902"/>
    <cellStyle name="Финансовый 2 2 2 2 9 23" xfId="8781"/>
    <cellStyle name="Финансовый 2 2 2 2 9 24" xfId="31146"/>
    <cellStyle name="Финансовый 2 2 2 2 9 3" xfId="707"/>
    <cellStyle name="Финансовый 2 2 2 2 9 3 2" xfId="15086"/>
    <cellStyle name="Финансовый 2 2 2 2 9 3 2 2" xfId="37401"/>
    <cellStyle name="Финансовый 2 2 2 2 9 3 3" xfId="9280"/>
    <cellStyle name="Финансовый 2 2 2 2 9 3 4" xfId="31603"/>
    <cellStyle name="Финансовый 2 2 2 2 9 4" xfId="682"/>
    <cellStyle name="Финансовый 2 2 2 2 9 4 2" xfId="15061"/>
    <cellStyle name="Финансовый 2 2 2 2 9 4 2 2" xfId="37376"/>
    <cellStyle name="Финансовый 2 2 2 2 9 4 3" xfId="9255"/>
    <cellStyle name="Финансовый 2 2 2 2 9 4 4" xfId="31579"/>
    <cellStyle name="Финансовый 2 2 2 2 9 5" xfId="997"/>
    <cellStyle name="Финансовый 2 2 2 2 9 5 2" xfId="15310"/>
    <cellStyle name="Финансовый 2 2 2 2 9 5 2 2" xfId="37625"/>
    <cellStyle name="Финансовый 2 2 2 2 9 5 3" xfId="9504"/>
    <cellStyle name="Финансовый 2 2 2 2 9 5 4" xfId="31823"/>
    <cellStyle name="Финансовый 2 2 2 2 9 6" xfId="1022"/>
    <cellStyle name="Финансовый 2 2 2 2 9 6 2" xfId="15335"/>
    <cellStyle name="Финансовый 2 2 2 2 9 6 2 2" xfId="37650"/>
    <cellStyle name="Финансовый 2 2 2 2 9 6 3" xfId="9529"/>
    <cellStyle name="Финансовый 2 2 2 2 9 6 4" xfId="31848"/>
    <cellStyle name="Финансовый 2 2 2 2 9 7" xfId="509"/>
    <cellStyle name="Финансовый 2 2 2 2 9 7 2" xfId="14911"/>
    <cellStyle name="Финансовый 2 2 2 2 9 7 2 2" xfId="37226"/>
    <cellStyle name="Финансовый 2 2 2 2 9 7 3" xfId="9105"/>
    <cellStyle name="Финансовый 2 2 2 2 9 7 4" xfId="31438"/>
    <cellStyle name="Финансовый 2 2 2 2 9 8" xfId="1633"/>
    <cellStyle name="Финансовый 2 2 2 2 9 8 2" xfId="15866"/>
    <cellStyle name="Финансовый 2 2 2 2 9 8 2 2" xfId="38181"/>
    <cellStyle name="Финансовый 2 2 2 2 9 8 3" xfId="10060"/>
    <cellStyle name="Финансовый 2 2 2 2 9 8 4" xfId="32375"/>
    <cellStyle name="Финансовый 2 2 2 2 9 9" xfId="1390"/>
    <cellStyle name="Финансовый 2 2 2 2 9 9 2" xfId="15637"/>
    <cellStyle name="Финансовый 2 2 2 2 9 9 2 2" xfId="37952"/>
    <cellStyle name="Финансовый 2 2 2 2 9 9 3" xfId="9831"/>
    <cellStyle name="Финансовый 2 2 2 2 9 9 4" xfId="32146"/>
    <cellStyle name="Финансовый 2 2 2 20" xfId="102"/>
    <cellStyle name="Финансовый 2 2 2 21" xfId="107"/>
    <cellStyle name="Финансовый 2 2 2 22" xfId="112"/>
    <cellStyle name="Финансовый 2 2 2 23" xfId="117"/>
    <cellStyle name="Финансовый 2 2 2 24" xfId="122"/>
    <cellStyle name="Финансовый 2 2 2 25" xfId="127"/>
    <cellStyle name="Финансовый 2 2 2 26" xfId="132"/>
    <cellStyle name="Финансовый 2 2 2 27" xfId="137"/>
    <cellStyle name="Финансовый 2 2 2 28" xfId="142"/>
    <cellStyle name="Финансовый 2 2 2 29" xfId="147"/>
    <cellStyle name="Финансовый 2 2 2 3" xfId="18"/>
    <cellStyle name="Финансовый 2 2 2 30" xfId="152"/>
    <cellStyle name="Финансовый 2 2 2 31" xfId="157"/>
    <cellStyle name="Финансовый 2 2 2 32" xfId="162"/>
    <cellStyle name="Финансовый 2 2 2 33" xfId="167"/>
    <cellStyle name="Финансовый 2 2 2 34" xfId="172"/>
    <cellStyle name="Финансовый 2 2 2 35" xfId="177"/>
    <cellStyle name="Финансовый 2 2 2 36" xfId="182"/>
    <cellStyle name="Финансовый 2 2 2 37" xfId="187"/>
    <cellStyle name="Финансовый 2 2 2 38" xfId="191"/>
    <cellStyle name="Финансовый 2 2 2 39" xfId="195"/>
    <cellStyle name="Финансовый 2 2 2 4" xfId="22"/>
    <cellStyle name="Финансовый 2 2 2 40" xfId="199"/>
    <cellStyle name="Финансовый 2 2 2 41" xfId="207"/>
    <cellStyle name="Финансовый 2 2 2 41 2" xfId="765"/>
    <cellStyle name="Финансовый 2 2 2 41 2 2" xfId="770"/>
    <cellStyle name="Финансовый 2 2 2 41 2 3" xfId="885"/>
    <cellStyle name="Финансовый 2 2 2 41 2 4" xfId="943"/>
    <cellStyle name="Финансовый 2 2 2 41 2 5" xfId="1101"/>
    <cellStyle name="Финансовый 2 2 2 41 2 6" xfId="1159"/>
    <cellStyle name="Финансовый 2 2 2 41 2 7" xfId="15142"/>
    <cellStyle name="Финансовый 2 2 2 41 2 7 2" xfId="37457"/>
    <cellStyle name="Финансовый 2 2 2 41 2 8" xfId="9336"/>
    <cellStyle name="Финансовый 2 2 2 41 2 9" xfId="31659"/>
    <cellStyle name="Финансовый 2 2 2 41 3" xfId="811"/>
    <cellStyle name="Финансовый 2 2 2 41 4" xfId="822"/>
    <cellStyle name="Финансовый 2 2 2 41 5" xfId="880"/>
    <cellStyle name="Финансовый 2 2 2 41 5 2" xfId="15219"/>
    <cellStyle name="Финансовый 2 2 2 41 5 2 2" xfId="37534"/>
    <cellStyle name="Финансовый 2 2 2 41 5 3" xfId="9413"/>
    <cellStyle name="Финансовый 2 2 2 41 5 4" xfId="31735"/>
    <cellStyle name="Финансовый 2 2 2 41 6" xfId="938"/>
    <cellStyle name="Финансовый 2 2 2 41 6 2" xfId="15265"/>
    <cellStyle name="Финансовый 2 2 2 41 6 2 2" xfId="37580"/>
    <cellStyle name="Финансовый 2 2 2 41 6 3" xfId="9459"/>
    <cellStyle name="Финансовый 2 2 2 41 6 4" xfId="31779"/>
    <cellStyle name="Финансовый 2 2 2 41 7" xfId="1096"/>
    <cellStyle name="Финансовый 2 2 2 41 7 2" xfId="15408"/>
    <cellStyle name="Финансовый 2 2 2 41 7 2 2" xfId="37723"/>
    <cellStyle name="Финансовый 2 2 2 41 7 3" xfId="9602"/>
    <cellStyle name="Финансовый 2 2 2 41 7 4" xfId="31921"/>
    <cellStyle name="Финансовый 2 2 2 41 8" xfId="1154"/>
    <cellStyle name="Финансовый 2 2 2 41 8 2" xfId="15454"/>
    <cellStyle name="Финансовый 2 2 2 41 8 2 2" xfId="37769"/>
    <cellStyle name="Финансовый 2 2 2 41 8 3" xfId="9648"/>
    <cellStyle name="Финансовый 2 2 2 41 8 4" xfId="31965"/>
    <cellStyle name="Финансовый 2 2 2 42" xfId="353"/>
    <cellStyle name="Финансовый 2 2 2 42 2" xfId="803"/>
    <cellStyle name="Финансовый 2 2 2 42 2 2" xfId="15151"/>
    <cellStyle name="Финансовый 2 2 2 42 2 2 2" xfId="37466"/>
    <cellStyle name="Финансовый 2 2 2 42 2 3" xfId="9345"/>
    <cellStyle name="Финансовый 2 2 2 42 2 4" xfId="31667"/>
    <cellStyle name="Финансовый 2 2 2 42 3" xfId="905"/>
    <cellStyle name="Финансовый 2 2 2 42 3 2" xfId="15234"/>
    <cellStyle name="Финансовый 2 2 2 42 3 2 2" xfId="37549"/>
    <cellStyle name="Финансовый 2 2 2 42 3 3" xfId="9428"/>
    <cellStyle name="Финансовый 2 2 2 42 3 4" xfId="31748"/>
    <cellStyle name="Финансовый 2 2 2 42 4" xfId="953"/>
    <cellStyle name="Финансовый 2 2 2 42 4 2" xfId="15271"/>
    <cellStyle name="Финансовый 2 2 2 42 4 2 2" xfId="37586"/>
    <cellStyle name="Финансовый 2 2 2 42 4 3" xfId="9465"/>
    <cellStyle name="Финансовый 2 2 2 42 4 4" xfId="31785"/>
    <cellStyle name="Финансовый 2 2 2 42 5" xfId="1121"/>
    <cellStyle name="Финансовый 2 2 2 42 5 2" xfId="15423"/>
    <cellStyle name="Финансовый 2 2 2 42 5 2 2" xfId="37738"/>
    <cellStyle name="Финансовый 2 2 2 42 5 3" xfId="9617"/>
    <cellStyle name="Финансовый 2 2 2 42 5 4" xfId="31934"/>
    <cellStyle name="Финансовый 2 2 2 42 6" xfId="1169"/>
    <cellStyle name="Финансовый 2 2 2 42 6 2" xfId="15461"/>
    <cellStyle name="Финансовый 2 2 2 42 6 2 2" xfId="37776"/>
    <cellStyle name="Финансовый 2 2 2 42 6 3" xfId="9655"/>
    <cellStyle name="Финансовый 2 2 2 42 6 4" xfId="31971"/>
    <cellStyle name="Финансовый 2 2 2 42 7" xfId="14755"/>
    <cellStyle name="Финансовый 2 2 2 42 7 2" xfId="37070"/>
    <cellStyle name="Финансовый 2 2 2 42 8" xfId="8949"/>
    <cellStyle name="Финансовый 2 2 2 42 9" xfId="31283"/>
    <cellStyle name="Финансовый 2 2 2 43" xfId="559"/>
    <cellStyle name="Финансовый 2 2 2 43 2" xfId="804"/>
    <cellStyle name="Финансовый 2 2 2 43 2 2" xfId="15152"/>
    <cellStyle name="Финансовый 2 2 2 43 2 2 2" xfId="37467"/>
    <cellStyle name="Финансовый 2 2 2 43 2 3" xfId="9346"/>
    <cellStyle name="Финансовый 2 2 2 43 2 4" xfId="31668"/>
    <cellStyle name="Финансовый 2 2 2 43 3" xfId="907"/>
    <cellStyle name="Финансовый 2 2 2 43 3 2" xfId="15236"/>
    <cellStyle name="Финансовый 2 2 2 43 3 2 2" xfId="37551"/>
    <cellStyle name="Финансовый 2 2 2 43 3 3" xfId="9430"/>
    <cellStyle name="Финансовый 2 2 2 43 3 4" xfId="31750"/>
    <cellStyle name="Финансовый 2 2 2 43 4" xfId="954"/>
    <cellStyle name="Финансовый 2 2 2 43 4 2" xfId="15272"/>
    <cellStyle name="Финансовый 2 2 2 43 4 2 2" xfId="37587"/>
    <cellStyle name="Финансовый 2 2 2 43 4 3" xfId="9466"/>
    <cellStyle name="Финансовый 2 2 2 43 4 4" xfId="31786"/>
    <cellStyle name="Финансовый 2 2 2 43 5" xfId="1123"/>
    <cellStyle name="Финансовый 2 2 2 43 5 2" xfId="15425"/>
    <cellStyle name="Финансовый 2 2 2 43 5 2 2" xfId="37740"/>
    <cellStyle name="Финансовый 2 2 2 43 5 3" xfId="9619"/>
    <cellStyle name="Финансовый 2 2 2 43 5 4" xfId="31936"/>
    <cellStyle name="Финансовый 2 2 2 43 6" xfId="1170"/>
    <cellStyle name="Финансовый 2 2 2 43 6 2" xfId="15462"/>
    <cellStyle name="Финансовый 2 2 2 43 6 2 2" xfId="37777"/>
    <cellStyle name="Финансовый 2 2 2 43 6 3" xfId="9656"/>
    <cellStyle name="Финансовый 2 2 2 43 6 4" xfId="31972"/>
    <cellStyle name="Финансовый 2 2 2 43 7" xfId="14957"/>
    <cellStyle name="Финансовый 2 2 2 43 7 2" xfId="37272"/>
    <cellStyle name="Финансовый 2 2 2 43 8" xfId="9151"/>
    <cellStyle name="Финансовый 2 2 2 43 9" xfId="31484"/>
    <cellStyle name="Финансовый 2 2 2 44" xfId="568"/>
    <cellStyle name="Финансовый 2 2 2 44 2" xfId="14962"/>
    <cellStyle name="Финансовый 2 2 2 44 2 2" xfId="37277"/>
    <cellStyle name="Финансовый 2 2 2 44 3" xfId="9156"/>
    <cellStyle name="Финансовый 2 2 2 44 4" xfId="31488"/>
    <cellStyle name="Финансовый 2 2 2 45" xfId="580"/>
    <cellStyle name="Финансовый 2 2 2 46" xfId="581"/>
    <cellStyle name="Финансовый 2 2 2 47" xfId="604"/>
    <cellStyle name="Финансовый 2 2 2 48" xfId="775"/>
    <cellStyle name="Финансовый 2 2 2 49" xfId="608"/>
    <cellStyle name="Финансовый 2 2 2 5" xfId="27"/>
    <cellStyle name="Финансовый 2 2 2 50" xfId="966"/>
    <cellStyle name="Финансовый 2 2 2 51" xfId="973"/>
    <cellStyle name="Финансовый 2 2 2 52" xfId="351"/>
    <cellStyle name="Финансовый 2 2 2 52 2" xfId="14754"/>
    <cellStyle name="Финансовый 2 2 2 52 2 2" xfId="37069"/>
    <cellStyle name="Финансовый 2 2 2 52 3" xfId="8948"/>
    <cellStyle name="Финансовый 2 2 2 52 4" xfId="31282"/>
    <cellStyle name="Финансовый 2 2 2 53" xfId="1565"/>
    <cellStyle name="Финансовый 2 2 2 53 2" xfId="15804"/>
    <cellStyle name="Финансовый 2 2 2 53 2 2" xfId="38119"/>
    <cellStyle name="Финансовый 2 2 2 53 3" xfId="9998"/>
    <cellStyle name="Финансовый 2 2 2 53 4" xfId="32313"/>
    <cellStyle name="Финансовый 2 2 2 54" xfId="1249"/>
    <cellStyle name="Финансовый 2 2 2 54 2" xfId="15509"/>
    <cellStyle name="Финансовый 2 2 2 54 2 2" xfId="37824"/>
    <cellStyle name="Финансовый 2 2 2 54 3" xfId="9703"/>
    <cellStyle name="Финансовый 2 2 2 54 4" xfId="32018"/>
    <cellStyle name="Финансовый 2 2 2 55" xfId="1673"/>
    <cellStyle name="Финансовый 2 2 2 55 2" xfId="15902"/>
    <cellStyle name="Финансовый 2 2 2 55 2 2" xfId="38217"/>
    <cellStyle name="Финансовый 2 2 2 55 3" xfId="10096"/>
    <cellStyle name="Финансовый 2 2 2 55 4" xfId="32411"/>
    <cellStyle name="Финансовый 2 2 2 56" xfId="445"/>
    <cellStyle name="Финансовый 2 2 2 56 2" xfId="14848"/>
    <cellStyle name="Финансовый 2 2 2 56 2 2" xfId="37163"/>
    <cellStyle name="Финансовый 2 2 2 56 3" xfId="9042"/>
    <cellStyle name="Финансовый 2 2 2 56 4" xfId="31375"/>
    <cellStyle name="Финансовый 2 2 2 57" xfId="1557"/>
    <cellStyle name="Финансовый 2 2 2 57 2" xfId="15797"/>
    <cellStyle name="Финансовый 2 2 2 57 2 2" xfId="38112"/>
    <cellStyle name="Финансовый 2 2 2 57 3" xfId="9991"/>
    <cellStyle name="Финансовый 2 2 2 57 4" xfId="32306"/>
    <cellStyle name="Финансовый 2 2 2 58" xfId="1284"/>
    <cellStyle name="Финансовый 2 2 2 58 2" xfId="15542"/>
    <cellStyle name="Финансовый 2 2 2 58 2 2" xfId="37857"/>
    <cellStyle name="Финансовый 2 2 2 58 3" xfId="9736"/>
    <cellStyle name="Финансовый 2 2 2 58 4" xfId="32051"/>
    <cellStyle name="Финансовый 2 2 2 59" xfId="1800"/>
    <cellStyle name="Финансовый 2 2 2 59 2" xfId="16019"/>
    <cellStyle name="Финансовый 2 2 2 59 2 2" xfId="38334"/>
    <cellStyle name="Финансовый 2 2 2 59 3" xfId="10213"/>
    <cellStyle name="Финансовый 2 2 2 59 4" xfId="32528"/>
    <cellStyle name="Финансовый 2 2 2 6" xfId="32"/>
    <cellStyle name="Финансовый 2 2 2 60" xfId="2038"/>
    <cellStyle name="Финансовый 2 2 2 60 2" xfId="16215"/>
    <cellStyle name="Финансовый 2 2 2 60 2 2" xfId="38530"/>
    <cellStyle name="Финансовый 2 2 2 60 3" xfId="10409"/>
    <cellStyle name="Финансовый 2 2 2 60 4" xfId="32724"/>
    <cellStyle name="Финансовый 2 2 2 61" xfId="2273"/>
    <cellStyle name="Финансовый 2 2 2 61 2" xfId="16408"/>
    <cellStyle name="Финансовый 2 2 2 61 2 2" xfId="38723"/>
    <cellStyle name="Финансовый 2 2 2 61 3" xfId="10602"/>
    <cellStyle name="Финансовый 2 2 2 61 4" xfId="32917"/>
    <cellStyle name="Финансовый 2 2 2 62" xfId="2507"/>
    <cellStyle name="Финансовый 2 2 2 62 2" xfId="16600"/>
    <cellStyle name="Финансовый 2 2 2 62 2 2" xfId="38915"/>
    <cellStyle name="Финансовый 2 2 2 62 3" xfId="10794"/>
    <cellStyle name="Финансовый 2 2 2 62 4" xfId="33109"/>
    <cellStyle name="Финансовый 2 2 2 63" xfId="2734"/>
    <cellStyle name="Финансовый 2 2 2 63 2" xfId="16786"/>
    <cellStyle name="Финансовый 2 2 2 63 2 2" xfId="39101"/>
    <cellStyle name="Финансовый 2 2 2 63 3" xfId="10980"/>
    <cellStyle name="Финансовый 2 2 2 63 4" xfId="33295"/>
    <cellStyle name="Финансовый 2 2 2 64" xfId="4449"/>
    <cellStyle name="Финансовый 2 2 2 64 2" xfId="18013"/>
    <cellStyle name="Финансовый 2 2 2 64 2 2" xfId="40328"/>
    <cellStyle name="Финансовый 2 2 2 64 3" xfId="12207"/>
    <cellStyle name="Финансовый 2 2 2 64 4" xfId="34522"/>
    <cellStyle name="Финансовый 2 2 2 65" xfId="6753"/>
    <cellStyle name="Финансовый 2 2 2 65 2" xfId="19253"/>
    <cellStyle name="Финансовый 2 2 2 65 2 2" xfId="41568"/>
    <cellStyle name="Финансовый 2 2 2 65 3" xfId="13447"/>
    <cellStyle name="Финансовый 2 2 2 65 4" xfId="35762"/>
    <cellStyle name="Финансовый 2 2 2 66" xfId="7964"/>
    <cellStyle name="Финансовый 2 2 2 66 2" xfId="19918"/>
    <cellStyle name="Финансовый 2 2 2 66 2 2" xfId="42233"/>
    <cellStyle name="Финансовый 2 2 2 66 3" xfId="14112"/>
    <cellStyle name="Финансовый 2 2 2 66 4" xfId="36427"/>
    <cellStyle name="Финансовый 2 2 2 67" xfId="14565"/>
    <cellStyle name="Финансовый 2 2 2 67 2" xfId="36880"/>
    <cellStyle name="Финансовый 2 2 2 68" xfId="8759"/>
    <cellStyle name="Финансовый 2 2 2 69" xfId="31129"/>
    <cellStyle name="Финансовый 2 2 2 7" xfId="37"/>
    <cellStyle name="Финансовый 2 2 2 8" xfId="41"/>
    <cellStyle name="Финансовый 2 2 2 9" xfId="45"/>
    <cellStyle name="Финансовый 2 2 20" xfId="100"/>
    <cellStyle name="Финансовый 2 2 20 10" xfId="1845"/>
    <cellStyle name="Финансовый 2 2 20 10 2" xfId="16061"/>
    <cellStyle name="Финансовый 2 2 20 10 2 2" xfId="38376"/>
    <cellStyle name="Финансовый 2 2 20 10 3" xfId="10255"/>
    <cellStyle name="Финансовый 2 2 20 10 4" xfId="32570"/>
    <cellStyle name="Финансовый 2 2 20 11" xfId="2083"/>
    <cellStyle name="Финансовый 2 2 20 11 2" xfId="16257"/>
    <cellStyle name="Финансовый 2 2 20 11 2 2" xfId="38572"/>
    <cellStyle name="Финансовый 2 2 20 11 3" xfId="10451"/>
    <cellStyle name="Финансовый 2 2 20 11 4" xfId="32766"/>
    <cellStyle name="Финансовый 2 2 20 12" xfId="2318"/>
    <cellStyle name="Финансовый 2 2 20 12 2" xfId="16450"/>
    <cellStyle name="Финансовый 2 2 20 12 2 2" xfId="38765"/>
    <cellStyle name="Финансовый 2 2 20 12 3" xfId="10644"/>
    <cellStyle name="Финансовый 2 2 20 12 4" xfId="32959"/>
    <cellStyle name="Финансовый 2 2 20 13" xfId="2550"/>
    <cellStyle name="Финансовый 2 2 20 13 2" xfId="16640"/>
    <cellStyle name="Финансовый 2 2 20 13 2 2" xfId="38955"/>
    <cellStyle name="Финансовый 2 2 20 13 3" xfId="10834"/>
    <cellStyle name="Финансовый 2 2 20 13 4" xfId="33149"/>
    <cellStyle name="Финансовый 2 2 20 14" xfId="2775"/>
    <cellStyle name="Финансовый 2 2 20 14 2" xfId="16824"/>
    <cellStyle name="Финансовый 2 2 20 14 2 2" xfId="39139"/>
    <cellStyle name="Финансовый 2 2 20 14 3" xfId="11018"/>
    <cellStyle name="Финансовый 2 2 20 14 4" xfId="33333"/>
    <cellStyle name="Финансовый 2 2 20 15" xfId="2992"/>
    <cellStyle name="Финансовый 2 2 20 15 2" xfId="17001"/>
    <cellStyle name="Финансовый 2 2 20 15 2 2" xfId="39316"/>
    <cellStyle name="Финансовый 2 2 20 15 3" xfId="11195"/>
    <cellStyle name="Финансовый 2 2 20 15 4" xfId="33510"/>
    <cellStyle name="Финансовый 2 2 20 16" xfId="3198"/>
    <cellStyle name="Финансовый 2 2 20 16 2" xfId="17168"/>
    <cellStyle name="Финансовый 2 2 20 16 2 2" xfId="39483"/>
    <cellStyle name="Финансовый 2 2 20 16 3" xfId="11362"/>
    <cellStyle name="Финансовый 2 2 20 16 4" xfId="33677"/>
    <cellStyle name="Финансовый 2 2 20 17" xfId="3386"/>
    <cellStyle name="Финансовый 2 2 20 17 2" xfId="17317"/>
    <cellStyle name="Финансовый 2 2 20 17 2 2" xfId="39632"/>
    <cellStyle name="Финансовый 2 2 20 17 3" xfId="11511"/>
    <cellStyle name="Финансовый 2 2 20 17 4" xfId="33826"/>
    <cellStyle name="Финансовый 2 2 20 18" xfId="3564"/>
    <cellStyle name="Финансовый 2 2 20 18 2" xfId="17457"/>
    <cellStyle name="Финансовый 2 2 20 18 2 2" xfId="39772"/>
    <cellStyle name="Финансовый 2 2 20 18 3" xfId="11651"/>
    <cellStyle name="Финансовый 2 2 20 18 4" xfId="33966"/>
    <cellStyle name="Финансовый 2 2 20 19" xfId="5271"/>
    <cellStyle name="Финансовый 2 2 20 19 2" xfId="18456"/>
    <cellStyle name="Финансовый 2 2 20 19 2 2" xfId="40771"/>
    <cellStyle name="Финансовый 2 2 20 19 3" xfId="12650"/>
    <cellStyle name="Финансовый 2 2 20 19 4" xfId="34965"/>
    <cellStyle name="Финансовый 2 2 20 2" xfId="443"/>
    <cellStyle name="Финансовый 2 2 20 2 10" xfId="2985"/>
    <cellStyle name="Финансовый 2 2 20 2 10 2" xfId="16995"/>
    <cellStyle name="Финансовый 2 2 20 2 10 2 2" xfId="39310"/>
    <cellStyle name="Финансовый 2 2 20 2 10 3" xfId="11189"/>
    <cellStyle name="Финансовый 2 2 20 2 10 4" xfId="33504"/>
    <cellStyle name="Финансовый 2 2 20 2 11" xfId="3191"/>
    <cellStyle name="Финансовый 2 2 20 2 11 2" xfId="17162"/>
    <cellStyle name="Финансовый 2 2 20 2 11 2 2" xfId="39477"/>
    <cellStyle name="Финансовый 2 2 20 2 11 3" xfId="11356"/>
    <cellStyle name="Финансовый 2 2 20 2 11 4" xfId="33671"/>
    <cellStyle name="Финансовый 2 2 20 2 12" xfId="3379"/>
    <cellStyle name="Финансовый 2 2 20 2 12 2" xfId="17311"/>
    <cellStyle name="Финансовый 2 2 20 2 12 2 2" xfId="39626"/>
    <cellStyle name="Финансовый 2 2 20 2 12 3" xfId="11505"/>
    <cellStyle name="Финансовый 2 2 20 2 12 4" xfId="33820"/>
    <cellStyle name="Финансовый 2 2 20 2 13" xfId="3558"/>
    <cellStyle name="Финансовый 2 2 20 2 13 2" xfId="17452"/>
    <cellStyle name="Финансовый 2 2 20 2 13 2 2" xfId="39767"/>
    <cellStyle name="Финансовый 2 2 20 2 13 3" xfId="11646"/>
    <cellStyle name="Финансовый 2 2 20 2 13 4" xfId="33961"/>
    <cellStyle name="Финансовый 2 2 20 2 14" xfId="3718"/>
    <cellStyle name="Финансовый 2 2 20 2 14 2" xfId="17574"/>
    <cellStyle name="Финансовый 2 2 20 2 14 2 2" xfId="39889"/>
    <cellStyle name="Финансовый 2 2 20 2 14 3" xfId="11768"/>
    <cellStyle name="Финансовый 2 2 20 2 14 4" xfId="34083"/>
    <cellStyle name="Финансовый 2 2 20 2 15" xfId="6412"/>
    <cellStyle name="Финансовый 2 2 20 2 15 2" xfId="19072"/>
    <cellStyle name="Финансовый 2 2 20 2 15 2 2" xfId="41387"/>
    <cellStyle name="Финансовый 2 2 20 2 15 3" xfId="13266"/>
    <cellStyle name="Финансовый 2 2 20 2 15 4" xfId="35581"/>
    <cellStyle name="Финансовый 2 2 20 2 16" xfId="7276"/>
    <cellStyle name="Финансовый 2 2 20 2 16 2" xfId="19541"/>
    <cellStyle name="Финансовый 2 2 20 2 16 2 2" xfId="41856"/>
    <cellStyle name="Финансовый 2 2 20 2 16 3" xfId="13735"/>
    <cellStyle name="Финансовый 2 2 20 2 16 4" xfId="36050"/>
    <cellStyle name="Финансовый 2 2 20 2 17" xfId="8336"/>
    <cellStyle name="Финансовый 2 2 20 2 17 2" xfId="20132"/>
    <cellStyle name="Финансовый 2 2 20 2 17 2 2" xfId="42447"/>
    <cellStyle name="Финансовый 2 2 20 2 17 3" xfId="14326"/>
    <cellStyle name="Финансовый 2 2 20 2 17 4" xfId="36641"/>
    <cellStyle name="Финансовый 2 2 20 2 18" xfId="14846"/>
    <cellStyle name="Финансовый 2 2 20 2 18 2" xfId="37161"/>
    <cellStyle name="Финансовый 2 2 20 2 19" xfId="9040"/>
    <cellStyle name="Финансовый 2 2 20 2 2" xfId="679"/>
    <cellStyle name="Финансовый 2 2 20 2 2 2" xfId="15058"/>
    <cellStyle name="Финансовый 2 2 20 2 2 2 2" xfId="37373"/>
    <cellStyle name="Финансовый 2 2 20 2 2 3" xfId="9252"/>
    <cellStyle name="Финансовый 2 2 20 2 2 4" xfId="31576"/>
    <cellStyle name="Финансовый 2 2 20 2 20" xfId="31373"/>
    <cellStyle name="Финансовый 2 2 20 2 3" xfId="1435"/>
    <cellStyle name="Финансовый 2 2 20 2 3 2" xfId="15678"/>
    <cellStyle name="Финансовый 2 2 20 2 3 2 2" xfId="37993"/>
    <cellStyle name="Финансовый 2 2 20 2 3 3" xfId="9872"/>
    <cellStyle name="Финансовый 2 2 20 2 3 4" xfId="32187"/>
    <cellStyle name="Финансовый 2 2 20 2 4" xfId="1609"/>
    <cellStyle name="Финансовый 2 2 20 2 4 2" xfId="15843"/>
    <cellStyle name="Финансовый 2 2 20 2 4 2 2" xfId="38158"/>
    <cellStyle name="Финансовый 2 2 20 2 4 3" xfId="10037"/>
    <cellStyle name="Финансовый 2 2 20 2 4 4" xfId="32352"/>
    <cellStyle name="Финансовый 2 2 20 2 5" xfId="1838"/>
    <cellStyle name="Финансовый 2 2 20 2 5 2" xfId="16055"/>
    <cellStyle name="Финансовый 2 2 20 2 5 2 2" xfId="38370"/>
    <cellStyle name="Финансовый 2 2 20 2 5 3" xfId="10249"/>
    <cellStyle name="Финансовый 2 2 20 2 5 4" xfId="32564"/>
    <cellStyle name="Финансовый 2 2 20 2 6" xfId="2076"/>
    <cellStyle name="Финансовый 2 2 20 2 6 2" xfId="16251"/>
    <cellStyle name="Финансовый 2 2 20 2 6 2 2" xfId="38566"/>
    <cellStyle name="Финансовый 2 2 20 2 6 3" xfId="10445"/>
    <cellStyle name="Финансовый 2 2 20 2 6 4" xfId="32760"/>
    <cellStyle name="Финансовый 2 2 20 2 7" xfId="2311"/>
    <cellStyle name="Финансовый 2 2 20 2 7 2" xfId="16444"/>
    <cellStyle name="Финансовый 2 2 20 2 7 2 2" xfId="38759"/>
    <cellStyle name="Финансовый 2 2 20 2 7 3" xfId="10638"/>
    <cellStyle name="Финансовый 2 2 20 2 7 4" xfId="32953"/>
    <cellStyle name="Финансовый 2 2 20 2 8" xfId="2543"/>
    <cellStyle name="Финансовый 2 2 20 2 8 2" xfId="16634"/>
    <cellStyle name="Финансовый 2 2 20 2 8 2 2" xfId="38949"/>
    <cellStyle name="Финансовый 2 2 20 2 8 3" xfId="10828"/>
    <cellStyle name="Финансовый 2 2 20 2 8 4" xfId="33143"/>
    <cellStyle name="Финансовый 2 2 20 2 9" xfId="2768"/>
    <cellStyle name="Финансовый 2 2 20 2 9 2" xfId="16818"/>
    <cellStyle name="Финансовый 2 2 20 2 9 2 2" xfId="39133"/>
    <cellStyle name="Финансовый 2 2 20 2 9 3" xfId="11012"/>
    <cellStyle name="Финансовый 2 2 20 2 9 4" xfId="33327"/>
    <cellStyle name="Финансовый 2 2 20 20" xfId="5535"/>
    <cellStyle name="Финансовый 2 2 20 20 2" xfId="18605"/>
    <cellStyle name="Финансовый 2 2 20 20 2 2" xfId="40920"/>
    <cellStyle name="Финансовый 2 2 20 20 3" xfId="12799"/>
    <cellStyle name="Финансовый 2 2 20 20 4" xfId="35114"/>
    <cellStyle name="Финансовый 2 2 20 21" xfId="7971"/>
    <cellStyle name="Финансовый 2 2 20 21 2" xfId="19924"/>
    <cellStyle name="Финансовый 2 2 20 21 2 2" xfId="42239"/>
    <cellStyle name="Финансовый 2 2 20 21 3" xfId="14118"/>
    <cellStyle name="Финансовый 2 2 20 21 4" xfId="36433"/>
    <cellStyle name="Финансовый 2 2 20 22" xfId="14622"/>
    <cellStyle name="Финансовый 2 2 20 22 2" xfId="36937"/>
    <cellStyle name="Финансовый 2 2 20 23" xfId="8816"/>
    <cellStyle name="Финансовый 2 2 20 24" xfId="31163"/>
    <cellStyle name="Финансовый 2 2 20 3" xfId="666"/>
    <cellStyle name="Финансовый 2 2 20 3 2" xfId="15045"/>
    <cellStyle name="Финансовый 2 2 20 3 2 2" xfId="37360"/>
    <cellStyle name="Финансовый 2 2 20 3 3" xfId="9239"/>
    <cellStyle name="Финансовый 2 2 20 3 4" xfId="31563"/>
    <cellStyle name="Финансовый 2 2 20 4" xfId="617"/>
    <cellStyle name="Финансовый 2 2 20 4 2" xfId="14997"/>
    <cellStyle name="Финансовый 2 2 20 4 2 2" xfId="37312"/>
    <cellStyle name="Финансовый 2 2 20 4 3" xfId="9191"/>
    <cellStyle name="Финансовый 2 2 20 4 4" xfId="31516"/>
    <cellStyle name="Финансовый 2 2 20 5" xfId="1025"/>
    <cellStyle name="Финансовый 2 2 20 5 2" xfId="15338"/>
    <cellStyle name="Финансовый 2 2 20 5 2 2" xfId="37653"/>
    <cellStyle name="Финансовый 2 2 20 5 3" xfId="9532"/>
    <cellStyle name="Финансовый 2 2 20 5 4" xfId="31851"/>
    <cellStyle name="Финансовый 2 2 20 6" xfId="987"/>
    <cellStyle name="Финансовый 2 2 20 6 2" xfId="15300"/>
    <cellStyle name="Финансовый 2 2 20 6 2 2" xfId="37615"/>
    <cellStyle name="Финансовый 2 2 20 6 3" xfId="9494"/>
    <cellStyle name="Финансовый 2 2 20 6 4" xfId="31813"/>
    <cellStyle name="Финансовый 2 2 20 7" xfId="452"/>
    <cellStyle name="Финансовый 2 2 20 7 2" xfId="14855"/>
    <cellStyle name="Финансовый 2 2 20 7 2 2" xfId="37170"/>
    <cellStyle name="Финансовый 2 2 20 7 3" xfId="9049"/>
    <cellStyle name="Финансовый 2 2 20 7 4" xfId="31382"/>
    <cellStyle name="Финансовый 2 2 20 8" xfId="481"/>
    <cellStyle name="Финансовый 2 2 20 8 2" xfId="14883"/>
    <cellStyle name="Финансовый 2 2 20 8 2 2" xfId="37198"/>
    <cellStyle name="Финансовый 2 2 20 8 3" xfId="9077"/>
    <cellStyle name="Финансовый 2 2 20 8 4" xfId="31410"/>
    <cellStyle name="Финансовый 2 2 20 9" xfId="1473"/>
    <cellStyle name="Финансовый 2 2 20 9 2" xfId="15715"/>
    <cellStyle name="Финансовый 2 2 20 9 2 2" xfId="38030"/>
    <cellStyle name="Финансовый 2 2 20 9 3" xfId="9909"/>
    <cellStyle name="Финансовый 2 2 20 9 4" xfId="32224"/>
    <cellStyle name="Финансовый 2 2 21" xfId="105"/>
    <cellStyle name="Финансовый 2 2 21 10" xfId="1901"/>
    <cellStyle name="Финансовый 2 2 21 10 2" xfId="16114"/>
    <cellStyle name="Финансовый 2 2 21 10 2 2" xfId="38429"/>
    <cellStyle name="Финансовый 2 2 21 10 3" xfId="10308"/>
    <cellStyle name="Финансовый 2 2 21 10 4" xfId="32623"/>
    <cellStyle name="Финансовый 2 2 21 11" xfId="2139"/>
    <cellStyle name="Финансовый 2 2 21 11 2" xfId="16310"/>
    <cellStyle name="Финансовый 2 2 21 11 2 2" xfId="38625"/>
    <cellStyle name="Финансовый 2 2 21 11 3" xfId="10504"/>
    <cellStyle name="Финансовый 2 2 21 11 4" xfId="32819"/>
    <cellStyle name="Финансовый 2 2 21 12" xfId="2374"/>
    <cellStyle name="Финансовый 2 2 21 12 2" xfId="16503"/>
    <cellStyle name="Финансовый 2 2 21 12 2 2" xfId="38818"/>
    <cellStyle name="Финансовый 2 2 21 12 3" xfId="10697"/>
    <cellStyle name="Финансовый 2 2 21 12 4" xfId="33012"/>
    <cellStyle name="Финансовый 2 2 21 13" xfId="2606"/>
    <cellStyle name="Финансовый 2 2 21 13 2" xfId="16693"/>
    <cellStyle name="Финансовый 2 2 21 13 2 2" xfId="39008"/>
    <cellStyle name="Финансовый 2 2 21 13 3" xfId="10887"/>
    <cellStyle name="Финансовый 2 2 21 13 4" xfId="33202"/>
    <cellStyle name="Финансовый 2 2 21 14" xfId="2828"/>
    <cellStyle name="Финансовый 2 2 21 14 2" xfId="16875"/>
    <cellStyle name="Финансовый 2 2 21 14 2 2" xfId="39190"/>
    <cellStyle name="Финансовый 2 2 21 14 3" xfId="11069"/>
    <cellStyle name="Финансовый 2 2 21 14 4" xfId="33384"/>
    <cellStyle name="Финансовый 2 2 21 15" xfId="3041"/>
    <cellStyle name="Финансовый 2 2 21 15 2" xfId="17048"/>
    <cellStyle name="Финансовый 2 2 21 15 2 2" xfId="39363"/>
    <cellStyle name="Финансовый 2 2 21 15 3" xfId="11242"/>
    <cellStyle name="Финансовый 2 2 21 15 4" xfId="33557"/>
    <cellStyle name="Финансовый 2 2 21 16" xfId="3241"/>
    <cellStyle name="Финансовый 2 2 21 16 2" xfId="17209"/>
    <cellStyle name="Финансовый 2 2 21 16 2 2" xfId="39524"/>
    <cellStyle name="Финансовый 2 2 21 16 3" xfId="11403"/>
    <cellStyle name="Финансовый 2 2 21 16 4" xfId="33718"/>
    <cellStyle name="Финансовый 2 2 21 17" xfId="3428"/>
    <cellStyle name="Финансовый 2 2 21 17 2" xfId="17357"/>
    <cellStyle name="Финансовый 2 2 21 17 2 2" xfId="39672"/>
    <cellStyle name="Финансовый 2 2 21 17 3" xfId="11551"/>
    <cellStyle name="Финансовый 2 2 21 17 4" xfId="33866"/>
    <cellStyle name="Финансовый 2 2 21 18" xfId="3600"/>
    <cellStyle name="Финансовый 2 2 21 18 2" xfId="17491"/>
    <cellStyle name="Финансовый 2 2 21 18 2 2" xfId="39806"/>
    <cellStyle name="Финансовый 2 2 21 18 3" xfId="11685"/>
    <cellStyle name="Финансовый 2 2 21 18 4" xfId="34000"/>
    <cellStyle name="Финансовый 2 2 21 19" xfId="6654"/>
    <cellStyle name="Финансовый 2 2 21 19 2" xfId="19199"/>
    <cellStyle name="Финансовый 2 2 21 19 2 2" xfId="41514"/>
    <cellStyle name="Финансовый 2 2 21 19 3" xfId="13393"/>
    <cellStyle name="Финансовый 2 2 21 19 4" xfId="35708"/>
    <cellStyle name="Финансовый 2 2 21 2" xfId="448"/>
    <cellStyle name="Финансовый 2 2 21 2 10" xfId="1583"/>
    <cellStyle name="Финансовый 2 2 21 2 10 2" xfId="15821"/>
    <cellStyle name="Финансовый 2 2 21 2 10 2 2" xfId="38136"/>
    <cellStyle name="Финансовый 2 2 21 2 10 3" xfId="10015"/>
    <cellStyle name="Финансовый 2 2 21 2 10 4" xfId="32330"/>
    <cellStyle name="Финансовый 2 2 21 2 11" xfId="1904"/>
    <cellStyle name="Финансовый 2 2 21 2 11 2" xfId="16117"/>
    <cellStyle name="Финансовый 2 2 21 2 11 2 2" xfId="38432"/>
    <cellStyle name="Финансовый 2 2 21 2 11 3" xfId="10311"/>
    <cellStyle name="Финансовый 2 2 21 2 11 4" xfId="32626"/>
    <cellStyle name="Финансовый 2 2 21 2 12" xfId="2141"/>
    <cellStyle name="Финансовый 2 2 21 2 12 2" xfId="16312"/>
    <cellStyle name="Финансовый 2 2 21 2 12 2 2" xfId="38627"/>
    <cellStyle name="Финансовый 2 2 21 2 12 3" xfId="10506"/>
    <cellStyle name="Финансовый 2 2 21 2 12 4" xfId="32821"/>
    <cellStyle name="Финансовый 2 2 21 2 13" xfId="2376"/>
    <cellStyle name="Финансовый 2 2 21 2 13 2" xfId="16505"/>
    <cellStyle name="Финансовый 2 2 21 2 13 2 2" xfId="38820"/>
    <cellStyle name="Финансовый 2 2 21 2 13 3" xfId="10699"/>
    <cellStyle name="Финансовый 2 2 21 2 13 4" xfId="33014"/>
    <cellStyle name="Финансовый 2 2 21 2 14" xfId="2608"/>
    <cellStyle name="Финансовый 2 2 21 2 14 2" xfId="16695"/>
    <cellStyle name="Финансовый 2 2 21 2 14 2 2" xfId="39010"/>
    <cellStyle name="Финансовый 2 2 21 2 14 3" xfId="10889"/>
    <cellStyle name="Финансовый 2 2 21 2 14 4" xfId="33204"/>
    <cellStyle name="Финансовый 2 2 21 2 15" xfId="6758"/>
    <cellStyle name="Финансовый 2 2 21 2 15 2" xfId="19257"/>
    <cellStyle name="Финансовый 2 2 21 2 15 2 2" xfId="41572"/>
    <cellStyle name="Финансовый 2 2 21 2 15 3" xfId="13451"/>
    <cellStyle name="Финансовый 2 2 21 2 15 4" xfId="35766"/>
    <cellStyle name="Финансовый 2 2 21 2 16" xfId="4973"/>
    <cellStyle name="Финансовый 2 2 21 2 16 2" xfId="18292"/>
    <cellStyle name="Финансовый 2 2 21 2 16 2 2" xfId="40607"/>
    <cellStyle name="Финансовый 2 2 21 2 16 3" xfId="12486"/>
    <cellStyle name="Финансовый 2 2 21 2 16 4" xfId="34801"/>
    <cellStyle name="Финансовый 2 2 21 2 17" xfId="5181"/>
    <cellStyle name="Финансовый 2 2 21 2 17 2" xfId="18410"/>
    <cellStyle name="Финансовый 2 2 21 2 17 2 2" xfId="40725"/>
    <cellStyle name="Финансовый 2 2 21 2 17 3" xfId="12604"/>
    <cellStyle name="Финансовый 2 2 21 2 17 4" xfId="34919"/>
    <cellStyle name="Финансовый 2 2 21 2 18" xfId="14851"/>
    <cellStyle name="Финансовый 2 2 21 2 18 2" xfId="37166"/>
    <cellStyle name="Финансовый 2 2 21 2 19" xfId="9045"/>
    <cellStyle name="Финансовый 2 2 21 2 2" xfId="683"/>
    <cellStyle name="Финансовый 2 2 21 2 2 2" xfId="15062"/>
    <cellStyle name="Финансовый 2 2 21 2 2 2 2" xfId="37377"/>
    <cellStyle name="Финансовый 2 2 21 2 2 3" xfId="9256"/>
    <cellStyle name="Финансовый 2 2 21 2 2 4" xfId="31580"/>
    <cellStyle name="Финансовый 2 2 21 2 20" xfId="31378"/>
    <cellStyle name="Финансовый 2 2 21 2 3" xfId="1439"/>
    <cellStyle name="Финансовый 2 2 21 2 3 2" xfId="15682"/>
    <cellStyle name="Финансовый 2 2 21 2 3 2 2" xfId="37997"/>
    <cellStyle name="Финансовый 2 2 21 2 3 3" xfId="9876"/>
    <cellStyle name="Финансовый 2 2 21 2 3 4" xfId="32191"/>
    <cellStyle name="Финансовый 2 2 21 2 4" xfId="1676"/>
    <cellStyle name="Финансовый 2 2 21 2 4 2" xfId="15905"/>
    <cellStyle name="Финансовый 2 2 21 2 4 2 2" xfId="38220"/>
    <cellStyle name="Финансовый 2 2 21 2 4 3" xfId="10099"/>
    <cellStyle name="Финансовый 2 2 21 2 4 4" xfId="32414"/>
    <cellStyle name="Финансовый 2 2 21 2 5" xfId="529"/>
    <cellStyle name="Финансовый 2 2 21 2 5 2" xfId="14930"/>
    <cellStyle name="Финансовый 2 2 21 2 5 2 2" xfId="37245"/>
    <cellStyle name="Финансовый 2 2 21 2 5 3" xfId="9124"/>
    <cellStyle name="Финансовый 2 2 21 2 5 4" xfId="31457"/>
    <cellStyle name="Финансовый 2 2 21 2 6" xfId="1325"/>
    <cellStyle name="Финансовый 2 2 21 2 6 2" xfId="15580"/>
    <cellStyle name="Финансовый 2 2 21 2 6 2 2" xfId="37895"/>
    <cellStyle name="Финансовый 2 2 21 2 6 3" xfId="9774"/>
    <cellStyle name="Финансовый 2 2 21 2 6 4" xfId="32089"/>
    <cellStyle name="Финансовый 2 2 21 2 7" xfId="1606"/>
    <cellStyle name="Финансовый 2 2 21 2 7 2" xfId="15840"/>
    <cellStyle name="Финансовый 2 2 21 2 7 2 2" xfId="38155"/>
    <cellStyle name="Финансовый 2 2 21 2 7 3" xfId="10034"/>
    <cellStyle name="Финансовый 2 2 21 2 7 4" xfId="32349"/>
    <cellStyle name="Финансовый 2 2 21 2 8" xfId="1351"/>
    <cellStyle name="Финансовый 2 2 21 2 8 2" xfId="15603"/>
    <cellStyle name="Финансовый 2 2 21 2 8 2 2" xfId="37918"/>
    <cellStyle name="Финансовый 2 2 21 2 8 3" xfId="9797"/>
    <cellStyle name="Финансовый 2 2 21 2 8 4" xfId="32112"/>
    <cellStyle name="Финансовый 2 2 21 2 9" xfId="1648"/>
    <cellStyle name="Финансовый 2 2 21 2 9 2" xfId="15879"/>
    <cellStyle name="Финансовый 2 2 21 2 9 2 2" xfId="38194"/>
    <cellStyle name="Финансовый 2 2 21 2 9 3" xfId="10073"/>
    <cellStyle name="Финансовый 2 2 21 2 9 4" xfId="32388"/>
    <cellStyle name="Финансовый 2 2 21 20" xfId="5152"/>
    <cellStyle name="Финансовый 2 2 21 20 2" xfId="18393"/>
    <cellStyle name="Финансовый 2 2 21 20 2 2" xfId="40708"/>
    <cellStyle name="Финансовый 2 2 21 20 3" xfId="12587"/>
    <cellStyle name="Финансовый 2 2 21 20 4" xfId="34902"/>
    <cellStyle name="Финансовый 2 2 21 21" xfId="310"/>
    <cellStyle name="Финансовый 2 2 21 21 2" xfId="14730"/>
    <cellStyle name="Финансовый 2 2 21 21 2 2" xfId="37045"/>
    <cellStyle name="Финансовый 2 2 21 21 3" xfId="8924"/>
    <cellStyle name="Финансовый 2 2 21 21 4" xfId="31259"/>
    <cellStyle name="Финансовый 2 2 21 22" xfId="14625"/>
    <cellStyle name="Финансовый 2 2 21 22 2" xfId="36940"/>
    <cellStyle name="Финансовый 2 2 21 23" xfId="8819"/>
    <cellStyle name="Финансовый 2 2 21 24" xfId="31165"/>
    <cellStyle name="Финансовый 2 2 21 3" xfId="676"/>
    <cellStyle name="Финансовый 2 2 21 3 2" xfId="15055"/>
    <cellStyle name="Финансовый 2 2 21 3 2 2" xfId="37370"/>
    <cellStyle name="Финансовый 2 2 21 3 3" xfId="9249"/>
    <cellStyle name="Финансовый 2 2 21 3 4" xfId="31573"/>
    <cellStyle name="Финансовый 2 2 21 4" xfId="875"/>
    <cellStyle name="Финансовый 2 2 21 4 2" xfId="15215"/>
    <cellStyle name="Финансовый 2 2 21 4 2 2" xfId="37530"/>
    <cellStyle name="Финансовый 2 2 21 4 3" xfId="9409"/>
    <cellStyle name="Финансовый 2 2 21 4 4" xfId="31731"/>
    <cellStyle name="Финансовый 2 2 21 5" xfId="1028"/>
    <cellStyle name="Финансовый 2 2 21 5 2" xfId="15341"/>
    <cellStyle name="Финансовый 2 2 21 5 2 2" xfId="37656"/>
    <cellStyle name="Финансовый 2 2 21 5 3" xfId="9535"/>
    <cellStyle name="Финансовый 2 2 21 5 4" xfId="31854"/>
    <cellStyle name="Финансовый 2 2 21 6" xfId="1091"/>
    <cellStyle name="Финансовый 2 2 21 6 2" xfId="15404"/>
    <cellStyle name="Финансовый 2 2 21 6 2 2" xfId="37719"/>
    <cellStyle name="Финансовый 2 2 21 6 3" xfId="9598"/>
    <cellStyle name="Финансовый 2 2 21 6 4" xfId="31917"/>
    <cellStyle name="Финансовый 2 2 21 7" xfId="429"/>
    <cellStyle name="Финансовый 2 2 21 7 2" xfId="14832"/>
    <cellStyle name="Финансовый 2 2 21 7 2 2" xfId="37147"/>
    <cellStyle name="Финансовый 2 2 21 7 3" xfId="9026"/>
    <cellStyle name="Финансовый 2 2 21 7 4" xfId="31359"/>
    <cellStyle name="Финансовый 2 2 21 8" xfId="1580"/>
    <cellStyle name="Финансовый 2 2 21 8 2" xfId="15818"/>
    <cellStyle name="Финансовый 2 2 21 8 2 2" xfId="38133"/>
    <cellStyle name="Финансовый 2 2 21 8 3" xfId="10012"/>
    <cellStyle name="Финансовый 2 2 21 8 4" xfId="32327"/>
    <cellStyle name="Финансовый 2 2 21 9" xfId="1348"/>
    <cellStyle name="Финансовый 2 2 21 9 2" xfId="15600"/>
    <cellStyle name="Финансовый 2 2 21 9 2 2" xfId="37915"/>
    <cellStyle name="Финансовый 2 2 21 9 3" xfId="9794"/>
    <cellStyle name="Финансовый 2 2 21 9 4" xfId="32109"/>
    <cellStyle name="Финансовый 2 2 22" xfId="110"/>
    <cellStyle name="Финансовый 2 2 22 10" xfId="2011"/>
    <cellStyle name="Финансовый 2 2 22 10 2" xfId="16190"/>
    <cellStyle name="Финансовый 2 2 22 10 2 2" xfId="38505"/>
    <cellStyle name="Финансовый 2 2 22 10 3" xfId="10384"/>
    <cellStyle name="Финансовый 2 2 22 10 4" xfId="32699"/>
    <cellStyle name="Финансовый 2 2 22 11" xfId="2247"/>
    <cellStyle name="Финансовый 2 2 22 11 2" xfId="16384"/>
    <cellStyle name="Финансовый 2 2 22 11 2 2" xfId="38699"/>
    <cellStyle name="Финансовый 2 2 22 11 3" xfId="10578"/>
    <cellStyle name="Финансовый 2 2 22 11 4" xfId="32893"/>
    <cellStyle name="Финансовый 2 2 22 12" xfId="2481"/>
    <cellStyle name="Финансовый 2 2 22 12 2" xfId="16576"/>
    <cellStyle name="Финансовый 2 2 22 12 2 2" xfId="38891"/>
    <cellStyle name="Финансовый 2 2 22 12 3" xfId="10770"/>
    <cellStyle name="Финансовый 2 2 22 12 4" xfId="33085"/>
    <cellStyle name="Финансовый 2 2 22 13" xfId="2710"/>
    <cellStyle name="Финансовый 2 2 22 13 2" xfId="16764"/>
    <cellStyle name="Финансовый 2 2 22 13 2 2" xfId="39079"/>
    <cellStyle name="Финансовый 2 2 22 13 3" xfId="10958"/>
    <cellStyle name="Финансовый 2 2 22 13 4" xfId="33273"/>
    <cellStyle name="Финансовый 2 2 22 14" xfId="2930"/>
    <cellStyle name="Финансовый 2 2 22 14 2" xfId="16944"/>
    <cellStyle name="Финансовый 2 2 22 14 2 2" xfId="39259"/>
    <cellStyle name="Финансовый 2 2 22 14 3" xfId="11138"/>
    <cellStyle name="Финансовый 2 2 22 14 4" xfId="33453"/>
    <cellStyle name="Финансовый 2 2 22 15" xfId="3141"/>
    <cellStyle name="Финансовый 2 2 22 15 2" xfId="17116"/>
    <cellStyle name="Финансовый 2 2 22 15 2 2" xfId="39431"/>
    <cellStyle name="Финансовый 2 2 22 15 3" xfId="11310"/>
    <cellStyle name="Финансовый 2 2 22 15 4" xfId="33625"/>
    <cellStyle name="Финансовый 2 2 22 16" xfId="3334"/>
    <cellStyle name="Финансовый 2 2 22 16 2" xfId="17270"/>
    <cellStyle name="Финансовый 2 2 22 16 2 2" xfId="39585"/>
    <cellStyle name="Финансовый 2 2 22 16 3" xfId="11464"/>
    <cellStyle name="Финансовый 2 2 22 16 4" xfId="33779"/>
    <cellStyle name="Финансовый 2 2 22 17" xfId="3518"/>
    <cellStyle name="Финансовый 2 2 22 17 2" xfId="17415"/>
    <cellStyle name="Финансовый 2 2 22 17 2 2" xfId="39730"/>
    <cellStyle name="Финансовый 2 2 22 17 3" xfId="11609"/>
    <cellStyle name="Финансовый 2 2 22 17 4" xfId="33924"/>
    <cellStyle name="Финансовый 2 2 22 18" xfId="3683"/>
    <cellStyle name="Финансовый 2 2 22 18 2" xfId="17542"/>
    <cellStyle name="Финансовый 2 2 22 18 2 2" xfId="39857"/>
    <cellStyle name="Финансовый 2 2 22 18 3" xfId="11736"/>
    <cellStyle name="Финансовый 2 2 22 18 4" xfId="34051"/>
    <cellStyle name="Финансовый 2 2 22 19" xfId="8551"/>
    <cellStyle name="Финансовый 2 2 22 19 2" xfId="20258"/>
    <cellStyle name="Финансовый 2 2 22 19 2 2" xfId="42573"/>
    <cellStyle name="Финансовый 2 2 22 19 3" xfId="14452"/>
    <cellStyle name="Финансовый 2 2 22 19 4" xfId="36767"/>
    <cellStyle name="Финансовый 2 2 22 2" xfId="453"/>
    <cellStyle name="Финансовый 2 2 22 2 10" xfId="1880"/>
    <cellStyle name="Финансовый 2 2 22 2 10 2" xfId="16093"/>
    <cellStyle name="Финансовый 2 2 22 2 10 2 2" xfId="38408"/>
    <cellStyle name="Финансовый 2 2 22 2 10 3" xfId="10287"/>
    <cellStyle name="Финансовый 2 2 22 2 10 4" xfId="32602"/>
    <cellStyle name="Финансовый 2 2 22 2 11" xfId="2118"/>
    <cellStyle name="Финансовый 2 2 22 2 11 2" xfId="16289"/>
    <cellStyle name="Финансовый 2 2 22 2 11 2 2" xfId="38604"/>
    <cellStyle name="Финансовый 2 2 22 2 11 3" xfId="10483"/>
    <cellStyle name="Финансовый 2 2 22 2 11 4" xfId="32798"/>
    <cellStyle name="Финансовый 2 2 22 2 12" xfId="2353"/>
    <cellStyle name="Финансовый 2 2 22 2 12 2" xfId="16482"/>
    <cellStyle name="Финансовый 2 2 22 2 12 2 2" xfId="38797"/>
    <cellStyle name="Финансовый 2 2 22 2 12 3" xfId="10676"/>
    <cellStyle name="Финансовый 2 2 22 2 12 4" xfId="32991"/>
    <cellStyle name="Финансовый 2 2 22 2 13" xfId="2585"/>
    <cellStyle name="Финансовый 2 2 22 2 13 2" xfId="16672"/>
    <cellStyle name="Финансовый 2 2 22 2 13 2 2" xfId="38987"/>
    <cellStyle name="Финансовый 2 2 22 2 13 3" xfId="10866"/>
    <cellStyle name="Финансовый 2 2 22 2 13 4" xfId="33181"/>
    <cellStyle name="Финансовый 2 2 22 2 14" xfId="2808"/>
    <cellStyle name="Финансовый 2 2 22 2 14 2" xfId="16855"/>
    <cellStyle name="Финансовый 2 2 22 2 14 2 2" xfId="39170"/>
    <cellStyle name="Финансовый 2 2 22 2 14 3" xfId="11049"/>
    <cellStyle name="Финансовый 2 2 22 2 14 4" xfId="33364"/>
    <cellStyle name="Финансовый 2 2 22 2 15" xfId="7685"/>
    <cellStyle name="Финансовый 2 2 22 2 15 2" xfId="19760"/>
    <cellStyle name="Финансовый 2 2 22 2 15 2 2" xfId="42075"/>
    <cellStyle name="Финансовый 2 2 22 2 15 3" xfId="13954"/>
    <cellStyle name="Финансовый 2 2 22 2 15 4" xfId="36269"/>
    <cellStyle name="Финансовый 2 2 22 2 16" xfId="4829"/>
    <cellStyle name="Финансовый 2 2 22 2 16 2" xfId="18216"/>
    <cellStyle name="Финансовый 2 2 22 2 16 2 2" xfId="40531"/>
    <cellStyle name="Финансовый 2 2 22 2 16 3" xfId="12410"/>
    <cellStyle name="Финансовый 2 2 22 2 16 4" xfId="34725"/>
    <cellStyle name="Финансовый 2 2 22 2 17" xfId="6506"/>
    <cellStyle name="Финансовый 2 2 22 2 17 2" xfId="19125"/>
    <cellStyle name="Финансовый 2 2 22 2 17 2 2" xfId="41440"/>
    <cellStyle name="Финансовый 2 2 22 2 17 3" xfId="13319"/>
    <cellStyle name="Финансовый 2 2 22 2 17 4" xfId="35634"/>
    <cellStyle name="Финансовый 2 2 22 2 18" xfId="14856"/>
    <cellStyle name="Финансовый 2 2 22 2 18 2" xfId="37171"/>
    <cellStyle name="Финансовый 2 2 22 2 19" xfId="9050"/>
    <cellStyle name="Финансовый 2 2 22 2 2" xfId="688"/>
    <cellStyle name="Финансовый 2 2 22 2 2 2" xfId="15067"/>
    <cellStyle name="Финансовый 2 2 22 2 2 2 2" xfId="37382"/>
    <cellStyle name="Финансовый 2 2 22 2 2 3" xfId="9261"/>
    <cellStyle name="Финансовый 2 2 22 2 2 4" xfId="31584"/>
    <cellStyle name="Финансовый 2 2 22 2 20" xfId="31383"/>
    <cellStyle name="Финансовый 2 2 22 2 3" xfId="1442"/>
    <cellStyle name="Финансовый 2 2 22 2 3 2" xfId="15685"/>
    <cellStyle name="Финансовый 2 2 22 2 3 2 2" xfId="38000"/>
    <cellStyle name="Финансовый 2 2 22 2 3 3" xfId="9879"/>
    <cellStyle name="Финансовый 2 2 22 2 3 4" xfId="32194"/>
    <cellStyle name="Финансовый 2 2 22 2 4" xfId="1618"/>
    <cellStyle name="Финансовый 2 2 22 2 4 2" xfId="15852"/>
    <cellStyle name="Финансовый 2 2 22 2 4 2 2" xfId="38167"/>
    <cellStyle name="Финансовый 2 2 22 2 4 3" xfId="10046"/>
    <cellStyle name="Финансовый 2 2 22 2 4 4" xfId="32361"/>
    <cellStyle name="Финансовый 2 2 22 2 5" xfId="546"/>
    <cellStyle name="Финансовый 2 2 22 2 5 2" xfId="14947"/>
    <cellStyle name="Финансовый 2 2 22 2 5 2 2" xfId="37262"/>
    <cellStyle name="Финансовый 2 2 22 2 5 3" xfId="9141"/>
    <cellStyle name="Финансовый 2 2 22 2 5 4" xfId="31474"/>
    <cellStyle name="Финансовый 2 2 22 2 6" xfId="498"/>
    <cellStyle name="Финансовый 2 2 22 2 6 2" xfId="14900"/>
    <cellStyle name="Финансовый 2 2 22 2 6 2 2" xfId="37215"/>
    <cellStyle name="Финансовый 2 2 22 2 6 3" xfId="9094"/>
    <cellStyle name="Финансовый 2 2 22 2 6 4" xfId="31427"/>
    <cellStyle name="Финансовый 2 2 22 2 7" xfId="1543"/>
    <cellStyle name="Финансовый 2 2 22 2 7 2" xfId="15783"/>
    <cellStyle name="Финансовый 2 2 22 2 7 2 2" xfId="38098"/>
    <cellStyle name="Финансовый 2 2 22 2 7 3" xfId="9977"/>
    <cellStyle name="Финансовый 2 2 22 2 7 4" xfId="32292"/>
    <cellStyle name="Финансовый 2 2 22 2 8" xfId="1572"/>
    <cellStyle name="Финансовый 2 2 22 2 8 2" xfId="15811"/>
    <cellStyle name="Финансовый 2 2 22 2 8 2 2" xfId="38126"/>
    <cellStyle name="Финансовый 2 2 22 2 8 3" xfId="10005"/>
    <cellStyle name="Финансовый 2 2 22 2 8 4" xfId="32320"/>
    <cellStyle name="Финансовый 2 2 22 2 9" xfId="1443"/>
    <cellStyle name="Финансовый 2 2 22 2 9 2" xfId="15686"/>
    <cellStyle name="Финансовый 2 2 22 2 9 2 2" xfId="38001"/>
    <cellStyle name="Финансовый 2 2 22 2 9 3" xfId="9880"/>
    <cellStyle name="Финансовый 2 2 22 2 9 4" xfId="32195"/>
    <cellStyle name="Финансовый 2 2 22 20" xfId="6084"/>
    <cellStyle name="Финансовый 2 2 22 20 2" xfId="18893"/>
    <cellStyle name="Финансовый 2 2 22 20 2 2" xfId="41208"/>
    <cellStyle name="Финансовый 2 2 22 20 3" xfId="13087"/>
    <cellStyle name="Финансовый 2 2 22 20 4" xfId="35402"/>
    <cellStyle name="Финансовый 2 2 22 21" xfId="4304"/>
    <cellStyle name="Финансовый 2 2 22 21 2" xfId="17929"/>
    <cellStyle name="Финансовый 2 2 22 21 2 2" xfId="40244"/>
    <cellStyle name="Финансовый 2 2 22 21 3" xfId="12123"/>
    <cellStyle name="Финансовый 2 2 22 21 4" xfId="34438"/>
    <cellStyle name="Финансовый 2 2 22 22" xfId="14628"/>
    <cellStyle name="Финансовый 2 2 22 22 2" xfId="36943"/>
    <cellStyle name="Финансовый 2 2 22 23" xfId="8822"/>
    <cellStyle name="Финансовый 2 2 22 24" xfId="31167"/>
    <cellStyle name="Финансовый 2 2 22 3" xfId="656"/>
    <cellStyle name="Финансовый 2 2 22 3 2" xfId="15035"/>
    <cellStyle name="Финансовый 2 2 22 3 2 2" xfId="37350"/>
    <cellStyle name="Финансовый 2 2 22 3 3" xfId="9229"/>
    <cellStyle name="Финансовый 2 2 22 3 4" xfId="31553"/>
    <cellStyle name="Финансовый 2 2 22 4" xfId="861"/>
    <cellStyle name="Финансовый 2 2 22 4 2" xfId="15201"/>
    <cellStyle name="Финансовый 2 2 22 4 2 2" xfId="37516"/>
    <cellStyle name="Финансовый 2 2 22 4 3" xfId="9395"/>
    <cellStyle name="Финансовый 2 2 22 4 4" xfId="31717"/>
    <cellStyle name="Финансовый 2 2 22 5" xfId="1032"/>
    <cellStyle name="Финансовый 2 2 22 5 2" xfId="15345"/>
    <cellStyle name="Финансовый 2 2 22 5 2 2" xfId="37660"/>
    <cellStyle name="Финансовый 2 2 22 5 3" xfId="9539"/>
    <cellStyle name="Финансовый 2 2 22 5 4" xfId="31858"/>
    <cellStyle name="Финансовый 2 2 22 6" xfId="1077"/>
    <cellStyle name="Финансовый 2 2 22 6 2" xfId="15390"/>
    <cellStyle name="Финансовый 2 2 22 6 2 2" xfId="37705"/>
    <cellStyle name="Финансовый 2 2 22 6 3" xfId="9584"/>
    <cellStyle name="Финансовый 2 2 22 6 4" xfId="31903"/>
    <cellStyle name="Финансовый 2 2 22 7" xfId="354"/>
    <cellStyle name="Финансовый 2 2 22 7 2" xfId="14756"/>
    <cellStyle name="Финансовый 2 2 22 7 2 2" xfId="37071"/>
    <cellStyle name="Финансовый 2 2 22 7 3" xfId="8950"/>
    <cellStyle name="Финансовый 2 2 22 7 4" xfId="31284"/>
    <cellStyle name="Финансовый 2 2 22 8" xfId="1503"/>
    <cellStyle name="Финансовый 2 2 22 8 2" xfId="15745"/>
    <cellStyle name="Финансовый 2 2 22 8 2 2" xfId="38060"/>
    <cellStyle name="Финансовый 2 2 22 8 3" xfId="9939"/>
    <cellStyle name="Финансовый 2 2 22 8 4" xfId="32254"/>
    <cellStyle name="Финансовый 2 2 22 9" xfId="1773"/>
    <cellStyle name="Финансовый 2 2 22 9 2" xfId="15994"/>
    <cellStyle name="Финансовый 2 2 22 9 2 2" xfId="38309"/>
    <cellStyle name="Финансовый 2 2 22 9 3" xfId="10188"/>
    <cellStyle name="Финансовый 2 2 22 9 4" xfId="32503"/>
    <cellStyle name="Финансовый 2 2 23" xfId="115"/>
    <cellStyle name="Финансовый 2 2 23 10" xfId="2313"/>
    <cellStyle name="Финансовый 2 2 23 10 2" xfId="16446"/>
    <cellStyle name="Финансовый 2 2 23 10 2 2" xfId="38761"/>
    <cellStyle name="Финансовый 2 2 23 10 3" xfId="10640"/>
    <cellStyle name="Финансовый 2 2 23 10 4" xfId="32955"/>
    <cellStyle name="Финансовый 2 2 23 11" xfId="2545"/>
    <cellStyle name="Финансовый 2 2 23 11 2" xfId="16636"/>
    <cellStyle name="Финансовый 2 2 23 11 2 2" xfId="38951"/>
    <cellStyle name="Финансовый 2 2 23 11 3" xfId="10830"/>
    <cellStyle name="Финансовый 2 2 23 11 4" xfId="33145"/>
    <cellStyle name="Финансовый 2 2 23 12" xfId="2770"/>
    <cellStyle name="Финансовый 2 2 23 12 2" xfId="16820"/>
    <cellStyle name="Финансовый 2 2 23 12 2 2" xfId="39135"/>
    <cellStyle name="Финансовый 2 2 23 12 3" xfId="11014"/>
    <cellStyle name="Финансовый 2 2 23 12 4" xfId="33329"/>
    <cellStyle name="Финансовый 2 2 23 13" xfId="2987"/>
    <cellStyle name="Финансовый 2 2 23 13 2" xfId="16997"/>
    <cellStyle name="Финансовый 2 2 23 13 2 2" xfId="39312"/>
    <cellStyle name="Финансовый 2 2 23 13 3" xfId="11191"/>
    <cellStyle name="Финансовый 2 2 23 13 4" xfId="33506"/>
    <cellStyle name="Финансовый 2 2 23 14" xfId="3193"/>
    <cellStyle name="Финансовый 2 2 23 14 2" xfId="17164"/>
    <cellStyle name="Финансовый 2 2 23 14 2 2" xfId="39479"/>
    <cellStyle name="Финансовый 2 2 23 14 3" xfId="11358"/>
    <cellStyle name="Финансовый 2 2 23 14 4" xfId="33673"/>
    <cellStyle name="Финансовый 2 2 23 15" xfId="3381"/>
    <cellStyle name="Финансовый 2 2 23 15 2" xfId="17313"/>
    <cellStyle name="Финансовый 2 2 23 15 2 2" xfId="39628"/>
    <cellStyle name="Финансовый 2 2 23 15 3" xfId="11507"/>
    <cellStyle name="Финансовый 2 2 23 15 4" xfId="33822"/>
    <cellStyle name="Финансовый 2 2 23 16" xfId="3560"/>
    <cellStyle name="Финансовый 2 2 23 16 2" xfId="17454"/>
    <cellStyle name="Финансовый 2 2 23 16 2 2" xfId="39769"/>
    <cellStyle name="Финансовый 2 2 23 16 3" xfId="11648"/>
    <cellStyle name="Финансовый 2 2 23 16 4" xfId="33963"/>
    <cellStyle name="Финансовый 2 2 23 17" xfId="3720"/>
    <cellStyle name="Финансовый 2 2 23 17 2" xfId="17576"/>
    <cellStyle name="Финансовый 2 2 23 17 2 2" xfId="39891"/>
    <cellStyle name="Финансовый 2 2 23 17 3" xfId="11770"/>
    <cellStyle name="Финансовый 2 2 23 17 4" xfId="34085"/>
    <cellStyle name="Финансовый 2 2 23 18" xfId="3853"/>
    <cellStyle name="Финансовый 2 2 23 18 2" xfId="17675"/>
    <cellStyle name="Финансовый 2 2 23 18 2 2" xfId="39990"/>
    <cellStyle name="Финансовый 2 2 23 18 3" xfId="11869"/>
    <cellStyle name="Финансовый 2 2 23 18 4" xfId="34184"/>
    <cellStyle name="Финансовый 2 2 23 19" xfId="7465"/>
    <cellStyle name="Финансовый 2 2 23 19 2" xfId="19639"/>
    <cellStyle name="Финансовый 2 2 23 19 2 2" xfId="41954"/>
    <cellStyle name="Финансовый 2 2 23 19 3" xfId="13833"/>
    <cellStyle name="Финансовый 2 2 23 19 4" xfId="36148"/>
    <cellStyle name="Финансовый 2 2 23 2" xfId="457"/>
    <cellStyle name="Финансовый 2 2 23 2 10" xfId="401"/>
    <cellStyle name="Финансовый 2 2 23 2 10 2" xfId="14804"/>
    <cellStyle name="Финансовый 2 2 23 2 10 2 2" xfId="37119"/>
    <cellStyle name="Финансовый 2 2 23 2 10 3" xfId="8998"/>
    <cellStyle name="Финансовый 2 2 23 2 10 4" xfId="31331"/>
    <cellStyle name="Финансовый 2 2 23 2 11" xfId="1338"/>
    <cellStyle name="Финансовый 2 2 23 2 11 2" xfId="15591"/>
    <cellStyle name="Финансовый 2 2 23 2 11 2 2" xfId="37906"/>
    <cellStyle name="Финансовый 2 2 23 2 11 3" xfId="9785"/>
    <cellStyle name="Финансовый 2 2 23 2 11 4" xfId="32100"/>
    <cellStyle name="Финансовый 2 2 23 2 12" xfId="444"/>
    <cellStyle name="Финансовый 2 2 23 2 12 2" xfId="14847"/>
    <cellStyle name="Финансовый 2 2 23 2 12 2 2" xfId="37162"/>
    <cellStyle name="Финансовый 2 2 23 2 12 3" xfId="9041"/>
    <cellStyle name="Финансовый 2 2 23 2 12 4" xfId="31374"/>
    <cellStyle name="Финансовый 2 2 23 2 13" xfId="1533"/>
    <cellStyle name="Финансовый 2 2 23 2 13 2" xfId="15773"/>
    <cellStyle name="Финансовый 2 2 23 2 13 2 2" xfId="38088"/>
    <cellStyle name="Финансовый 2 2 23 2 13 3" xfId="9967"/>
    <cellStyle name="Финансовый 2 2 23 2 13 4" xfId="32282"/>
    <cellStyle name="Финансовый 2 2 23 2 14" xfId="1902"/>
    <cellStyle name="Финансовый 2 2 23 2 14 2" xfId="16115"/>
    <cellStyle name="Финансовый 2 2 23 2 14 2 2" xfId="38430"/>
    <cellStyle name="Финансовый 2 2 23 2 14 3" xfId="10309"/>
    <cellStyle name="Финансовый 2 2 23 2 14 4" xfId="32624"/>
    <cellStyle name="Финансовый 2 2 23 2 15" xfId="7186"/>
    <cellStyle name="Финансовый 2 2 23 2 15 2" xfId="19490"/>
    <cellStyle name="Финансовый 2 2 23 2 15 2 2" xfId="41805"/>
    <cellStyle name="Финансовый 2 2 23 2 15 3" xfId="13684"/>
    <cellStyle name="Финансовый 2 2 23 2 15 4" xfId="35999"/>
    <cellStyle name="Финансовый 2 2 23 2 16" xfId="7757"/>
    <cellStyle name="Финансовый 2 2 23 2 16 2" xfId="19798"/>
    <cellStyle name="Финансовый 2 2 23 2 16 2 2" xfId="42113"/>
    <cellStyle name="Финансовый 2 2 23 2 16 3" xfId="13992"/>
    <cellStyle name="Финансовый 2 2 23 2 16 4" xfId="36307"/>
    <cellStyle name="Финансовый 2 2 23 2 17" xfId="4718"/>
    <cellStyle name="Финансовый 2 2 23 2 17 2" xfId="18157"/>
    <cellStyle name="Финансовый 2 2 23 2 17 2 2" xfId="40472"/>
    <cellStyle name="Финансовый 2 2 23 2 17 3" xfId="12351"/>
    <cellStyle name="Финансовый 2 2 23 2 17 4" xfId="34666"/>
    <cellStyle name="Финансовый 2 2 23 2 18" xfId="14860"/>
    <cellStyle name="Финансовый 2 2 23 2 18 2" xfId="37175"/>
    <cellStyle name="Финансовый 2 2 23 2 19" xfId="9054"/>
    <cellStyle name="Финансовый 2 2 23 2 2" xfId="692"/>
    <cellStyle name="Финансовый 2 2 23 2 2 2" xfId="15071"/>
    <cellStyle name="Финансовый 2 2 23 2 2 2 2" xfId="37386"/>
    <cellStyle name="Финансовый 2 2 23 2 2 3" xfId="9265"/>
    <cellStyle name="Финансовый 2 2 23 2 2 4" xfId="31588"/>
    <cellStyle name="Финансовый 2 2 23 2 20" xfId="31387"/>
    <cellStyle name="Финансовый 2 2 23 2 3" xfId="1446"/>
    <cellStyle name="Финансовый 2 2 23 2 3 2" xfId="15689"/>
    <cellStyle name="Финансовый 2 2 23 2 3 2 2" xfId="38004"/>
    <cellStyle name="Финансовый 2 2 23 2 3 3" xfId="9883"/>
    <cellStyle name="Финансовый 2 2 23 2 3 4" xfId="32198"/>
    <cellStyle name="Финансовый 2 2 23 2 4" xfId="1616"/>
    <cellStyle name="Финансовый 2 2 23 2 4 2" xfId="15850"/>
    <cellStyle name="Финансовый 2 2 23 2 4 2 2" xfId="38165"/>
    <cellStyle name="Финансовый 2 2 23 2 4 3" xfId="10044"/>
    <cellStyle name="Финансовый 2 2 23 2 4 4" xfId="32359"/>
    <cellStyle name="Финансовый 2 2 23 2 5" xfId="1712"/>
    <cellStyle name="Финансовый 2 2 23 2 5 2" xfId="15938"/>
    <cellStyle name="Финансовый 2 2 23 2 5 2 2" xfId="38253"/>
    <cellStyle name="Финансовый 2 2 23 2 5 3" xfId="10132"/>
    <cellStyle name="Финансовый 2 2 23 2 5 4" xfId="32447"/>
    <cellStyle name="Финансовый 2 2 23 2 6" xfId="1474"/>
    <cellStyle name="Финансовый 2 2 23 2 6 2" xfId="15716"/>
    <cellStyle name="Финансовый 2 2 23 2 6 2 2" xfId="38031"/>
    <cellStyle name="Финансовый 2 2 23 2 6 3" xfId="9910"/>
    <cellStyle name="Финансовый 2 2 23 2 6 4" xfId="32225"/>
    <cellStyle name="Финансовый 2 2 23 2 7" xfId="1716"/>
    <cellStyle name="Финансовый 2 2 23 2 7 2" xfId="15942"/>
    <cellStyle name="Финансовый 2 2 23 2 7 2 2" xfId="38257"/>
    <cellStyle name="Финансовый 2 2 23 2 7 3" xfId="10136"/>
    <cellStyle name="Финансовый 2 2 23 2 7 4" xfId="32451"/>
    <cellStyle name="Финансовый 2 2 23 2 8" xfId="450"/>
    <cellStyle name="Финансовый 2 2 23 2 8 2" xfId="14853"/>
    <cellStyle name="Финансовый 2 2 23 2 8 2 2" xfId="37168"/>
    <cellStyle name="Финансовый 2 2 23 2 8 3" xfId="9047"/>
    <cellStyle name="Финансовый 2 2 23 2 8 4" xfId="31380"/>
    <cellStyle name="Финансовый 2 2 23 2 9" xfId="1568"/>
    <cellStyle name="Финансовый 2 2 23 2 9 2" xfId="15807"/>
    <cellStyle name="Финансовый 2 2 23 2 9 2 2" xfId="38122"/>
    <cellStyle name="Финансовый 2 2 23 2 9 3" xfId="10001"/>
    <cellStyle name="Финансовый 2 2 23 2 9 4" xfId="32316"/>
    <cellStyle name="Финансовый 2 2 23 20" xfId="8117"/>
    <cellStyle name="Финансовый 2 2 23 20 2" xfId="20003"/>
    <cellStyle name="Финансовый 2 2 23 20 2 2" xfId="42318"/>
    <cellStyle name="Финансовый 2 2 23 20 3" xfId="14197"/>
    <cellStyle name="Финансовый 2 2 23 20 4" xfId="36512"/>
    <cellStyle name="Финансовый 2 2 23 21" xfId="4132"/>
    <cellStyle name="Финансовый 2 2 23 21 2" xfId="17823"/>
    <cellStyle name="Финансовый 2 2 23 21 2 2" xfId="40138"/>
    <cellStyle name="Финансовый 2 2 23 21 3" xfId="12017"/>
    <cellStyle name="Финансовый 2 2 23 21 4" xfId="34332"/>
    <cellStyle name="Финансовый 2 2 23 22" xfId="14631"/>
    <cellStyle name="Финансовый 2 2 23 22 2" xfId="36946"/>
    <cellStyle name="Финансовый 2 2 23 23" xfId="8825"/>
    <cellStyle name="Финансовый 2 2 23 24" xfId="31169"/>
    <cellStyle name="Финансовый 2 2 23 3" xfId="659"/>
    <cellStyle name="Финансовый 2 2 23 3 2" xfId="15038"/>
    <cellStyle name="Финансовый 2 2 23 3 2 2" xfId="37353"/>
    <cellStyle name="Финансовый 2 2 23 3 3" xfId="9232"/>
    <cellStyle name="Финансовый 2 2 23 3 4" xfId="31556"/>
    <cellStyle name="Финансовый 2 2 23 4" xfId="848"/>
    <cellStyle name="Финансовый 2 2 23 4 2" xfId="15188"/>
    <cellStyle name="Финансовый 2 2 23 4 2 2" xfId="37503"/>
    <cellStyle name="Финансовый 2 2 23 4 3" xfId="9382"/>
    <cellStyle name="Финансовый 2 2 23 4 4" xfId="31704"/>
    <cellStyle name="Финансовый 2 2 23 5" xfId="1035"/>
    <cellStyle name="Финансовый 2 2 23 5 2" xfId="15348"/>
    <cellStyle name="Финансовый 2 2 23 5 2 2" xfId="37663"/>
    <cellStyle name="Финансовый 2 2 23 5 3" xfId="9542"/>
    <cellStyle name="Финансовый 2 2 23 5 4" xfId="31861"/>
    <cellStyle name="Финансовый 2 2 23 6" xfId="1064"/>
    <cellStyle name="Финансовый 2 2 23 6 2" xfId="15377"/>
    <cellStyle name="Финансовый 2 2 23 6 2 2" xfId="37692"/>
    <cellStyle name="Финансовый 2 2 23 6 3" xfId="9571"/>
    <cellStyle name="Финансовый 2 2 23 6 4" xfId="31890"/>
    <cellStyle name="Финансовый 2 2 23 7" xfId="422"/>
    <cellStyle name="Финансовый 2 2 23 7 2" xfId="14825"/>
    <cellStyle name="Финансовый 2 2 23 7 2 2" xfId="37140"/>
    <cellStyle name="Финансовый 2 2 23 7 3" xfId="9019"/>
    <cellStyle name="Финансовый 2 2 23 7 4" xfId="31352"/>
    <cellStyle name="Финансовый 2 2 23 8" xfId="1840"/>
    <cellStyle name="Финансовый 2 2 23 8 2" xfId="16057"/>
    <cellStyle name="Финансовый 2 2 23 8 2 2" xfId="38372"/>
    <cellStyle name="Финансовый 2 2 23 8 3" xfId="10251"/>
    <cellStyle name="Финансовый 2 2 23 8 4" xfId="32566"/>
    <cellStyle name="Финансовый 2 2 23 9" xfId="2078"/>
    <cellStyle name="Финансовый 2 2 23 9 2" xfId="16253"/>
    <cellStyle name="Финансовый 2 2 23 9 2 2" xfId="38568"/>
    <cellStyle name="Финансовый 2 2 23 9 3" xfId="10447"/>
    <cellStyle name="Финансовый 2 2 23 9 4" xfId="32762"/>
    <cellStyle name="Финансовый 2 2 24" xfId="120"/>
    <cellStyle name="Финансовый 2 2 24 10" xfId="1972"/>
    <cellStyle name="Финансовый 2 2 24 10 2" xfId="16154"/>
    <cellStyle name="Финансовый 2 2 24 10 2 2" xfId="38469"/>
    <cellStyle name="Финансовый 2 2 24 10 3" xfId="10348"/>
    <cellStyle name="Финансовый 2 2 24 10 4" xfId="32663"/>
    <cellStyle name="Финансовый 2 2 24 11" xfId="2209"/>
    <cellStyle name="Финансовый 2 2 24 11 2" xfId="16349"/>
    <cellStyle name="Финансовый 2 2 24 11 2 2" xfId="38664"/>
    <cellStyle name="Финансовый 2 2 24 11 3" xfId="10543"/>
    <cellStyle name="Финансовый 2 2 24 11 4" xfId="32858"/>
    <cellStyle name="Финансовый 2 2 24 12" xfId="2444"/>
    <cellStyle name="Финансовый 2 2 24 12 2" xfId="16542"/>
    <cellStyle name="Финансовый 2 2 24 12 2 2" xfId="38857"/>
    <cellStyle name="Финансовый 2 2 24 12 3" xfId="10736"/>
    <cellStyle name="Финансовый 2 2 24 12 4" xfId="33051"/>
    <cellStyle name="Финансовый 2 2 24 13" xfId="2676"/>
    <cellStyle name="Финансовый 2 2 24 13 2" xfId="16732"/>
    <cellStyle name="Финансовый 2 2 24 13 2 2" xfId="39047"/>
    <cellStyle name="Финансовый 2 2 24 13 3" xfId="10926"/>
    <cellStyle name="Финансовый 2 2 24 13 4" xfId="33241"/>
    <cellStyle name="Финансовый 2 2 24 14" xfId="2897"/>
    <cellStyle name="Финансовый 2 2 24 14 2" xfId="16913"/>
    <cellStyle name="Финансовый 2 2 24 14 2 2" xfId="39228"/>
    <cellStyle name="Финансовый 2 2 24 14 3" xfId="11107"/>
    <cellStyle name="Финансовый 2 2 24 14 4" xfId="33422"/>
    <cellStyle name="Финансовый 2 2 24 15" xfId="3109"/>
    <cellStyle name="Финансовый 2 2 24 15 2" xfId="17086"/>
    <cellStyle name="Финансовый 2 2 24 15 2 2" xfId="39401"/>
    <cellStyle name="Финансовый 2 2 24 15 3" xfId="11280"/>
    <cellStyle name="Финансовый 2 2 24 15 4" xfId="33595"/>
    <cellStyle name="Финансовый 2 2 24 16" xfId="3308"/>
    <cellStyle name="Финансовый 2 2 24 16 2" xfId="17246"/>
    <cellStyle name="Финансовый 2 2 24 16 2 2" xfId="39561"/>
    <cellStyle name="Финансовый 2 2 24 16 3" xfId="11440"/>
    <cellStyle name="Финансовый 2 2 24 16 4" xfId="33755"/>
    <cellStyle name="Финансовый 2 2 24 17" xfId="3495"/>
    <cellStyle name="Финансовый 2 2 24 17 2" xfId="17394"/>
    <cellStyle name="Финансовый 2 2 24 17 2 2" xfId="39709"/>
    <cellStyle name="Финансовый 2 2 24 17 3" xfId="11588"/>
    <cellStyle name="Финансовый 2 2 24 17 4" xfId="33903"/>
    <cellStyle name="Финансовый 2 2 24 18" xfId="3666"/>
    <cellStyle name="Финансовый 2 2 24 18 2" xfId="17527"/>
    <cellStyle name="Финансовый 2 2 24 18 2 2" xfId="39842"/>
    <cellStyle name="Финансовый 2 2 24 18 3" xfId="11721"/>
    <cellStyle name="Финансовый 2 2 24 18 4" xfId="34036"/>
    <cellStyle name="Финансовый 2 2 24 19" xfId="4144"/>
    <cellStyle name="Финансовый 2 2 24 19 2" xfId="17830"/>
    <cellStyle name="Финансовый 2 2 24 19 2 2" xfId="40145"/>
    <cellStyle name="Финансовый 2 2 24 19 3" xfId="12024"/>
    <cellStyle name="Финансовый 2 2 24 19 4" xfId="34339"/>
    <cellStyle name="Финансовый 2 2 24 2" xfId="462"/>
    <cellStyle name="Финансовый 2 2 24 2 10" xfId="3223"/>
    <cellStyle name="Финансовый 2 2 24 2 10 2" xfId="17191"/>
    <cellStyle name="Финансовый 2 2 24 2 10 2 2" xfId="39506"/>
    <cellStyle name="Финансовый 2 2 24 2 10 3" xfId="11385"/>
    <cellStyle name="Финансовый 2 2 24 2 10 4" xfId="33700"/>
    <cellStyle name="Финансовый 2 2 24 2 11" xfId="3411"/>
    <cellStyle name="Финансовый 2 2 24 2 11 2" xfId="17340"/>
    <cellStyle name="Финансовый 2 2 24 2 11 2 2" xfId="39655"/>
    <cellStyle name="Финансовый 2 2 24 2 11 3" xfId="11534"/>
    <cellStyle name="Финансовый 2 2 24 2 11 4" xfId="33849"/>
    <cellStyle name="Финансовый 2 2 24 2 12" xfId="3584"/>
    <cellStyle name="Финансовый 2 2 24 2 12 2" xfId="17475"/>
    <cellStyle name="Финансовый 2 2 24 2 12 2 2" xfId="39790"/>
    <cellStyle name="Финансовый 2 2 24 2 12 3" xfId="11669"/>
    <cellStyle name="Финансовый 2 2 24 2 12 4" xfId="33984"/>
    <cellStyle name="Финансовый 2 2 24 2 13" xfId="3742"/>
    <cellStyle name="Финансовый 2 2 24 2 13 2" xfId="17595"/>
    <cellStyle name="Финансовый 2 2 24 2 13 2 2" xfId="39910"/>
    <cellStyle name="Финансовый 2 2 24 2 13 3" xfId="11789"/>
    <cellStyle name="Финансовый 2 2 24 2 13 4" xfId="34104"/>
    <cellStyle name="Финансовый 2 2 24 2 14" xfId="3867"/>
    <cellStyle name="Финансовый 2 2 24 2 14 2" xfId="17687"/>
    <cellStyle name="Финансовый 2 2 24 2 14 2 2" xfId="40002"/>
    <cellStyle name="Финансовый 2 2 24 2 14 3" xfId="11881"/>
    <cellStyle name="Финансовый 2 2 24 2 14 4" xfId="34196"/>
    <cellStyle name="Финансовый 2 2 24 2 15" xfId="4844"/>
    <cellStyle name="Финансовый 2 2 24 2 15 2" xfId="18221"/>
    <cellStyle name="Финансовый 2 2 24 2 15 2 2" xfId="40536"/>
    <cellStyle name="Финансовый 2 2 24 2 15 3" xfId="12415"/>
    <cellStyle name="Финансовый 2 2 24 2 15 4" xfId="34730"/>
    <cellStyle name="Финансовый 2 2 24 2 16" xfId="8338"/>
    <cellStyle name="Финансовый 2 2 24 2 16 2" xfId="20133"/>
    <cellStyle name="Финансовый 2 2 24 2 16 2 2" xfId="42448"/>
    <cellStyle name="Финансовый 2 2 24 2 16 3" xfId="14327"/>
    <cellStyle name="Финансовый 2 2 24 2 16 4" xfId="36642"/>
    <cellStyle name="Финансовый 2 2 24 2 17" xfId="4788"/>
    <cellStyle name="Финансовый 2 2 24 2 17 2" xfId="18201"/>
    <cellStyle name="Финансовый 2 2 24 2 17 2 2" xfId="40516"/>
    <cellStyle name="Финансовый 2 2 24 2 17 3" xfId="12395"/>
    <cellStyle name="Финансовый 2 2 24 2 17 4" xfId="34710"/>
    <cellStyle name="Финансовый 2 2 24 2 18" xfId="14865"/>
    <cellStyle name="Финансовый 2 2 24 2 18 2" xfId="37180"/>
    <cellStyle name="Финансовый 2 2 24 2 19" xfId="9059"/>
    <cellStyle name="Финансовый 2 2 24 2 2" xfId="697"/>
    <cellStyle name="Финансовый 2 2 24 2 2 2" xfId="15076"/>
    <cellStyle name="Финансовый 2 2 24 2 2 2 2" xfId="37391"/>
    <cellStyle name="Финансовый 2 2 24 2 2 3" xfId="9270"/>
    <cellStyle name="Финансовый 2 2 24 2 2 4" xfId="31593"/>
    <cellStyle name="Финансовый 2 2 24 2 20" xfId="31392"/>
    <cellStyle name="Финансовый 2 2 24 2 3" xfId="1451"/>
    <cellStyle name="Финансовый 2 2 24 2 3 2" xfId="15693"/>
    <cellStyle name="Финансовый 2 2 24 2 3 2 2" xfId="38008"/>
    <cellStyle name="Финансовый 2 2 24 2 3 3" xfId="9887"/>
    <cellStyle name="Финансовый 2 2 24 2 3 4" xfId="32202"/>
    <cellStyle name="Финансовый 2 2 24 2 4" xfId="1876"/>
    <cellStyle name="Финансовый 2 2 24 2 4 2" xfId="16089"/>
    <cellStyle name="Финансовый 2 2 24 2 4 2 2" xfId="38404"/>
    <cellStyle name="Финансовый 2 2 24 2 4 3" xfId="10283"/>
    <cellStyle name="Финансовый 2 2 24 2 4 4" xfId="32598"/>
    <cellStyle name="Финансовый 2 2 24 2 5" xfId="2114"/>
    <cellStyle name="Финансовый 2 2 24 2 5 2" xfId="16285"/>
    <cellStyle name="Финансовый 2 2 24 2 5 2 2" xfId="38600"/>
    <cellStyle name="Финансовый 2 2 24 2 5 3" xfId="10479"/>
    <cellStyle name="Финансовый 2 2 24 2 5 4" xfId="32794"/>
    <cellStyle name="Финансовый 2 2 24 2 6" xfId="2349"/>
    <cellStyle name="Финансовый 2 2 24 2 6 2" xfId="16478"/>
    <cellStyle name="Финансовый 2 2 24 2 6 2 2" xfId="38793"/>
    <cellStyle name="Финансовый 2 2 24 2 6 3" xfId="10672"/>
    <cellStyle name="Финансовый 2 2 24 2 6 4" xfId="32987"/>
    <cellStyle name="Финансовый 2 2 24 2 7" xfId="2581"/>
    <cellStyle name="Финансовый 2 2 24 2 7 2" xfId="16668"/>
    <cellStyle name="Финансовый 2 2 24 2 7 2 2" xfId="38983"/>
    <cellStyle name="Финансовый 2 2 24 2 7 3" xfId="10862"/>
    <cellStyle name="Финансовый 2 2 24 2 7 4" xfId="33177"/>
    <cellStyle name="Финансовый 2 2 24 2 8" xfId="2804"/>
    <cellStyle name="Финансовый 2 2 24 2 8 2" xfId="16851"/>
    <cellStyle name="Финансовый 2 2 24 2 8 2 2" xfId="39166"/>
    <cellStyle name="Финансовый 2 2 24 2 8 3" xfId="11045"/>
    <cellStyle name="Финансовый 2 2 24 2 8 4" xfId="33360"/>
    <cellStyle name="Финансовый 2 2 24 2 9" xfId="3019"/>
    <cellStyle name="Финансовый 2 2 24 2 9 2" xfId="17026"/>
    <cellStyle name="Финансовый 2 2 24 2 9 2 2" xfId="39341"/>
    <cellStyle name="Финансовый 2 2 24 2 9 3" xfId="11220"/>
    <cellStyle name="Финансовый 2 2 24 2 9 4" xfId="33535"/>
    <cellStyle name="Финансовый 2 2 24 20" xfId="4401"/>
    <cellStyle name="Финансовый 2 2 24 20 2" xfId="17985"/>
    <cellStyle name="Финансовый 2 2 24 20 2 2" xfId="40300"/>
    <cellStyle name="Финансовый 2 2 24 20 3" xfId="12179"/>
    <cellStyle name="Финансовый 2 2 24 20 4" xfId="34494"/>
    <cellStyle name="Финансовый 2 2 24 21" xfId="5995"/>
    <cellStyle name="Финансовый 2 2 24 21 2" xfId="18845"/>
    <cellStyle name="Финансовый 2 2 24 21 2 2" xfId="41160"/>
    <cellStyle name="Финансовый 2 2 24 21 3" xfId="13039"/>
    <cellStyle name="Финансовый 2 2 24 21 4" xfId="35354"/>
    <cellStyle name="Финансовый 2 2 24 22" xfId="14634"/>
    <cellStyle name="Финансовый 2 2 24 22 2" xfId="36949"/>
    <cellStyle name="Финансовый 2 2 24 23" xfId="8828"/>
    <cellStyle name="Финансовый 2 2 24 24" xfId="31171"/>
    <cellStyle name="Финансовый 2 2 24 3" xfId="643"/>
    <cellStyle name="Финансовый 2 2 24 3 2" xfId="15022"/>
    <cellStyle name="Финансовый 2 2 24 3 2 2" xfId="37337"/>
    <cellStyle name="Финансовый 2 2 24 3 3" xfId="9216"/>
    <cellStyle name="Финансовый 2 2 24 3 4" xfId="31540"/>
    <cellStyle name="Финансовый 2 2 24 4" xfId="831"/>
    <cellStyle name="Финансовый 2 2 24 4 2" xfId="15171"/>
    <cellStyle name="Финансовый 2 2 24 4 2 2" xfId="37486"/>
    <cellStyle name="Финансовый 2 2 24 4 3" xfId="9365"/>
    <cellStyle name="Финансовый 2 2 24 4 4" xfId="31687"/>
    <cellStyle name="Финансовый 2 2 24 5" xfId="1039"/>
    <cellStyle name="Финансовый 2 2 24 5 2" xfId="15352"/>
    <cellStyle name="Финансовый 2 2 24 5 2 2" xfId="37667"/>
    <cellStyle name="Финансовый 2 2 24 5 3" xfId="9546"/>
    <cellStyle name="Финансовый 2 2 24 5 4" xfId="31865"/>
    <cellStyle name="Финансовый 2 2 24 6" xfId="1047"/>
    <cellStyle name="Финансовый 2 2 24 6 2" xfId="15360"/>
    <cellStyle name="Финансовый 2 2 24 6 2 2" xfId="37675"/>
    <cellStyle name="Финансовый 2 2 24 6 3" xfId="9554"/>
    <cellStyle name="Финансовый 2 2 24 6 4" xfId="31873"/>
    <cellStyle name="Финансовый 2 2 24 7" xfId="394"/>
    <cellStyle name="Финансовый 2 2 24 7 2" xfId="14797"/>
    <cellStyle name="Финансовый 2 2 24 7 2 2" xfId="37112"/>
    <cellStyle name="Финансовый 2 2 24 7 3" xfId="8991"/>
    <cellStyle name="Финансовый 2 2 24 7 4" xfId="31324"/>
    <cellStyle name="Финансовый 2 2 24 8" xfId="1704"/>
    <cellStyle name="Финансовый 2 2 24 8 2" xfId="15931"/>
    <cellStyle name="Финансовый 2 2 24 8 2 2" xfId="38246"/>
    <cellStyle name="Финансовый 2 2 24 8 3" xfId="10125"/>
    <cellStyle name="Финансовый 2 2 24 8 4" xfId="32440"/>
    <cellStyle name="Финансовый 2 2 24 9" xfId="1734"/>
    <cellStyle name="Финансовый 2 2 24 9 2" xfId="15958"/>
    <cellStyle name="Финансовый 2 2 24 9 2 2" xfId="38273"/>
    <cellStyle name="Финансовый 2 2 24 9 3" xfId="10152"/>
    <cellStyle name="Финансовый 2 2 24 9 4" xfId="32467"/>
    <cellStyle name="Финансовый 2 2 25" xfId="125"/>
    <cellStyle name="Финансовый 2 2 25 10" xfId="419"/>
    <cellStyle name="Финансовый 2 2 25 10 2" xfId="14822"/>
    <cellStyle name="Финансовый 2 2 25 10 2 2" xfId="37137"/>
    <cellStyle name="Финансовый 2 2 25 10 3" xfId="9016"/>
    <cellStyle name="Финансовый 2 2 25 10 4" xfId="31349"/>
    <cellStyle name="Финансовый 2 2 25 11" xfId="1797"/>
    <cellStyle name="Финансовый 2 2 25 11 2" xfId="16016"/>
    <cellStyle name="Финансовый 2 2 25 11 2 2" xfId="38331"/>
    <cellStyle name="Финансовый 2 2 25 11 3" xfId="10210"/>
    <cellStyle name="Финансовый 2 2 25 11 4" xfId="32525"/>
    <cellStyle name="Финансовый 2 2 25 12" xfId="2035"/>
    <cellStyle name="Финансовый 2 2 25 12 2" xfId="16212"/>
    <cellStyle name="Финансовый 2 2 25 12 2 2" xfId="38527"/>
    <cellStyle name="Финансовый 2 2 25 12 3" xfId="10406"/>
    <cellStyle name="Финансовый 2 2 25 12 4" xfId="32721"/>
    <cellStyle name="Финансовый 2 2 25 13" xfId="2270"/>
    <cellStyle name="Финансовый 2 2 25 13 2" xfId="16405"/>
    <cellStyle name="Финансовый 2 2 25 13 2 2" xfId="38720"/>
    <cellStyle name="Финансовый 2 2 25 13 3" xfId="10599"/>
    <cellStyle name="Финансовый 2 2 25 13 4" xfId="32914"/>
    <cellStyle name="Финансовый 2 2 25 14" xfId="2504"/>
    <cellStyle name="Финансовый 2 2 25 14 2" xfId="16597"/>
    <cellStyle name="Финансовый 2 2 25 14 2 2" xfId="38912"/>
    <cellStyle name="Финансовый 2 2 25 14 3" xfId="10791"/>
    <cellStyle name="Финансовый 2 2 25 14 4" xfId="33106"/>
    <cellStyle name="Финансовый 2 2 25 15" xfId="2732"/>
    <cellStyle name="Финансовый 2 2 25 15 2" xfId="16784"/>
    <cellStyle name="Финансовый 2 2 25 15 2 2" xfId="39099"/>
    <cellStyle name="Финансовый 2 2 25 15 3" xfId="10978"/>
    <cellStyle name="Финансовый 2 2 25 15 4" xfId="33293"/>
    <cellStyle name="Финансовый 2 2 25 16" xfId="2952"/>
    <cellStyle name="Финансовый 2 2 25 16 2" xfId="16964"/>
    <cellStyle name="Финансовый 2 2 25 16 2 2" xfId="39279"/>
    <cellStyle name="Финансовый 2 2 25 16 3" xfId="11158"/>
    <cellStyle name="Финансовый 2 2 25 16 4" xfId="33473"/>
    <cellStyle name="Финансовый 2 2 25 17" xfId="3161"/>
    <cellStyle name="Финансовый 2 2 25 17 2" xfId="17134"/>
    <cellStyle name="Финансовый 2 2 25 17 2 2" xfId="39449"/>
    <cellStyle name="Финансовый 2 2 25 17 3" xfId="11328"/>
    <cellStyle name="Финансовый 2 2 25 17 4" xfId="33643"/>
    <cellStyle name="Финансовый 2 2 25 18" xfId="3354"/>
    <cellStyle name="Финансовый 2 2 25 18 2" xfId="17288"/>
    <cellStyle name="Финансовый 2 2 25 18 2 2" xfId="39603"/>
    <cellStyle name="Финансовый 2 2 25 18 3" xfId="11482"/>
    <cellStyle name="Финансовый 2 2 25 18 4" xfId="33797"/>
    <cellStyle name="Финансовый 2 2 25 19" xfId="4441"/>
    <cellStyle name="Финансовый 2 2 25 19 2" xfId="18007"/>
    <cellStyle name="Финансовый 2 2 25 19 2 2" xfId="40322"/>
    <cellStyle name="Финансовый 2 2 25 19 3" xfId="12201"/>
    <cellStyle name="Финансовый 2 2 25 19 4" xfId="34516"/>
    <cellStyle name="Финансовый 2 2 25 2" xfId="467"/>
    <cellStyle name="Финансовый 2 2 25 2 10" xfId="2126"/>
    <cellStyle name="Финансовый 2 2 25 2 10 2" xfId="16297"/>
    <cellStyle name="Финансовый 2 2 25 2 10 2 2" xfId="38612"/>
    <cellStyle name="Финансовый 2 2 25 2 10 3" xfId="10491"/>
    <cellStyle name="Финансовый 2 2 25 2 10 4" xfId="32806"/>
    <cellStyle name="Финансовый 2 2 25 2 11" xfId="2361"/>
    <cellStyle name="Финансовый 2 2 25 2 11 2" xfId="16490"/>
    <cellStyle name="Финансовый 2 2 25 2 11 2 2" xfId="38805"/>
    <cellStyle name="Финансовый 2 2 25 2 11 3" xfId="10684"/>
    <cellStyle name="Финансовый 2 2 25 2 11 4" xfId="32999"/>
    <cellStyle name="Финансовый 2 2 25 2 12" xfId="2593"/>
    <cellStyle name="Финансовый 2 2 25 2 12 2" xfId="16680"/>
    <cellStyle name="Финансовый 2 2 25 2 12 2 2" xfId="38995"/>
    <cellStyle name="Финансовый 2 2 25 2 12 3" xfId="10874"/>
    <cellStyle name="Финансовый 2 2 25 2 12 4" xfId="33189"/>
    <cellStyle name="Финансовый 2 2 25 2 13" xfId="2815"/>
    <cellStyle name="Финансовый 2 2 25 2 13 2" xfId="16862"/>
    <cellStyle name="Финансовый 2 2 25 2 13 2 2" xfId="39177"/>
    <cellStyle name="Финансовый 2 2 25 2 13 3" xfId="11056"/>
    <cellStyle name="Финансовый 2 2 25 2 13 4" xfId="33371"/>
    <cellStyle name="Финансовый 2 2 25 2 14" xfId="3029"/>
    <cellStyle name="Финансовый 2 2 25 2 14 2" xfId="17036"/>
    <cellStyle name="Финансовый 2 2 25 2 14 2 2" xfId="39351"/>
    <cellStyle name="Финансовый 2 2 25 2 14 3" xfId="11230"/>
    <cellStyle name="Финансовый 2 2 25 2 14 4" xfId="33545"/>
    <cellStyle name="Финансовый 2 2 25 2 15" xfId="5072"/>
    <cellStyle name="Финансовый 2 2 25 2 15 2" xfId="18348"/>
    <cellStyle name="Финансовый 2 2 25 2 15 2 2" xfId="40663"/>
    <cellStyle name="Финансовый 2 2 25 2 15 3" xfId="12542"/>
    <cellStyle name="Финансовый 2 2 25 2 15 4" xfId="34857"/>
    <cellStyle name="Финансовый 2 2 25 2 16" xfId="8127"/>
    <cellStyle name="Финансовый 2 2 25 2 16 2" xfId="20010"/>
    <cellStyle name="Финансовый 2 2 25 2 16 2 2" xfId="42325"/>
    <cellStyle name="Финансовый 2 2 25 2 16 3" xfId="14204"/>
    <cellStyle name="Финансовый 2 2 25 2 16 4" xfId="36519"/>
    <cellStyle name="Финансовый 2 2 25 2 17" xfId="323"/>
    <cellStyle name="Финансовый 2 2 25 2 17 2" xfId="14739"/>
    <cellStyle name="Финансовый 2 2 25 2 17 2 2" xfId="37054"/>
    <cellStyle name="Финансовый 2 2 25 2 17 3" xfId="8933"/>
    <cellStyle name="Финансовый 2 2 25 2 17 4" xfId="31268"/>
    <cellStyle name="Финансовый 2 2 25 2 18" xfId="14870"/>
    <cellStyle name="Финансовый 2 2 25 2 18 2" xfId="37185"/>
    <cellStyle name="Финансовый 2 2 25 2 19" xfId="9064"/>
    <cellStyle name="Финансовый 2 2 25 2 2" xfId="699"/>
    <cellStyle name="Финансовый 2 2 25 2 2 2" xfId="15078"/>
    <cellStyle name="Финансовый 2 2 25 2 2 2 2" xfId="37393"/>
    <cellStyle name="Финансовый 2 2 25 2 2 3" xfId="9272"/>
    <cellStyle name="Финансовый 2 2 25 2 2 4" xfId="31595"/>
    <cellStyle name="Финансовый 2 2 25 2 20" xfId="31397"/>
    <cellStyle name="Финансовый 2 2 25 2 3" xfId="1453"/>
    <cellStyle name="Финансовый 2 2 25 2 3 2" xfId="15695"/>
    <cellStyle name="Финансовый 2 2 25 2 3 2 2" xfId="38010"/>
    <cellStyle name="Финансовый 2 2 25 2 3 3" xfId="9889"/>
    <cellStyle name="Финансовый 2 2 25 2 3 4" xfId="32204"/>
    <cellStyle name="Финансовый 2 2 25 2 4" xfId="1668"/>
    <cellStyle name="Финансовый 2 2 25 2 4 2" xfId="15897"/>
    <cellStyle name="Финансовый 2 2 25 2 4 2 2" xfId="38212"/>
    <cellStyle name="Финансовый 2 2 25 2 4 3" xfId="10091"/>
    <cellStyle name="Финансовый 2 2 25 2 4 4" xfId="32406"/>
    <cellStyle name="Финансовый 2 2 25 2 5" xfId="476"/>
    <cellStyle name="Финансовый 2 2 25 2 5 2" xfId="14878"/>
    <cellStyle name="Финансовый 2 2 25 2 5 2 2" xfId="37193"/>
    <cellStyle name="Финансовый 2 2 25 2 5 3" xfId="9072"/>
    <cellStyle name="Финансовый 2 2 25 2 5 4" xfId="31405"/>
    <cellStyle name="Финансовый 2 2 25 2 6" xfId="361"/>
    <cellStyle name="Финансовый 2 2 25 2 6 2" xfId="14764"/>
    <cellStyle name="Финансовый 2 2 25 2 6 2 2" xfId="37079"/>
    <cellStyle name="Финансовый 2 2 25 2 6 3" xfId="8958"/>
    <cellStyle name="Финансовый 2 2 25 2 6 4" xfId="31291"/>
    <cellStyle name="Финансовый 2 2 25 2 7" xfId="357"/>
    <cellStyle name="Финансовый 2 2 25 2 7 2" xfId="14760"/>
    <cellStyle name="Финансовый 2 2 25 2 7 2 2" xfId="37075"/>
    <cellStyle name="Финансовый 2 2 25 2 7 3" xfId="8954"/>
    <cellStyle name="Финансовый 2 2 25 2 7 4" xfId="31287"/>
    <cellStyle name="Финансовый 2 2 25 2 8" xfId="1539"/>
    <cellStyle name="Финансовый 2 2 25 2 8 2" xfId="15779"/>
    <cellStyle name="Финансовый 2 2 25 2 8 2 2" xfId="38094"/>
    <cellStyle name="Финансовый 2 2 25 2 8 3" xfId="9973"/>
    <cellStyle name="Финансовый 2 2 25 2 8 4" xfId="32288"/>
    <cellStyle name="Финансовый 2 2 25 2 9" xfId="1888"/>
    <cellStyle name="Финансовый 2 2 25 2 9 2" xfId="16101"/>
    <cellStyle name="Финансовый 2 2 25 2 9 2 2" xfId="38416"/>
    <cellStyle name="Финансовый 2 2 25 2 9 3" xfId="10295"/>
    <cellStyle name="Финансовый 2 2 25 2 9 4" xfId="32610"/>
    <cellStyle name="Финансовый 2 2 25 20" xfId="6237"/>
    <cellStyle name="Финансовый 2 2 25 20 2" xfId="18980"/>
    <cellStyle name="Финансовый 2 2 25 20 2 2" xfId="41295"/>
    <cellStyle name="Финансовый 2 2 25 20 3" xfId="13174"/>
    <cellStyle name="Финансовый 2 2 25 20 4" xfId="35489"/>
    <cellStyle name="Финансовый 2 2 25 21" xfId="5005"/>
    <cellStyle name="Финансовый 2 2 25 21 2" xfId="18312"/>
    <cellStyle name="Финансовый 2 2 25 21 2 2" xfId="40627"/>
    <cellStyle name="Финансовый 2 2 25 21 3" xfId="12506"/>
    <cellStyle name="Финансовый 2 2 25 21 4" xfId="34821"/>
    <cellStyle name="Финансовый 2 2 25 22" xfId="14637"/>
    <cellStyle name="Финансовый 2 2 25 22 2" xfId="36952"/>
    <cellStyle name="Финансовый 2 2 25 23" xfId="8831"/>
    <cellStyle name="Финансовый 2 2 25 24" xfId="31173"/>
    <cellStyle name="Финансовый 2 2 25 3" xfId="601"/>
    <cellStyle name="Финансовый 2 2 25 3 2" xfId="14985"/>
    <cellStyle name="Финансовый 2 2 25 3 2 2" xfId="37300"/>
    <cellStyle name="Финансовый 2 2 25 3 3" xfId="9179"/>
    <cellStyle name="Финансовый 2 2 25 3 4" xfId="31504"/>
    <cellStyle name="Финансовый 2 2 25 4" xfId="910"/>
    <cellStyle name="Финансовый 2 2 25 4 2" xfId="15239"/>
    <cellStyle name="Финансовый 2 2 25 4 2 2" xfId="37554"/>
    <cellStyle name="Финансовый 2 2 25 4 3" xfId="9433"/>
    <cellStyle name="Финансовый 2 2 25 4 4" xfId="31753"/>
    <cellStyle name="Финансовый 2 2 25 5" xfId="1042"/>
    <cellStyle name="Финансовый 2 2 25 5 2" xfId="15355"/>
    <cellStyle name="Финансовый 2 2 25 5 2 2" xfId="37670"/>
    <cellStyle name="Финансовый 2 2 25 5 3" xfId="9549"/>
    <cellStyle name="Финансовый 2 2 25 5 4" xfId="31868"/>
    <cellStyle name="Финансовый 2 2 25 6" xfId="1126"/>
    <cellStyle name="Финансовый 2 2 25 6 2" xfId="15428"/>
    <cellStyle name="Финансовый 2 2 25 6 2 2" xfId="37743"/>
    <cellStyle name="Финансовый 2 2 25 6 3" xfId="9622"/>
    <cellStyle name="Финансовый 2 2 25 6 4" xfId="31939"/>
    <cellStyle name="Финансовый 2 2 25 7" xfId="404"/>
    <cellStyle name="Финансовый 2 2 25 7 2" xfId="14807"/>
    <cellStyle name="Финансовый 2 2 25 7 2 2" xfId="37122"/>
    <cellStyle name="Финансовый 2 2 25 7 3" xfId="9001"/>
    <cellStyle name="Финансовый 2 2 25 7 4" xfId="31334"/>
    <cellStyle name="Финансовый 2 2 25 8" xfId="1436"/>
    <cellStyle name="Финансовый 2 2 25 8 2" xfId="15679"/>
    <cellStyle name="Финансовый 2 2 25 8 2 2" xfId="37994"/>
    <cellStyle name="Финансовый 2 2 25 8 3" xfId="9873"/>
    <cellStyle name="Финансовый 2 2 25 8 4" xfId="32188"/>
    <cellStyle name="Финансовый 2 2 25 9" xfId="1393"/>
    <cellStyle name="Финансовый 2 2 25 9 2" xfId="15640"/>
    <cellStyle name="Финансовый 2 2 25 9 2 2" xfId="37955"/>
    <cellStyle name="Финансовый 2 2 25 9 3" xfId="9834"/>
    <cellStyle name="Финансовый 2 2 25 9 4" xfId="32149"/>
    <cellStyle name="Финансовый 2 2 26" xfId="130"/>
    <cellStyle name="Финансовый 2 2 26 10" xfId="2005"/>
    <cellStyle name="Финансовый 2 2 26 10 2" xfId="16184"/>
    <cellStyle name="Финансовый 2 2 26 10 2 2" xfId="38499"/>
    <cellStyle name="Финансовый 2 2 26 10 3" xfId="10378"/>
    <cellStyle name="Финансовый 2 2 26 10 4" xfId="32693"/>
    <cellStyle name="Финансовый 2 2 26 11" xfId="2241"/>
    <cellStyle name="Финансовый 2 2 26 11 2" xfId="16378"/>
    <cellStyle name="Финансовый 2 2 26 11 2 2" xfId="38693"/>
    <cellStyle name="Финансовый 2 2 26 11 3" xfId="10572"/>
    <cellStyle name="Финансовый 2 2 26 11 4" xfId="32887"/>
    <cellStyle name="Финансовый 2 2 26 12" xfId="2475"/>
    <cellStyle name="Финансовый 2 2 26 12 2" xfId="16570"/>
    <cellStyle name="Финансовый 2 2 26 12 2 2" xfId="38885"/>
    <cellStyle name="Финансовый 2 2 26 12 3" xfId="10764"/>
    <cellStyle name="Финансовый 2 2 26 12 4" xfId="33079"/>
    <cellStyle name="Финансовый 2 2 26 13" xfId="2704"/>
    <cellStyle name="Финансовый 2 2 26 13 2" xfId="16758"/>
    <cellStyle name="Финансовый 2 2 26 13 2 2" xfId="39073"/>
    <cellStyle name="Финансовый 2 2 26 13 3" xfId="10952"/>
    <cellStyle name="Финансовый 2 2 26 13 4" xfId="33267"/>
    <cellStyle name="Финансовый 2 2 26 14" xfId="2924"/>
    <cellStyle name="Финансовый 2 2 26 14 2" xfId="16938"/>
    <cellStyle name="Финансовый 2 2 26 14 2 2" xfId="39253"/>
    <cellStyle name="Финансовый 2 2 26 14 3" xfId="11132"/>
    <cellStyle name="Финансовый 2 2 26 14 4" xfId="33447"/>
    <cellStyle name="Финансовый 2 2 26 15" xfId="3135"/>
    <cellStyle name="Финансовый 2 2 26 15 2" xfId="17110"/>
    <cellStyle name="Финансовый 2 2 26 15 2 2" xfId="39425"/>
    <cellStyle name="Финансовый 2 2 26 15 3" xfId="11304"/>
    <cellStyle name="Финансовый 2 2 26 15 4" xfId="33619"/>
    <cellStyle name="Финансовый 2 2 26 16" xfId="3330"/>
    <cellStyle name="Финансовый 2 2 26 16 2" xfId="17266"/>
    <cellStyle name="Финансовый 2 2 26 16 2 2" xfId="39581"/>
    <cellStyle name="Финансовый 2 2 26 16 3" xfId="11460"/>
    <cellStyle name="Финансовый 2 2 26 16 4" xfId="33775"/>
    <cellStyle name="Финансовый 2 2 26 17" xfId="3514"/>
    <cellStyle name="Финансовый 2 2 26 17 2" xfId="17411"/>
    <cellStyle name="Финансовый 2 2 26 17 2 2" xfId="39726"/>
    <cellStyle name="Финансовый 2 2 26 17 3" xfId="11605"/>
    <cellStyle name="Финансовый 2 2 26 17 4" xfId="33920"/>
    <cellStyle name="Финансовый 2 2 26 18" xfId="3680"/>
    <cellStyle name="Финансовый 2 2 26 18 2" xfId="17539"/>
    <cellStyle name="Финансовый 2 2 26 18 2 2" xfId="39854"/>
    <cellStyle name="Финансовый 2 2 26 18 3" xfId="11733"/>
    <cellStyle name="Финансовый 2 2 26 18 4" xfId="34048"/>
    <cellStyle name="Финансовый 2 2 26 19" xfId="4103"/>
    <cellStyle name="Финансовый 2 2 26 19 2" xfId="17811"/>
    <cellStyle name="Финансовый 2 2 26 19 2 2" xfId="40126"/>
    <cellStyle name="Финансовый 2 2 26 19 3" xfId="12005"/>
    <cellStyle name="Финансовый 2 2 26 19 4" xfId="34320"/>
    <cellStyle name="Финансовый 2 2 26 2" xfId="472"/>
    <cellStyle name="Финансовый 2 2 26 2 10" xfId="3172"/>
    <cellStyle name="Финансовый 2 2 26 2 10 2" xfId="17144"/>
    <cellStyle name="Финансовый 2 2 26 2 10 2 2" xfId="39459"/>
    <cellStyle name="Финансовый 2 2 26 2 10 3" xfId="11338"/>
    <cellStyle name="Финансовый 2 2 26 2 10 4" xfId="33653"/>
    <cellStyle name="Финансовый 2 2 26 2 11" xfId="3362"/>
    <cellStyle name="Финансовый 2 2 26 2 11 2" xfId="17295"/>
    <cellStyle name="Финансовый 2 2 26 2 11 2 2" xfId="39610"/>
    <cellStyle name="Финансовый 2 2 26 2 11 3" xfId="11489"/>
    <cellStyle name="Финансовый 2 2 26 2 11 4" xfId="33804"/>
    <cellStyle name="Финансовый 2 2 26 2 12" xfId="3544"/>
    <cellStyle name="Финансовый 2 2 26 2 12 2" xfId="17438"/>
    <cellStyle name="Финансовый 2 2 26 2 12 2 2" xfId="39753"/>
    <cellStyle name="Финансовый 2 2 26 2 12 3" xfId="11632"/>
    <cellStyle name="Финансовый 2 2 26 2 12 4" xfId="33947"/>
    <cellStyle name="Финансовый 2 2 26 2 13" xfId="3706"/>
    <cellStyle name="Финансовый 2 2 26 2 13 2" xfId="17562"/>
    <cellStyle name="Финансовый 2 2 26 2 13 2 2" xfId="39877"/>
    <cellStyle name="Финансовый 2 2 26 2 13 3" xfId="11756"/>
    <cellStyle name="Финансовый 2 2 26 2 13 4" xfId="34071"/>
    <cellStyle name="Финансовый 2 2 26 2 14" xfId="3844"/>
    <cellStyle name="Финансовый 2 2 26 2 14 2" xfId="17666"/>
    <cellStyle name="Финансовый 2 2 26 2 14 2 2" xfId="39981"/>
    <cellStyle name="Финансовый 2 2 26 2 14 3" xfId="11860"/>
    <cellStyle name="Финансовый 2 2 26 2 14 4" xfId="34175"/>
    <cellStyle name="Финансовый 2 2 26 2 15" xfId="8200"/>
    <cellStyle name="Финансовый 2 2 26 2 15 2" xfId="20052"/>
    <cellStyle name="Финансовый 2 2 26 2 15 2 2" xfId="42367"/>
    <cellStyle name="Финансовый 2 2 26 2 15 3" xfId="14246"/>
    <cellStyle name="Финансовый 2 2 26 2 15 4" xfId="36561"/>
    <cellStyle name="Финансовый 2 2 26 2 16" xfId="8205"/>
    <cellStyle name="Финансовый 2 2 26 2 16 2" xfId="20057"/>
    <cellStyle name="Финансовый 2 2 26 2 16 2 2" xfId="42372"/>
    <cellStyle name="Финансовый 2 2 26 2 16 3" xfId="14251"/>
    <cellStyle name="Финансовый 2 2 26 2 16 4" xfId="36566"/>
    <cellStyle name="Финансовый 2 2 26 2 17" xfId="7435"/>
    <cellStyle name="Финансовый 2 2 26 2 17 2" xfId="19623"/>
    <cellStyle name="Финансовый 2 2 26 2 17 2 2" xfId="41938"/>
    <cellStyle name="Финансовый 2 2 26 2 17 3" xfId="13817"/>
    <cellStyle name="Финансовый 2 2 26 2 17 4" xfId="36132"/>
    <cellStyle name="Финансовый 2 2 26 2 18" xfId="14875"/>
    <cellStyle name="Финансовый 2 2 26 2 18 2" xfId="37190"/>
    <cellStyle name="Финансовый 2 2 26 2 19" xfId="9069"/>
    <cellStyle name="Финансовый 2 2 26 2 2" xfId="702"/>
    <cellStyle name="Финансовый 2 2 26 2 2 2" xfId="15081"/>
    <cellStyle name="Финансовый 2 2 26 2 2 2 2" xfId="37396"/>
    <cellStyle name="Финансовый 2 2 26 2 2 3" xfId="9275"/>
    <cellStyle name="Финансовый 2 2 26 2 2 4" xfId="31598"/>
    <cellStyle name="Финансовый 2 2 26 2 20" xfId="31402"/>
    <cellStyle name="Финансовый 2 2 26 2 3" xfId="1456"/>
    <cellStyle name="Финансовый 2 2 26 2 3 2" xfId="15698"/>
    <cellStyle name="Финансовый 2 2 26 2 3 2 2" xfId="38013"/>
    <cellStyle name="Финансовый 2 2 26 2 3 3" xfId="9892"/>
    <cellStyle name="Финансовый 2 2 26 2 3 4" xfId="32207"/>
    <cellStyle name="Финансовый 2 2 26 2 4" xfId="1813"/>
    <cellStyle name="Финансовый 2 2 26 2 4 2" xfId="16031"/>
    <cellStyle name="Финансовый 2 2 26 2 4 2 2" xfId="38346"/>
    <cellStyle name="Финансовый 2 2 26 2 4 3" xfId="10225"/>
    <cellStyle name="Финансовый 2 2 26 2 4 4" xfId="32540"/>
    <cellStyle name="Финансовый 2 2 26 2 5" xfId="2051"/>
    <cellStyle name="Финансовый 2 2 26 2 5 2" xfId="16227"/>
    <cellStyle name="Финансовый 2 2 26 2 5 2 2" xfId="38542"/>
    <cellStyle name="Финансовый 2 2 26 2 5 3" xfId="10421"/>
    <cellStyle name="Финансовый 2 2 26 2 5 4" xfId="32736"/>
    <cellStyle name="Финансовый 2 2 26 2 6" xfId="2286"/>
    <cellStyle name="Финансовый 2 2 26 2 6 2" xfId="16420"/>
    <cellStyle name="Финансовый 2 2 26 2 6 2 2" xfId="38735"/>
    <cellStyle name="Финансовый 2 2 26 2 6 3" xfId="10614"/>
    <cellStyle name="Финансовый 2 2 26 2 6 4" xfId="32929"/>
    <cellStyle name="Финансовый 2 2 26 2 7" xfId="2519"/>
    <cellStyle name="Финансовый 2 2 26 2 7 2" xfId="16611"/>
    <cellStyle name="Финансовый 2 2 26 2 7 2 2" xfId="38926"/>
    <cellStyle name="Финансовый 2 2 26 2 7 3" xfId="10805"/>
    <cellStyle name="Финансовый 2 2 26 2 7 4" xfId="33120"/>
    <cellStyle name="Финансовый 2 2 26 2 8" xfId="2746"/>
    <cellStyle name="Финансовый 2 2 26 2 8 2" xfId="16797"/>
    <cellStyle name="Финансовый 2 2 26 2 8 2 2" xfId="39112"/>
    <cellStyle name="Финансовый 2 2 26 2 8 3" xfId="10991"/>
    <cellStyle name="Финансовый 2 2 26 2 8 4" xfId="33306"/>
    <cellStyle name="Финансовый 2 2 26 2 9" xfId="2964"/>
    <cellStyle name="Финансовый 2 2 26 2 9 2" xfId="16975"/>
    <cellStyle name="Финансовый 2 2 26 2 9 2 2" xfId="39290"/>
    <cellStyle name="Финансовый 2 2 26 2 9 3" xfId="11169"/>
    <cellStyle name="Финансовый 2 2 26 2 9 4" xfId="33484"/>
    <cellStyle name="Финансовый 2 2 26 20" xfId="4607"/>
    <cellStyle name="Финансовый 2 2 26 20 2" xfId="18091"/>
    <cellStyle name="Финансовый 2 2 26 20 2 2" xfId="40406"/>
    <cellStyle name="Финансовый 2 2 26 20 3" xfId="12285"/>
    <cellStyle name="Финансовый 2 2 26 20 4" xfId="34600"/>
    <cellStyle name="Финансовый 2 2 26 21" xfId="5927"/>
    <cellStyle name="Финансовый 2 2 26 21 2" xfId="18810"/>
    <cellStyle name="Финансовый 2 2 26 21 2 2" xfId="41125"/>
    <cellStyle name="Финансовый 2 2 26 21 3" xfId="13004"/>
    <cellStyle name="Финансовый 2 2 26 21 4" xfId="35319"/>
    <cellStyle name="Финансовый 2 2 26 22" xfId="14640"/>
    <cellStyle name="Финансовый 2 2 26 22 2" xfId="36955"/>
    <cellStyle name="Финансовый 2 2 26 23" xfId="8834"/>
    <cellStyle name="Финансовый 2 2 26 24" xfId="31175"/>
    <cellStyle name="Финансовый 2 2 26 3" xfId="828"/>
    <cellStyle name="Финансовый 2 2 26 3 2" xfId="15168"/>
    <cellStyle name="Финансовый 2 2 26 3 2 2" xfId="37483"/>
    <cellStyle name="Финансовый 2 2 26 3 3" xfId="9362"/>
    <cellStyle name="Финансовый 2 2 26 3 4" xfId="31684"/>
    <cellStyle name="Финансовый 2 2 26 4" xfId="660"/>
    <cellStyle name="Финансовый 2 2 26 4 2" xfId="15039"/>
    <cellStyle name="Финансовый 2 2 26 4 2 2" xfId="37354"/>
    <cellStyle name="Финансовый 2 2 26 4 3" xfId="9233"/>
    <cellStyle name="Финансовый 2 2 26 4 4" xfId="31557"/>
    <cellStyle name="Финансовый 2 2 26 5" xfId="1044"/>
    <cellStyle name="Финансовый 2 2 26 5 2" xfId="15357"/>
    <cellStyle name="Финансовый 2 2 26 5 2 2" xfId="37672"/>
    <cellStyle name="Финансовый 2 2 26 5 3" xfId="9551"/>
    <cellStyle name="Финансовый 2 2 26 5 4" xfId="31870"/>
    <cellStyle name="Финансовый 2 2 26 6" xfId="1031"/>
    <cellStyle name="Финансовый 2 2 26 6 2" xfId="15344"/>
    <cellStyle name="Финансовый 2 2 26 6 2 2" xfId="37659"/>
    <cellStyle name="Финансовый 2 2 26 6 3" xfId="9538"/>
    <cellStyle name="Финансовый 2 2 26 6 4" xfId="31857"/>
    <cellStyle name="Финансовый 2 2 26 7" xfId="381"/>
    <cellStyle name="Финансовый 2 2 26 7 2" xfId="14784"/>
    <cellStyle name="Финансовый 2 2 26 7 2 2" xfId="37099"/>
    <cellStyle name="Финансовый 2 2 26 7 3" xfId="8978"/>
    <cellStyle name="Финансовый 2 2 26 7 4" xfId="31311"/>
    <cellStyle name="Финансовый 2 2 26 8" xfId="1324"/>
    <cellStyle name="Финансовый 2 2 26 8 2" xfId="15579"/>
    <cellStyle name="Финансовый 2 2 26 8 2 2" xfId="37894"/>
    <cellStyle name="Финансовый 2 2 26 8 3" xfId="9773"/>
    <cellStyle name="Финансовый 2 2 26 8 4" xfId="32088"/>
    <cellStyle name="Финансовый 2 2 26 9" xfId="1767"/>
    <cellStyle name="Финансовый 2 2 26 9 2" xfId="15988"/>
    <cellStyle name="Финансовый 2 2 26 9 2 2" xfId="38303"/>
    <cellStyle name="Финансовый 2 2 26 9 3" xfId="10182"/>
    <cellStyle name="Финансовый 2 2 26 9 4" xfId="32497"/>
    <cellStyle name="Финансовый 2 2 27" xfId="135"/>
    <cellStyle name="Финансовый 2 2 27 10" xfId="1994"/>
    <cellStyle name="Финансовый 2 2 27 10 2" xfId="16175"/>
    <cellStyle name="Финансовый 2 2 27 10 2 2" xfId="38490"/>
    <cellStyle name="Финансовый 2 2 27 10 3" xfId="10369"/>
    <cellStyle name="Финансовый 2 2 27 10 4" xfId="32684"/>
    <cellStyle name="Финансовый 2 2 27 11" xfId="2230"/>
    <cellStyle name="Финансовый 2 2 27 11 2" xfId="16369"/>
    <cellStyle name="Финансовый 2 2 27 11 2 2" xfId="38684"/>
    <cellStyle name="Финансовый 2 2 27 11 3" xfId="10563"/>
    <cellStyle name="Финансовый 2 2 27 11 4" xfId="32878"/>
    <cellStyle name="Финансовый 2 2 27 12" xfId="2464"/>
    <cellStyle name="Финансовый 2 2 27 12 2" xfId="16561"/>
    <cellStyle name="Финансовый 2 2 27 12 2 2" xfId="38876"/>
    <cellStyle name="Финансовый 2 2 27 12 3" xfId="10755"/>
    <cellStyle name="Финансовый 2 2 27 12 4" xfId="33070"/>
    <cellStyle name="Финансовый 2 2 27 13" xfId="2694"/>
    <cellStyle name="Финансовый 2 2 27 13 2" xfId="16749"/>
    <cellStyle name="Финансовый 2 2 27 13 2 2" xfId="39064"/>
    <cellStyle name="Финансовый 2 2 27 13 3" xfId="10943"/>
    <cellStyle name="Финансовый 2 2 27 13 4" xfId="33258"/>
    <cellStyle name="Финансовый 2 2 27 14" xfId="2915"/>
    <cellStyle name="Финансовый 2 2 27 14 2" xfId="16930"/>
    <cellStyle name="Финансовый 2 2 27 14 2 2" xfId="39245"/>
    <cellStyle name="Финансовый 2 2 27 14 3" xfId="11124"/>
    <cellStyle name="Финансовый 2 2 27 14 4" xfId="33439"/>
    <cellStyle name="Финансовый 2 2 27 15" xfId="3126"/>
    <cellStyle name="Финансовый 2 2 27 15 2" xfId="17102"/>
    <cellStyle name="Финансовый 2 2 27 15 2 2" xfId="39417"/>
    <cellStyle name="Финансовый 2 2 27 15 3" xfId="11296"/>
    <cellStyle name="Финансовый 2 2 27 15 4" xfId="33611"/>
    <cellStyle name="Финансовый 2 2 27 16" xfId="3323"/>
    <cellStyle name="Финансовый 2 2 27 16 2" xfId="17260"/>
    <cellStyle name="Финансовый 2 2 27 16 2 2" xfId="39575"/>
    <cellStyle name="Финансовый 2 2 27 16 3" xfId="11454"/>
    <cellStyle name="Финансовый 2 2 27 16 4" xfId="33769"/>
    <cellStyle name="Финансовый 2 2 27 17" xfId="3507"/>
    <cellStyle name="Финансовый 2 2 27 17 2" xfId="17405"/>
    <cellStyle name="Финансовый 2 2 27 17 2 2" xfId="39720"/>
    <cellStyle name="Финансовый 2 2 27 17 3" xfId="11599"/>
    <cellStyle name="Финансовый 2 2 27 17 4" xfId="33914"/>
    <cellStyle name="Финансовый 2 2 27 18" xfId="3674"/>
    <cellStyle name="Финансовый 2 2 27 18 2" xfId="17534"/>
    <cellStyle name="Финансовый 2 2 27 18 2 2" xfId="39849"/>
    <cellStyle name="Финансовый 2 2 27 18 3" xfId="11728"/>
    <cellStyle name="Финансовый 2 2 27 18 4" xfId="34043"/>
    <cellStyle name="Финансовый 2 2 27 19" xfId="6009"/>
    <cellStyle name="Финансовый 2 2 27 19 2" xfId="18853"/>
    <cellStyle name="Финансовый 2 2 27 19 2 2" xfId="41168"/>
    <cellStyle name="Финансовый 2 2 27 19 3" xfId="13047"/>
    <cellStyle name="Финансовый 2 2 27 19 4" xfId="35362"/>
    <cellStyle name="Финансовый 2 2 27 2" xfId="477"/>
    <cellStyle name="Финансовый 2 2 27 2 10" xfId="3219"/>
    <cellStyle name="Финансовый 2 2 27 2 10 2" xfId="17187"/>
    <cellStyle name="Финансовый 2 2 27 2 10 2 2" xfId="39502"/>
    <cellStyle name="Финансовый 2 2 27 2 10 3" xfId="11381"/>
    <cellStyle name="Финансовый 2 2 27 2 10 4" xfId="33696"/>
    <cellStyle name="Финансовый 2 2 27 2 11" xfId="3407"/>
    <cellStyle name="Финансовый 2 2 27 2 11 2" xfId="17336"/>
    <cellStyle name="Финансовый 2 2 27 2 11 2 2" xfId="39651"/>
    <cellStyle name="Финансовый 2 2 27 2 11 3" xfId="11530"/>
    <cellStyle name="Финансовый 2 2 27 2 11 4" xfId="33845"/>
    <cellStyle name="Финансовый 2 2 27 2 12" xfId="3580"/>
    <cellStyle name="Финансовый 2 2 27 2 12 2" xfId="17471"/>
    <cellStyle name="Финансовый 2 2 27 2 12 2 2" xfId="39786"/>
    <cellStyle name="Финансовый 2 2 27 2 12 3" xfId="11665"/>
    <cellStyle name="Финансовый 2 2 27 2 12 4" xfId="33980"/>
    <cellStyle name="Финансовый 2 2 27 2 13" xfId="3738"/>
    <cellStyle name="Финансовый 2 2 27 2 13 2" xfId="17591"/>
    <cellStyle name="Финансовый 2 2 27 2 13 2 2" xfId="39906"/>
    <cellStyle name="Финансовый 2 2 27 2 13 3" xfId="11785"/>
    <cellStyle name="Финансовый 2 2 27 2 13 4" xfId="34100"/>
    <cellStyle name="Финансовый 2 2 27 2 14" xfId="3864"/>
    <cellStyle name="Финансовый 2 2 27 2 14 2" xfId="17684"/>
    <cellStyle name="Финансовый 2 2 27 2 14 2 2" xfId="39999"/>
    <cellStyle name="Финансовый 2 2 27 2 14 3" xfId="11878"/>
    <cellStyle name="Финансовый 2 2 27 2 14 4" xfId="34193"/>
    <cellStyle name="Финансовый 2 2 27 2 15" xfId="4313"/>
    <cellStyle name="Финансовый 2 2 27 2 15 2" xfId="17936"/>
    <cellStyle name="Финансовый 2 2 27 2 15 2 2" xfId="40251"/>
    <cellStyle name="Финансовый 2 2 27 2 15 3" xfId="12130"/>
    <cellStyle name="Финансовый 2 2 27 2 15 4" xfId="34445"/>
    <cellStyle name="Финансовый 2 2 27 2 16" xfId="4726"/>
    <cellStyle name="Финансовый 2 2 27 2 16 2" xfId="18162"/>
    <cellStyle name="Финансовый 2 2 27 2 16 2 2" xfId="40477"/>
    <cellStyle name="Финансовый 2 2 27 2 16 3" xfId="12356"/>
    <cellStyle name="Финансовый 2 2 27 2 16 4" xfId="34671"/>
    <cellStyle name="Финансовый 2 2 27 2 17" xfId="4642"/>
    <cellStyle name="Финансовый 2 2 27 2 17 2" xfId="18112"/>
    <cellStyle name="Финансовый 2 2 27 2 17 2 2" xfId="40427"/>
    <cellStyle name="Финансовый 2 2 27 2 17 3" xfId="12306"/>
    <cellStyle name="Финансовый 2 2 27 2 17 4" xfId="34621"/>
    <cellStyle name="Финансовый 2 2 27 2 18" xfId="14879"/>
    <cellStyle name="Финансовый 2 2 27 2 18 2" xfId="37194"/>
    <cellStyle name="Финансовый 2 2 27 2 19" xfId="9073"/>
    <cellStyle name="Финансовый 2 2 27 2 2" xfId="705"/>
    <cellStyle name="Финансовый 2 2 27 2 2 2" xfId="15084"/>
    <cellStyle name="Финансовый 2 2 27 2 2 2 2" xfId="37399"/>
    <cellStyle name="Финансовый 2 2 27 2 2 3" xfId="9278"/>
    <cellStyle name="Финансовый 2 2 27 2 2 4" xfId="31601"/>
    <cellStyle name="Финансовый 2 2 27 2 20" xfId="31406"/>
    <cellStyle name="Финансовый 2 2 27 2 3" xfId="1458"/>
    <cellStyle name="Финансовый 2 2 27 2 3 2" xfId="15700"/>
    <cellStyle name="Финансовый 2 2 27 2 3 2 2" xfId="38015"/>
    <cellStyle name="Финансовый 2 2 27 2 3 3" xfId="9894"/>
    <cellStyle name="Финансовый 2 2 27 2 3 4" xfId="32209"/>
    <cellStyle name="Финансовый 2 2 27 2 4" xfId="1872"/>
    <cellStyle name="Финансовый 2 2 27 2 4 2" xfId="16085"/>
    <cellStyle name="Финансовый 2 2 27 2 4 2 2" xfId="38400"/>
    <cellStyle name="Финансовый 2 2 27 2 4 3" xfId="10279"/>
    <cellStyle name="Финансовый 2 2 27 2 4 4" xfId="32594"/>
    <cellStyle name="Финансовый 2 2 27 2 5" xfId="2110"/>
    <cellStyle name="Финансовый 2 2 27 2 5 2" xfId="16281"/>
    <cellStyle name="Финансовый 2 2 27 2 5 2 2" xfId="38596"/>
    <cellStyle name="Финансовый 2 2 27 2 5 3" xfId="10475"/>
    <cellStyle name="Финансовый 2 2 27 2 5 4" xfId="32790"/>
    <cellStyle name="Финансовый 2 2 27 2 6" xfId="2345"/>
    <cellStyle name="Финансовый 2 2 27 2 6 2" xfId="16474"/>
    <cellStyle name="Финансовый 2 2 27 2 6 2 2" xfId="38789"/>
    <cellStyle name="Финансовый 2 2 27 2 6 3" xfId="10668"/>
    <cellStyle name="Финансовый 2 2 27 2 6 4" xfId="32983"/>
    <cellStyle name="Финансовый 2 2 27 2 7" xfId="2577"/>
    <cellStyle name="Финансовый 2 2 27 2 7 2" xfId="16664"/>
    <cellStyle name="Финансовый 2 2 27 2 7 2 2" xfId="38979"/>
    <cellStyle name="Финансовый 2 2 27 2 7 3" xfId="10858"/>
    <cellStyle name="Финансовый 2 2 27 2 7 4" xfId="33173"/>
    <cellStyle name="Финансовый 2 2 27 2 8" xfId="2800"/>
    <cellStyle name="Финансовый 2 2 27 2 8 2" xfId="16847"/>
    <cellStyle name="Финансовый 2 2 27 2 8 2 2" xfId="39162"/>
    <cellStyle name="Финансовый 2 2 27 2 8 3" xfId="11041"/>
    <cellStyle name="Финансовый 2 2 27 2 8 4" xfId="33356"/>
    <cellStyle name="Финансовый 2 2 27 2 9" xfId="3015"/>
    <cellStyle name="Финансовый 2 2 27 2 9 2" xfId="17022"/>
    <cellStyle name="Финансовый 2 2 27 2 9 2 2" xfId="39337"/>
    <cellStyle name="Финансовый 2 2 27 2 9 3" xfId="11216"/>
    <cellStyle name="Финансовый 2 2 27 2 9 4" xfId="33531"/>
    <cellStyle name="Финансовый 2 2 27 20" xfId="7165"/>
    <cellStyle name="Финансовый 2 2 27 20 2" xfId="19478"/>
    <cellStyle name="Финансовый 2 2 27 20 2 2" xfId="41793"/>
    <cellStyle name="Финансовый 2 2 27 20 3" xfId="13672"/>
    <cellStyle name="Финансовый 2 2 27 20 4" xfId="35987"/>
    <cellStyle name="Финансовый 2 2 27 21" xfId="6108"/>
    <cellStyle name="Финансовый 2 2 27 21 2" xfId="18905"/>
    <cellStyle name="Финансовый 2 2 27 21 2 2" xfId="41220"/>
    <cellStyle name="Финансовый 2 2 27 21 3" xfId="13099"/>
    <cellStyle name="Финансовый 2 2 27 21 4" xfId="35414"/>
    <cellStyle name="Финансовый 2 2 27 22" xfId="14643"/>
    <cellStyle name="Финансовый 2 2 27 22 2" xfId="36958"/>
    <cellStyle name="Финансовый 2 2 27 23" xfId="8837"/>
    <cellStyle name="Финансовый 2 2 27 24" xfId="31177"/>
    <cellStyle name="Финансовый 2 2 27 3" xfId="832"/>
    <cellStyle name="Финансовый 2 2 27 3 2" xfId="15172"/>
    <cellStyle name="Финансовый 2 2 27 3 2 2" xfId="37487"/>
    <cellStyle name="Финансовый 2 2 27 3 3" xfId="9366"/>
    <cellStyle name="Финансовый 2 2 27 3 4" xfId="31688"/>
    <cellStyle name="Финансовый 2 2 27 4" xfId="709"/>
    <cellStyle name="Финансовый 2 2 27 4 2" xfId="15088"/>
    <cellStyle name="Финансовый 2 2 27 4 2 2" xfId="37403"/>
    <cellStyle name="Финансовый 2 2 27 4 3" xfId="9282"/>
    <cellStyle name="Финансовый 2 2 27 4 4" xfId="31605"/>
    <cellStyle name="Финансовый 2 2 27 5" xfId="1048"/>
    <cellStyle name="Финансовый 2 2 27 5 2" xfId="15361"/>
    <cellStyle name="Финансовый 2 2 27 5 2 2" xfId="37676"/>
    <cellStyle name="Финансовый 2 2 27 5 3" xfId="9555"/>
    <cellStyle name="Финансовый 2 2 27 5 4" xfId="31874"/>
    <cellStyle name="Финансовый 2 2 27 6" xfId="1015"/>
    <cellStyle name="Финансовый 2 2 27 6 2" xfId="15328"/>
    <cellStyle name="Финансовый 2 2 27 6 2 2" xfId="37643"/>
    <cellStyle name="Финансовый 2 2 27 6 3" xfId="9522"/>
    <cellStyle name="Финансовый 2 2 27 6 4" xfId="31841"/>
    <cellStyle name="Финансовый 2 2 27 7" xfId="816"/>
    <cellStyle name="Финансовый 2 2 27 7 2" xfId="15161"/>
    <cellStyle name="Финансовый 2 2 27 7 2 2" xfId="37476"/>
    <cellStyle name="Финансовый 2 2 27 7 3" xfId="9355"/>
    <cellStyle name="Финансовый 2 2 27 7 4" xfId="31677"/>
    <cellStyle name="Финансовый 2 2 27 8" xfId="1678"/>
    <cellStyle name="Финансовый 2 2 27 8 2" xfId="15907"/>
    <cellStyle name="Финансовый 2 2 27 8 2 2" xfId="38222"/>
    <cellStyle name="Финансовый 2 2 27 8 3" xfId="10101"/>
    <cellStyle name="Финансовый 2 2 27 8 4" xfId="32416"/>
    <cellStyle name="Финансовый 2 2 27 9" xfId="1756"/>
    <cellStyle name="Финансовый 2 2 27 9 2" xfId="15979"/>
    <cellStyle name="Финансовый 2 2 27 9 2 2" xfId="38294"/>
    <cellStyle name="Финансовый 2 2 27 9 3" xfId="10173"/>
    <cellStyle name="Финансовый 2 2 27 9 4" xfId="32488"/>
    <cellStyle name="Финансовый 2 2 28" xfId="140"/>
    <cellStyle name="Финансовый 2 2 28 10" xfId="2307"/>
    <cellStyle name="Финансовый 2 2 28 10 2" xfId="16440"/>
    <cellStyle name="Финансовый 2 2 28 10 2 2" xfId="38755"/>
    <cellStyle name="Финансовый 2 2 28 10 3" xfId="10634"/>
    <cellStyle name="Финансовый 2 2 28 10 4" xfId="32949"/>
    <cellStyle name="Финансовый 2 2 28 11" xfId="2539"/>
    <cellStyle name="Финансовый 2 2 28 11 2" xfId="16630"/>
    <cellStyle name="Финансовый 2 2 28 11 2 2" xfId="38945"/>
    <cellStyle name="Финансовый 2 2 28 11 3" xfId="10824"/>
    <cellStyle name="Финансовый 2 2 28 11 4" xfId="33139"/>
    <cellStyle name="Финансовый 2 2 28 12" xfId="2764"/>
    <cellStyle name="Финансовый 2 2 28 12 2" xfId="16814"/>
    <cellStyle name="Финансовый 2 2 28 12 2 2" xfId="39129"/>
    <cellStyle name="Финансовый 2 2 28 12 3" xfId="11008"/>
    <cellStyle name="Финансовый 2 2 28 12 4" xfId="33323"/>
    <cellStyle name="Финансовый 2 2 28 13" xfId="2982"/>
    <cellStyle name="Финансовый 2 2 28 13 2" xfId="16992"/>
    <cellStyle name="Финансовый 2 2 28 13 2 2" xfId="39307"/>
    <cellStyle name="Финансовый 2 2 28 13 3" xfId="11186"/>
    <cellStyle name="Финансовый 2 2 28 13 4" xfId="33501"/>
    <cellStyle name="Финансовый 2 2 28 14" xfId="3188"/>
    <cellStyle name="Финансовый 2 2 28 14 2" xfId="17159"/>
    <cellStyle name="Финансовый 2 2 28 14 2 2" xfId="39474"/>
    <cellStyle name="Финансовый 2 2 28 14 3" xfId="11353"/>
    <cellStyle name="Финансовый 2 2 28 14 4" xfId="33668"/>
    <cellStyle name="Финансовый 2 2 28 15" xfId="3376"/>
    <cellStyle name="Финансовый 2 2 28 15 2" xfId="17308"/>
    <cellStyle name="Финансовый 2 2 28 15 2 2" xfId="39623"/>
    <cellStyle name="Финансовый 2 2 28 15 3" xfId="11502"/>
    <cellStyle name="Финансовый 2 2 28 15 4" xfId="33817"/>
    <cellStyle name="Финансовый 2 2 28 16" xfId="3555"/>
    <cellStyle name="Финансовый 2 2 28 16 2" xfId="17449"/>
    <cellStyle name="Финансовый 2 2 28 16 2 2" xfId="39764"/>
    <cellStyle name="Финансовый 2 2 28 16 3" xfId="11643"/>
    <cellStyle name="Финансовый 2 2 28 16 4" xfId="33958"/>
    <cellStyle name="Финансовый 2 2 28 17" xfId="3715"/>
    <cellStyle name="Финансовый 2 2 28 17 2" xfId="17571"/>
    <cellStyle name="Финансовый 2 2 28 17 2 2" xfId="39886"/>
    <cellStyle name="Финансовый 2 2 28 17 3" xfId="11765"/>
    <cellStyle name="Финансовый 2 2 28 17 4" xfId="34080"/>
    <cellStyle name="Финансовый 2 2 28 18" xfId="3851"/>
    <cellStyle name="Финансовый 2 2 28 18 2" xfId="17673"/>
    <cellStyle name="Финансовый 2 2 28 18 2 2" xfId="39988"/>
    <cellStyle name="Финансовый 2 2 28 18 3" xfId="11867"/>
    <cellStyle name="Финансовый 2 2 28 18 4" xfId="34182"/>
    <cellStyle name="Финансовый 2 2 28 19" xfId="4722"/>
    <cellStyle name="Финансовый 2 2 28 19 2" xfId="18159"/>
    <cellStyle name="Финансовый 2 2 28 19 2 2" xfId="40474"/>
    <cellStyle name="Финансовый 2 2 28 19 3" xfId="12353"/>
    <cellStyle name="Финансовый 2 2 28 19 4" xfId="34668"/>
    <cellStyle name="Финансовый 2 2 28 2" xfId="482"/>
    <cellStyle name="Финансовый 2 2 28 2 10" xfId="3167"/>
    <cellStyle name="Финансовый 2 2 28 2 10 2" xfId="17140"/>
    <cellStyle name="Финансовый 2 2 28 2 10 2 2" xfId="39455"/>
    <cellStyle name="Финансовый 2 2 28 2 10 3" xfId="11334"/>
    <cellStyle name="Финансовый 2 2 28 2 10 4" xfId="33649"/>
    <cellStyle name="Финансовый 2 2 28 2 11" xfId="3359"/>
    <cellStyle name="Финансовый 2 2 28 2 11 2" xfId="17293"/>
    <cellStyle name="Финансовый 2 2 28 2 11 2 2" xfId="39608"/>
    <cellStyle name="Финансовый 2 2 28 2 11 3" xfId="11487"/>
    <cellStyle name="Финансовый 2 2 28 2 11 4" xfId="33802"/>
    <cellStyle name="Финансовый 2 2 28 2 12" xfId="3541"/>
    <cellStyle name="Финансовый 2 2 28 2 12 2" xfId="17436"/>
    <cellStyle name="Финансовый 2 2 28 2 12 2 2" xfId="39751"/>
    <cellStyle name="Финансовый 2 2 28 2 12 3" xfId="11630"/>
    <cellStyle name="Финансовый 2 2 28 2 12 4" xfId="33945"/>
    <cellStyle name="Финансовый 2 2 28 2 13" xfId="3703"/>
    <cellStyle name="Финансовый 2 2 28 2 13 2" xfId="17560"/>
    <cellStyle name="Финансовый 2 2 28 2 13 2 2" xfId="39875"/>
    <cellStyle name="Финансовый 2 2 28 2 13 3" xfId="11754"/>
    <cellStyle name="Финансовый 2 2 28 2 13 4" xfId="34069"/>
    <cellStyle name="Финансовый 2 2 28 2 14" xfId="3842"/>
    <cellStyle name="Финансовый 2 2 28 2 14 2" xfId="17664"/>
    <cellStyle name="Финансовый 2 2 28 2 14 2 2" xfId="39979"/>
    <cellStyle name="Финансовый 2 2 28 2 14 3" xfId="11858"/>
    <cellStyle name="Финансовый 2 2 28 2 14 4" xfId="34173"/>
    <cellStyle name="Финансовый 2 2 28 2 15" xfId="7528"/>
    <cellStyle name="Финансовый 2 2 28 2 15 2" xfId="19674"/>
    <cellStyle name="Финансовый 2 2 28 2 15 2 2" xfId="41989"/>
    <cellStyle name="Финансовый 2 2 28 2 15 3" xfId="13868"/>
    <cellStyle name="Финансовый 2 2 28 2 15 4" xfId="36183"/>
    <cellStyle name="Финансовый 2 2 28 2 16" xfId="8434"/>
    <cellStyle name="Финансовый 2 2 28 2 16 2" xfId="20191"/>
    <cellStyle name="Финансовый 2 2 28 2 16 2 2" xfId="42506"/>
    <cellStyle name="Финансовый 2 2 28 2 16 3" xfId="14385"/>
    <cellStyle name="Финансовый 2 2 28 2 16 4" xfId="36700"/>
    <cellStyle name="Финансовый 2 2 28 2 17" xfId="4836"/>
    <cellStyle name="Финансовый 2 2 28 2 17 2" xfId="18219"/>
    <cellStyle name="Финансовый 2 2 28 2 17 2 2" xfId="40534"/>
    <cellStyle name="Финансовый 2 2 28 2 17 3" xfId="12413"/>
    <cellStyle name="Финансовый 2 2 28 2 17 4" xfId="34728"/>
    <cellStyle name="Финансовый 2 2 28 2 18" xfId="14884"/>
    <cellStyle name="Финансовый 2 2 28 2 18 2" xfId="37199"/>
    <cellStyle name="Финансовый 2 2 28 2 19" xfId="9078"/>
    <cellStyle name="Финансовый 2 2 28 2 2" xfId="710"/>
    <cellStyle name="Финансовый 2 2 28 2 2 2" xfId="15089"/>
    <cellStyle name="Финансовый 2 2 28 2 2 2 2" xfId="37404"/>
    <cellStyle name="Финансовый 2 2 28 2 2 3" xfId="9283"/>
    <cellStyle name="Финансовый 2 2 28 2 2 4" xfId="31606"/>
    <cellStyle name="Финансовый 2 2 28 2 20" xfId="31411"/>
    <cellStyle name="Финансовый 2 2 28 2 3" xfId="1463"/>
    <cellStyle name="Финансовый 2 2 28 2 3 2" xfId="15705"/>
    <cellStyle name="Финансовый 2 2 28 2 3 2 2" xfId="38020"/>
    <cellStyle name="Финансовый 2 2 28 2 3 3" xfId="9899"/>
    <cellStyle name="Финансовый 2 2 28 2 3 4" xfId="32214"/>
    <cellStyle name="Финансовый 2 2 28 2 4" xfId="1807"/>
    <cellStyle name="Финансовый 2 2 28 2 4 2" xfId="16026"/>
    <cellStyle name="Финансовый 2 2 28 2 4 2 2" xfId="38341"/>
    <cellStyle name="Финансовый 2 2 28 2 4 3" xfId="10220"/>
    <cellStyle name="Финансовый 2 2 28 2 4 4" xfId="32535"/>
    <cellStyle name="Финансовый 2 2 28 2 5" xfId="2045"/>
    <cellStyle name="Финансовый 2 2 28 2 5 2" xfId="16222"/>
    <cellStyle name="Финансовый 2 2 28 2 5 2 2" xfId="38537"/>
    <cellStyle name="Финансовый 2 2 28 2 5 3" xfId="10416"/>
    <cellStyle name="Финансовый 2 2 28 2 5 4" xfId="32731"/>
    <cellStyle name="Финансовый 2 2 28 2 6" xfId="2280"/>
    <cellStyle name="Финансовый 2 2 28 2 6 2" xfId="16415"/>
    <cellStyle name="Финансовый 2 2 28 2 6 2 2" xfId="38730"/>
    <cellStyle name="Финансовый 2 2 28 2 6 3" xfId="10609"/>
    <cellStyle name="Финансовый 2 2 28 2 6 4" xfId="32924"/>
    <cellStyle name="Финансовый 2 2 28 2 7" xfId="2514"/>
    <cellStyle name="Финансовый 2 2 28 2 7 2" xfId="16607"/>
    <cellStyle name="Финансовый 2 2 28 2 7 2 2" xfId="38922"/>
    <cellStyle name="Финансовый 2 2 28 2 7 3" xfId="10801"/>
    <cellStyle name="Финансовый 2 2 28 2 7 4" xfId="33116"/>
    <cellStyle name="Финансовый 2 2 28 2 8" xfId="2741"/>
    <cellStyle name="Финансовый 2 2 28 2 8 2" xfId="16793"/>
    <cellStyle name="Финансовый 2 2 28 2 8 2 2" xfId="39108"/>
    <cellStyle name="Финансовый 2 2 28 2 8 3" xfId="10987"/>
    <cellStyle name="Финансовый 2 2 28 2 8 4" xfId="33302"/>
    <cellStyle name="Финансовый 2 2 28 2 9" xfId="2959"/>
    <cellStyle name="Финансовый 2 2 28 2 9 2" xfId="16971"/>
    <cellStyle name="Финансовый 2 2 28 2 9 2 2" xfId="39286"/>
    <cellStyle name="Финансовый 2 2 28 2 9 3" xfId="11165"/>
    <cellStyle name="Финансовый 2 2 28 2 9 4" xfId="33480"/>
    <cellStyle name="Финансовый 2 2 28 20" xfId="4116"/>
    <cellStyle name="Финансовый 2 2 28 20 2" xfId="17814"/>
    <cellStyle name="Финансовый 2 2 28 20 2 2" xfId="40129"/>
    <cellStyle name="Финансовый 2 2 28 20 3" xfId="12008"/>
    <cellStyle name="Финансовый 2 2 28 20 4" xfId="34323"/>
    <cellStyle name="Финансовый 2 2 28 21" xfId="5110"/>
    <cellStyle name="Финансовый 2 2 28 21 2" xfId="18372"/>
    <cellStyle name="Финансовый 2 2 28 21 2 2" xfId="40687"/>
    <cellStyle name="Финансовый 2 2 28 21 3" xfId="12566"/>
    <cellStyle name="Финансовый 2 2 28 21 4" xfId="34881"/>
    <cellStyle name="Финансовый 2 2 28 22" xfId="14646"/>
    <cellStyle name="Финансовый 2 2 28 22 2" xfId="36961"/>
    <cellStyle name="Финансовый 2 2 28 23" xfId="8840"/>
    <cellStyle name="Финансовый 2 2 28 24" xfId="31179"/>
    <cellStyle name="Финансовый 2 2 28 3" xfId="835"/>
    <cellStyle name="Финансовый 2 2 28 3 2" xfId="15175"/>
    <cellStyle name="Финансовый 2 2 28 3 2 2" xfId="37490"/>
    <cellStyle name="Финансовый 2 2 28 3 3" xfId="9369"/>
    <cellStyle name="Финансовый 2 2 28 3 4" xfId="31691"/>
    <cellStyle name="Финансовый 2 2 28 4" xfId="678"/>
    <cellStyle name="Финансовый 2 2 28 4 2" xfId="15057"/>
    <cellStyle name="Финансовый 2 2 28 4 2 2" xfId="37372"/>
    <cellStyle name="Финансовый 2 2 28 4 3" xfId="9251"/>
    <cellStyle name="Финансовый 2 2 28 4 4" xfId="31575"/>
    <cellStyle name="Финансовый 2 2 28 5" xfId="1051"/>
    <cellStyle name="Финансовый 2 2 28 5 2" xfId="15364"/>
    <cellStyle name="Финансовый 2 2 28 5 2 2" xfId="37679"/>
    <cellStyle name="Финансовый 2 2 28 5 3" xfId="9558"/>
    <cellStyle name="Финансовый 2 2 28 5 4" xfId="31877"/>
    <cellStyle name="Финансовый 2 2 28 6" xfId="1023"/>
    <cellStyle name="Финансовый 2 2 28 6 2" xfId="15336"/>
    <cellStyle name="Финансовый 2 2 28 6 2 2" xfId="37651"/>
    <cellStyle name="Финансовый 2 2 28 6 3" xfId="9530"/>
    <cellStyle name="Финансовый 2 2 28 6 4" xfId="31849"/>
    <cellStyle name="Финансовый 2 2 28 7" xfId="1240"/>
    <cellStyle name="Финансовый 2 2 28 7 2" xfId="15500"/>
    <cellStyle name="Финансовый 2 2 28 7 2 2" xfId="37815"/>
    <cellStyle name="Финансовый 2 2 28 7 3" xfId="9694"/>
    <cellStyle name="Финансовый 2 2 28 7 4" xfId="32009"/>
    <cellStyle name="Финансовый 2 2 28 8" xfId="1834"/>
    <cellStyle name="Финансовый 2 2 28 8 2" xfId="16051"/>
    <cellStyle name="Финансовый 2 2 28 8 2 2" xfId="38366"/>
    <cellStyle name="Финансовый 2 2 28 8 3" xfId="10245"/>
    <cellStyle name="Финансовый 2 2 28 8 4" xfId="32560"/>
    <cellStyle name="Финансовый 2 2 28 9" xfId="2072"/>
    <cellStyle name="Финансовый 2 2 28 9 2" xfId="16247"/>
    <cellStyle name="Финансовый 2 2 28 9 2 2" xfId="38562"/>
    <cellStyle name="Финансовый 2 2 28 9 3" xfId="10441"/>
    <cellStyle name="Финансовый 2 2 28 9 4" xfId="32756"/>
    <cellStyle name="Финансовый 2 2 29" xfId="145"/>
    <cellStyle name="Финансовый 2 2 29 10" xfId="1689"/>
    <cellStyle name="Финансовый 2 2 29 10 2" xfId="15918"/>
    <cellStyle name="Финансовый 2 2 29 10 2 2" xfId="38233"/>
    <cellStyle name="Финансовый 2 2 29 10 3" xfId="10112"/>
    <cellStyle name="Финансовый 2 2 29 10 4" xfId="32427"/>
    <cellStyle name="Финансовый 2 2 29 11" xfId="1747"/>
    <cellStyle name="Финансовый 2 2 29 11 2" xfId="15970"/>
    <cellStyle name="Финансовый 2 2 29 11 2 2" xfId="38285"/>
    <cellStyle name="Финансовый 2 2 29 11 3" xfId="10164"/>
    <cellStyle name="Финансовый 2 2 29 11 4" xfId="32479"/>
    <cellStyle name="Финансовый 2 2 29 12" xfId="1985"/>
    <cellStyle name="Финансовый 2 2 29 12 2" xfId="16166"/>
    <cellStyle name="Финансовый 2 2 29 12 2 2" xfId="38481"/>
    <cellStyle name="Финансовый 2 2 29 12 3" xfId="10360"/>
    <cellStyle name="Финансовый 2 2 29 12 4" xfId="32675"/>
    <cellStyle name="Финансовый 2 2 29 13" xfId="2222"/>
    <cellStyle name="Финансовый 2 2 29 13 2" xfId="16361"/>
    <cellStyle name="Финансовый 2 2 29 13 2 2" xfId="38676"/>
    <cellStyle name="Финансовый 2 2 29 13 3" xfId="10555"/>
    <cellStyle name="Финансовый 2 2 29 13 4" xfId="32870"/>
    <cellStyle name="Финансовый 2 2 29 14" xfId="2457"/>
    <cellStyle name="Финансовый 2 2 29 14 2" xfId="16554"/>
    <cellStyle name="Финансовый 2 2 29 14 2 2" xfId="38869"/>
    <cellStyle name="Финансовый 2 2 29 14 3" xfId="10748"/>
    <cellStyle name="Финансовый 2 2 29 14 4" xfId="33063"/>
    <cellStyle name="Финансовый 2 2 29 15" xfId="2689"/>
    <cellStyle name="Финансовый 2 2 29 15 2" xfId="16744"/>
    <cellStyle name="Финансовый 2 2 29 15 2 2" xfId="39059"/>
    <cellStyle name="Финансовый 2 2 29 15 3" xfId="10938"/>
    <cellStyle name="Финансовый 2 2 29 15 4" xfId="33253"/>
    <cellStyle name="Финансовый 2 2 29 16" xfId="2910"/>
    <cellStyle name="Финансовый 2 2 29 16 2" xfId="16925"/>
    <cellStyle name="Финансовый 2 2 29 16 2 2" xfId="39240"/>
    <cellStyle name="Финансовый 2 2 29 16 3" xfId="11119"/>
    <cellStyle name="Финансовый 2 2 29 16 4" xfId="33434"/>
    <cellStyle name="Финансовый 2 2 29 17" xfId="3121"/>
    <cellStyle name="Финансовый 2 2 29 17 2" xfId="17097"/>
    <cellStyle name="Финансовый 2 2 29 17 2 2" xfId="39412"/>
    <cellStyle name="Финансовый 2 2 29 17 3" xfId="11291"/>
    <cellStyle name="Финансовый 2 2 29 17 4" xfId="33606"/>
    <cellStyle name="Финансовый 2 2 29 18" xfId="3318"/>
    <cellStyle name="Финансовый 2 2 29 18 2" xfId="17255"/>
    <cellStyle name="Финансовый 2 2 29 18 2 2" xfId="39570"/>
    <cellStyle name="Финансовый 2 2 29 18 3" xfId="11449"/>
    <cellStyle name="Финансовый 2 2 29 18 4" xfId="33764"/>
    <cellStyle name="Финансовый 2 2 29 19" xfId="8355"/>
    <cellStyle name="Финансовый 2 2 29 19 2" xfId="20148"/>
    <cellStyle name="Финансовый 2 2 29 19 2 2" xfId="42463"/>
    <cellStyle name="Финансовый 2 2 29 19 3" xfId="14342"/>
    <cellStyle name="Финансовый 2 2 29 19 4" xfId="36657"/>
    <cellStyle name="Финансовый 2 2 29 2" xfId="487"/>
    <cellStyle name="Финансовый 2 2 29 2 10" xfId="2758"/>
    <cellStyle name="Финансовый 2 2 29 2 10 2" xfId="16808"/>
    <cellStyle name="Финансовый 2 2 29 2 10 2 2" xfId="39123"/>
    <cellStyle name="Финансовый 2 2 29 2 10 3" xfId="11002"/>
    <cellStyle name="Финансовый 2 2 29 2 10 4" xfId="33317"/>
    <cellStyle name="Финансовый 2 2 29 2 11" xfId="2976"/>
    <cellStyle name="Финансовый 2 2 29 2 11 2" xfId="16986"/>
    <cellStyle name="Финансовый 2 2 29 2 11 2 2" xfId="39301"/>
    <cellStyle name="Финансовый 2 2 29 2 11 3" xfId="11180"/>
    <cellStyle name="Финансовый 2 2 29 2 11 4" xfId="33495"/>
    <cellStyle name="Финансовый 2 2 29 2 12" xfId="3184"/>
    <cellStyle name="Финансовый 2 2 29 2 12 2" xfId="17155"/>
    <cellStyle name="Финансовый 2 2 29 2 12 2 2" xfId="39470"/>
    <cellStyle name="Финансовый 2 2 29 2 12 3" xfId="11349"/>
    <cellStyle name="Финансовый 2 2 29 2 12 4" xfId="33664"/>
    <cellStyle name="Финансовый 2 2 29 2 13" xfId="3373"/>
    <cellStyle name="Финансовый 2 2 29 2 13 2" xfId="17305"/>
    <cellStyle name="Финансовый 2 2 29 2 13 2 2" xfId="39620"/>
    <cellStyle name="Финансовый 2 2 29 2 13 3" xfId="11499"/>
    <cellStyle name="Финансовый 2 2 29 2 13 4" xfId="33814"/>
    <cellStyle name="Финансовый 2 2 29 2 14" xfId="3552"/>
    <cellStyle name="Финансовый 2 2 29 2 14 2" xfId="17446"/>
    <cellStyle name="Финансовый 2 2 29 2 14 2 2" xfId="39761"/>
    <cellStyle name="Финансовый 2 2 29 2 14 3" xfId="11640"/>
    <cellStyle name="Финансовый 2 2 29 2 14 4" xfId="33955"/>
    <cellStyle name="Финансовый 2 2 29 2 15" xfId="7040"/>
    <cellStyle name="Финансовый 2 2 29 2 15 2" xfId="19410"/>
    <cellStyle name="Финансовый 2 2 29 2 15 2 2" xfId="41725"/>
    <cellStyle name="Финансовый 2 2 29 2 15 3" xfId="13604"/>
    <cellStyle name="Финансовый 2 2 29 2 15 4" xfId="35919"/>
    <cellStyle name="Финансовый 2 2 29 2 16" xfId="5453"/>
    <cellStyle name="Финансовый 2 2 29 2 16 2" xfId="18561"/>
    <cellStyle name="Финансовый 2 2 29 2 16 2 2" xfId="40876"/>
    <cellStyle name="Финансовый 2 2 29 2 16 3" xfId="12755"/>
    <cellStyle name="Финансовый 2 2 29 2 16 4" xfId="35070"/>
    <cellStyle name="Финансовый 2 2 29 2 17" xfId="6492"/>
    <cellStyle name="Финансовый 2 2 29 2 17 2" xfId="19115"/>
    <cellStyle name="Финансовый 2 2 29 2 17 2 2" xfId="41430"/>
    <cellStyle name="Финансовый 2 2 29 2 17 3" xfId="13309"/>
    <cellStyle name="Финансовый 2 2 29 2 17 4" xfId="35624"/>
    <cellStyle name="Финансовый 2 2 29 2 18" xfId="14889"/>
    <cellStyle name="Финансовый 2 2 29 2 18 2" xfId="37204"/>
    <cellStyle name="Финансовый 2 2 29 2 19" xfId="9083"/>
    <cellStyle name="Финансовый 2 2 29 2 2" xfId="715"/>
    <cellStyle name="Финансовый 2 2 29 2 2 2" xfId="15094"/>
    <cellStyle name="Финансовый 2 2 29 2 2 2 2" xfId="37409"/>
    <cellStyle name="Финансовый 2 2 29 2 2 3" xfId="9288"/>
    <cellStyle name="Финансовый 2 2 29 2 2 4" xfId="31611"/>
    <cellStyle name="Финансовый 2 2 29 2 20" xfId="31416"/>
    <cellStyle name="Финансовый 2 2 29 2 3" xfId="1467"/>
    <cellStyle name="Финансовый 2 2 29 2 3 2" xfId="15709"/>
    <cellStyle name="Финансовый 2 2 29 2 3 2 2" xfId="38024"/>
    <cellStyle name="Финансовый 2 2 29 2 3 3" xfId="9903"/>
    <cellStyle name="Финансовый 2 2 29 2 3 4" xfId="32218"/>
    <cellStyle name="Финансовый 2 2 29 2 4" xfId="1566"/>
    <cellStyle name="Финансовый 2 2 29 2 4 2" xfId="15805"/>
    <cellStyle name="Финансовый 2 2 29 2 4 2 2" xfId="38120"/>
    <cellStyle name="Финансовый 2 2 29 2 4 3" xfId="9999"/>
    <cellStyle name="Финансовый 2 2 29 2 4 4" xfId="32314"/>
    <cellStyle name="Финансовый 2 2 29 2 5" xfId="1244"/>
    <cellStyle name="Финансовый 2 2 29 2 5 2" xfId="15504"/>
    <cellStyle name="Финансовый 2 2 29 2 5 2 2" xfId="37819"/>
    <cellStyle name="Финансовый 2 2 29 2 5 3" xfId="9698"/>
    <cellStyle name="Финансовый 2 2 29 2 5 4" xfId="32013"/>
    <cellStyle name="Финансовый 2 2 29 2 6" xfId="1826"/>
    <cellStyle name="Финансовый 2 2 29 2 6 2" xfId="16043"/>
    <cellStyle name="Финансовый 2 2 29 2 6 2 2" xfId="38358"/>
    <cellStyle name="Финансовый 2 2 29 2 6 3" xfId="10237"/>
    <cellStyle name="Финансовый 2 2 29 2 6 4" xfId="32552"/>
    <cellStyle name="Финансовый 2 2 29 2 7" xfId="2064"/>
    <cellStyle name="Финансовый 2 2 29 2 7 2" xfId="16239"/>
    <cellStyle name="Финансовый 2 2 29 2 7 2 2" xfId="38554"/>
    <cellStyle name="Финансовый 2 2 29 2 7 3" xfId="10433"/>
    <cellStyle name="Финансовый 2 2 29 2 7 4" xfId="32748"/>
    <cellStyle name="Финансовый 2 2 29 2 8" xfId="2299"/>
    <cellStyle name="Финансовый 2 2 29 2 8 2" xfId="16432"/>
    <cellStyle name="Финансовый 2 2 29 2 8 2 2" xfId="38747"/>
    <cellStyle name="Финансовый 2 2 29 2 8 3" xfId="10626"/>
    <cellStyle name="Финансовый 2 2 29 2 8 4" xfId="32941"/>
    <cellStyle name="Финансовый 2 2 29 2 9" xfId="2532"/>
    <cellStyle name="Финансовый 2 2 29 2 9 2" xfId="16623"/>
    <cellStyle name="Финансовый 2 2 29 2 9 2 2" xfId="38938"/>
    <cellStyle name="Финансовый 2 2 29 2 9 3" xfId="10817"/>
    <cellStyle name="Финансовый 2 2 29 2 9 4" xfId="33132"/>
    <cellStyle name="Финансовый 2 2 29 20" xfId="7019"/>
    <cellStyle name="Финансовый 2 2 29 20 2" xfId="19398"/>
    <cellStyle name="Финансовый 2 2 29 20 2 2" xfId="41713"/>
    <cellStyle name="Финансовый 2 2 29 20 3" xfId="13592"/>
    <cellStyle name="Финансовый 2 2 29 20 4" xfId="35907"/>
    <cellStyle name="Финансовый 2 2 29 21" xfId="7434"/>
    <cellStyle name="Финансовый 2 2 29 21 2" xfId="19622"/>
    <cellStyle name="Финансовый 2 2 29 21 2 2" xfId="41937"/>
    <cellStyle name="Финансовый 2 2 29 21 3" xfId="13816"/>
    <cellStyle name="Финансовый 2 2 29 21 4" xfId="36131"/>
    <cellStyle name="Финансовый 2 2 29 22" xfId="14649"/>
    <cellStyle name="Финансовый 2 2 29 22 2" xfId="36964"/>
    <cellStyle name="Финансовый 2 2 29 23" xfId="8843"/>
    <cellStyle name="Финансовый 2 2 29 24" xfId="31181"/>
    <cellStyle name="Финансовый 2 2 29 3" xfId="839"/>
    <cellStyle name="Финансовый 2 2 29 3 2" xfId="15179"/>
    <cellStyle name="Финансовый 2 2 29 3 2 2" xfId="37494"/>
    <cellStyle name="Финансовый 2 2 29 3 3" xfId="9373"/>
    <cellStyle name="Финансовый 2 2 29 3 4" xfId="31695"/>
    <cellStyle name="Финансовый 2 2 29 4" xfId="751"/>
    <cellStyle name="Финансовый 2 2 29 4 2" xfId="15129"/>
    <cellStyle name="Финансовый 2 2 29 4 2 2" xfId="37444"/>
    <cellStyle name="Финансовый 2 2 29 4 3" xfId="9323"/>
    <cellStyle name="Финансовый 2 2 29 4 4" xfId="31646"/>
    <cellStyle name="Финансовый 2 2 29 5" xfId="1055"/>
    <cellStyle name="Финансовый 2 2 29 5 2" xfId="15368"/>
    <cellStyle name="Финансовый 2 2 29 5 2 2" xfId="37683"/>
    <cellStyle name="Финансовый 2 2 29 5 3" xfId="9562"/>
    <cellStyle name="Финансовый 2 2 29 5 4" xfId="31881"/>
    <cellStyle name="Финансовый 2 2 29 6" xfId="1007"/>
    <cellStyle name="Финансовый 2 2 29 6 2" xfId="15320"/>
    <cellStyle name="Финансовый 2 2 29 6 2 2" xfId="37635"/>
    <cellStyle name="Финансовый 2 2 29 6 3" xfId="9514"/>
    <cellStyle name="Финансовый 2 2 29 6 4" xfId="31833"/>
    <cellStyle name="Финансовый 2 2 29 7" xfId="1245"/>
    <cellStyle name="Финансовый 2 2 29 7 2" xfId="15505"/>
    <cellStyle name="Финансовый 2 2 29 7 2 2" xfId="37820"/>
    <cellStyle name="Финансовый 2 2 29 7 3" xfId="9699"/>
    <cellStyle name="Финансовый 2 2 29 7 4" xfId="32014"/>
    <cellStyle name="Финансовый 2 2 29 8" xfId="1675"/>
    <cellStyle name="Финансовый 2 2 29 8 2" xfId="15904"/>
    <cellStyle name="Финансовый 2 2 29 8 2 2" xfId="38219"/>
    <cellStyle name="Финансовый 2 2 29 8 3" xfId="10098"/>
    <cellStyle name="Финансовый 2 2 29 8 4" xfId="32413"/>
    <cellStyle name="Финансовый 2 2 29 9" xfId="489"/>
    <cellStyle name="Финансовый 2 2 29 9 2" xfId="14891"/>
    <cellStyle name="Финансовый 2 2 29 9 2 2" xfId="37206"/>
    <cellStyle name="Финансовый 2 2 29 9 3" xfId="9085"/>
    <cellStyle name="Финансовый 2 2 29 9 4" xfId="31418"/>
    <cellStyle name="Финансовый 2 2 3" xfId="14"/>
    <cellStyle name="Финансовый 2 2 30" xfId="150"/>
    <cellStyle name="Финансовый 2 2 30 10" xfId="1754"/>
    <cellStyle name="Финансовый 2 2 30 10 2" xfId="15977"/>
    <cellStyle name="Финансовый 2 2 30 10 2 2" xfId="38292"/>
    <cellStyle name="Финансовый 2 2 30 10 3" xfId="10171"/>
    <cellStyle name="Финансовый 2 2 30 10 4" xfId="32486"/>
    <cellStyle name="Финансовый 2 2 30 11" xfId="1992"/>
    <cellStyle name="Финансовый 2 2 30 11 2" xfId="16173"/>
    <cellStyle name="Финансовый 2 2 30 11 2 2" xfId="38488"/>
    <cellStyle name="Финансовый 2 2 30 11 3" xfId="10367"/>
    <cellStyle name="Финансовый 2 2 30 11 4" xfId="32682"/>
    <cellStyle name="Финансовый 2 2 30 12" xfId="2228"/>
    <cellStyle name="Финансовый 2 2 30 12 2" xfId="16367"/>
    <cellStyle name="Финансовый 2 2 30 12 2 2" xfId="38682"/>
    <cellStyle name="Финансовый 2 2 30 12 3" xfId="10561"/>
    <cellStyle name="Финансовый 2 2 30 12 4" xfId="32876"/>
    <cellStyle name="Финансовый 2 2 30 13" xfId="2462"/>
    <cellStyle name="Финансовый 2 2 30 13 2" xfId="16559"/>
    <cellStyle name="Финансовый 2 2 30 13 2 2" xfId="38874"/>
    <cellStyle name="Финансовый 2 2 30 13 3" xfId="10753"/>
    <cellStyle name="Финансовый 2 2 30 13 4" xfId="33068"/>
    <cellStyle name="Финансовый 2 2 30 14" xfId="2693"/>
    <cellStyle name="Финансовый 2 2 30 14 2" xfId="16748"/>
    <cellStyle name="Финансовый 2 2 30 14 2 2" xfId="39063"/>
    <cellStyle name="Финансовый 2 2 30 14 3" xfId="10942"/>
    <cellStyle name="Финансовый 2 2 30 14 4" xfId="33257"/>
    <cellStyle name="Финансовый 2 2 30 15" xfId="2914"/>
    <cellStyle name="Финансовый 2 2 30 15 2" xfId="16929"/>
    <cellStyle name="Финансовый 2 2 30 15 2 2" xfId="39244"/>
    <cellStyle name="Финансовый 2 2 30 15 3" xfId="11123"/>
    <cellStyle name="Финансовый 2 2 30 15 4" xfId="33438"/>
    <cellStyle name="Финансовый 2 2 30 16" xfId="3125"/>
    <cellStyle name="Финансовый 2 2 30 16 2" xfId="17101"/>
    <cellStyle name="Финансовый 2 2 30 16 2 2" xfId="39416"/>
    <cellStyle name="Финансовый 2 2 30 16 3" xfId="11295"/>
    <cellStyle name="Финансовый 2 2 30 16 4" xfId="33610"/>
    <cellStyle name="Финансовый 2 2 30 17" xfId="3322"/>
    <cellStyle name="Финансовый 2 2 30 17 2" xfId="17259"/>
    <cellStyle name="Финансовый 2 2 30 17 2 2" xfId="39574"/>
    <cellStyle name="Финансовый 2 2 30 17 3" xfId="11453"/>
    <cellStyle name="Финансовый 2 2 30 17 4" xfId="33768"/>
    <cellStyle name="Финансовый 2 2 30 18" xfId="3506"/>
    <cellStyle name="Финансовый 2 2 30 18 2" xfId="17404"/>
    <cellStyle name="Финансовый 2 2 30 18 2 2" xfId="39719"/>
    <cellStyle name="Финансовый 2 2 30 18 3" xfId="11598"/>
    <cellStyle name="Финансовый 2 2 30 18 4" xfId="33913"/>
    <cellStyle name="Финансовый 2 2 30 19" xfId="4104"/>
    <cellStyle name="Финансовый 2 2 30 19 2" xfId="17812"/>
    <cellStyle name="Финансовый 2 2 30 19 2 2" xfId="40127"/>
    <cellStyle name="Финансовый 2 2 30 19 3" xfId="12006"/>
    <cellStyle name="Финансовый 2 2 30 19 4" xfId="34321"/>
    <cellStyle name="Финансовый 2 2 30 2" xfId="492"/>
    <cellStyle name="Финансовый 2 2 30 2 10" xfId="3163"/>
    <cellStyle name="Финансовый 2 2 30 2 10 2" xfId="17136"/>
    <cellStyle name="Финансовый 2 2 30 2 10 2 2" xfId="39451"/>
    <cellStyle name="Финансовый 2 2 30 2 10 3" xfId="11330"/>
    <cellStyle name="Финансовый 2 2 30 2 10 4" xfId="33645"/>
    <cellStyle name="Финансовый 2 2 30 2 11" xfId="3355"/>
    <cellStyle name="Финансовый 2 2 30 2 11 2" xfId="17289"/>
    <cellStyle name="Финансовый 2 2 30 2 11 2 2" xfId="39604"/>
    <cellStyle name="Финансовый 2 2 30 2 11 3" xfId="11483"/>
    <cellStyle name="Финансовый 2 2 30 2 11 4" xfId="33798"/>
    <cellStyle name="Финансовый 2 2 30 2 12" xfId="3537"/>
    <cellStyle name="Финансовый 2 2 30 2 12 2" xfId="17432"/>
    <cellStyle name="Финансовый 2 2 30 2 12 2 2" xfId="39747"/>
    <cellStyle name="Финансовый 2 2 30 2 12 3" xfId="11626"/>
    <cellStyle name="Финансовый 2 2 30 2 12 4" xfId="33941"/>
    <cellStyle name="Финансовый 2 2 30 2 13" xfId="3699"/>
    <cellStyle name="Финансовый 2 2 30 2 13 2" xfId="17556"/>
    <cellStyle name="Финансовый 2 2 30 2 13 2 2" xfId="39871"/>
    <cellStyle name="Финансовый 2 2 30 2 13 3" xfId="11750"/>
    <cellStyle name="Финансовый 2 2 30 2 13 4" xfId="34065"/>
    <cellStyle name="Финансовый 2 2 30 2 14" xfId="3840"/>
    <cellStyle name="Финансовый 2 2 30 2 14 2" xfId="17662"/>
    <cellStyle name="Финансовый 2 2 30 2 14 2 2" xfId="39977"/>
    <cellStyle name="Финансовый 2 2 30 2 14 3" xfId="11856"/>
    <cellStyle name="Финансовый 2 2 30 2 14 4" xfId="34171"/>
    <cellStyle name="Финансовый 2 2 30 2 15" xfId="7032"/>
    <cellStyle name="Финансовый 2 2 30 2 15 2" xfId="19406"/>
    <cellStyle name="Финансовый 2 2 30 2 15 2 2" xfId="41721"/>
    <cellStyle name="Финансовый 2 2 30 2 15 3" xfId="13600"/>
    <cellStyle name="Финансовый 2 2 30 2 15 4" xfId="35915"/>
    <cellStyle name="Финансовый 2 2 30 2 16" xfId="4241"/>
    <cellStyle name="Финансовый 2 2 30 2 16 2" xfId="17891"/>
    <cellStyle name="Финансовый 2 2 30 2 16 2 2" xfId="40206"/>
    <cellStyle name="Финансовый 2 2 30 2 16 3" xfId="12085"/>
    <cellStyle name="Финансовый 2 2 30 2 16 4" xfId="34400"/>
    <cellStyle name="Финансовый 2 2 30 2 17" xfId="5830"/>
    <cellStyle name="Финансовый 2 2 30 2 17 2" xfId="18758"/>
    <cellStyle name="Финансовый 2 2 30 2 17 2 2" xfId="41073"/>
    <cellStyle name="Финансовый 2 2 30 2 17 3" xfId="12952"/>
    <cellStyle name="Финансовый 2 2 30 2 17 4" xfId="35267"/>
    <cellStyle name="Финансовый 2 2 30 2 18" xfId="14894"/>
    <cellStyle name="Финансовый 2 2 30 2 18 2" xfId="37209"/>
    <cellStyle name="Финансовый 2 2 30 2 19" xfId="9088"/>
    <cellStyle name="Финансовый 2 2 30 2 2" xfId="718"/>
    <cellStyle name="Финансовый 2 2 30 2 2 2" xfId="15097"/>
    <cellStyle name="Финансовый 2 2 30 2 2 2 2" xfId="37412"/>
    <cellStyle name="Финансовый 2 2 30 2 2 3" xfId="9291"/>
    <cellStyle name="Финансовый 2 2 30 2 2 4" xfId="31614"/>
    <cellStyle name="Финансовый 2 2 30 2 20" xfId="31421"/>
    <cellStyle name="Финансовый 2 2 30 2 3" xfId="1470"/>
    <cellStyle name="Финансовый 2 2 30 2 3 2" xfId="15712"/>
    <cellStyle name="Финансовый 2 2 30 2 3 2 2" xfId="38027"/>
    <cellStyle name="Финансовый 2 2 30 2 3 3" xfId="9906"/>
    <cellStyle name="Финансовый 2 2 30 2 3 4" xfId="32221"/>
    <cellStyle name="Финансовый 2 2 30 2 4" xfId="1801"/>
    <cellStyle name="Финансовый 2 2 30 2 4 2" xfId="16020"/>
    <cellStyle name="Финансовый 2 2 30 2 4 2 2" xfId="38335"/>
    <cellStyle name="Финансовый 2 2 30 2 4 3" xfId="10214"/>
    <cellStyle name="Финансовый 2 2 30 2 4 4" xfId="32529"/>
    <cellStyle name="Финансовый 2 2 30 2 5" xfId="2039"/>
    <cellStyle name="Финансовый 2 2 30 2 5 2" xfId="16216"/>
    <cellStyle name="Финансовый 2 2 30 2 5 2 2" xfId="38531"/>
    <cellStyle name="Финансовый 2 2 30 2 5 3" xfId="10410"/>
    <cellStyle name="Финансовый 2 2 30 2 5 4" xfId="32725"/>
    <cellStyle name="Финансовый 2 2 30 2 6" xfId="2274"/>
    <cellStyle name="Финансовый 2 2 30 2 6 2" xfId="16409"/>
    <cellStyle name="Финансовый 2 2 30 2 6 2 2" xfId="38724"/>
    <cellStyle name="Финансовый 2 2 30 2 6 3" xfId="10603"/>
    <cellStyle name="Финансовый 2 2 30 2 6 4" xfId="32918"/>
    <cellStyle name="Финансовый 2 2 30 2 7" xfId="2508"/>
    <cellStyle name="Финансовый 2 2 30 2 7 2" xfId="16601"/>
    <cellStyle name="Финансовый 2 2 30 2 7 2 2" xfId="38916"/>
    <cellStyle name="Финансовый 2 2 30 2 7 3" xfId="10795"/>
    <cellStyle name="Финансовый 2 2 30 2 7 4" xfId="33110"/>
    <cellStyle name="Финансовый 2 2 30 2 8" xfId="2735"/>
    <cellStyle name="Финансовый 2 2 30 2 8 2" xfId="16787"/>
    <cellStyle name="Финансовый 2 2 30 2 8 2 2" xfId="39102"/>
    <cellStyle name="Финансовый 2 2 30 2 8 3" xfId="10981"/>
    <cellStyle name="Финансовый 2 2 30 2 8 4" xfId="33296"/>
    <cellStyle name="Финансовый 2 2 30 2 9" xfId="2954"/>
    <cellStyle name="Финансовый 2 2 30 2 9 2" xfId="16966"/>
    <cellStyle name="Финансовый 2 2 30 2 9 2 2" xfId="39281"/>
    <cellStyle name="Финансовый 2 2 30 2 9 3" xfId="11160"/>
    <cellStyle name="Финансовый 2 2 30 2 9 4" xfId="33475"/>
    <cellStyle name="Финансовый 2 2 30 20" xfId="4618"/>
    <cellStyle name="Финансовый 2 2 30 20 2" xfId="18097"/>
    <cellStyle name="Финансовый 2 2 30 20 2 2" xfId="40412"/>
    <cellStyle name="Финансовый 2 2 30 20 3" xfId="12291"/>
    <cellStyle name="Финансовый 2 2 30 20 4" xfId="34606"/>
    <cellStyle name="Финансовый 2 2 30 21" xfId="5618"/>
    <cellStyle name="Финансовый 2 2 30 21 2" xfId="18649"/>
    <cellStyle name="Финансовый 2 2 30 21 2 2" xfId="40964"/>
    <cellStyle name="Финансовый 2 2 30 21 3" xfId="12843"/>
    <cellStyle name="Финансовый 2 2 30 21 4" xfId="35158"/>
    <cellStyle name="Финансовый 2 2 30 22" xfId="14652"/>
    <cellStyle name="Финансовый 2 2 30 22 2" xfId="36967"/>
    <cellStyle name="Финансовый 2 2 30 23" xfId="8846"/>
    <cellStyle name="Финансовый 2 2 30 24" xfId="31183"/>
    <cellStyle name="Финансовый 2 2 30 3" xfId="842"/>
    <cellStyle name="Финансовый 2 2 30 3 2" xfId="15182"/>
    <cellStyle name="Финансовый 2 2 30 3 2 2" xfId="37497"/>
    <cellStyle name="Финансовый 2 2 30 3 3" xfId="9376"/>
    <cellStyle name="Финансовый 2 2 30 3 4" xfId="31698"/>
    <cellStyle name="Финансовый 2 2 30 4" xfId="737"/>
    <cellStyle name="Финансовый 2 2 30 4 2" xfId="15115"/>
    <cellStyle name="Финансовый 2 2 30 4 2 2" xfId="37430"/>
    <cellStyle name="Финансовый 2 2 30 4 3" xfId="9309"/>
    <cellStyle name="Финансовый 2 2 30 4 4" xfId="31632"/>
    <cellStyle name="Финансовый 2 2 30 5" xfId="1058"/>
    <cellStyle name="Финансовый 2 2 30 5 2" xfId="15371"/>
    <cellStyle name="Финансовый 2 2 30 5 2 2" xfId="37686"/>
    <cellStyle name="Финансовый 2 2 30 5 3" xfId="9565"/>
    <cellStyle name="Финансовый 2 2 30 5 4" xfId="31884"/>
    <cellStyle name="Финансовый 2 2 30 6" xfId="1010"/>
    <cellStyle name="Финансовый 2 2 30 6 2" xfId="15323"/>
    <cellStyle name="Финансовый 2 2 30 6 2 2" xfId="37638"/>
    <cellStyle name="Финансовый 2 2 30 6 3" xfId="9517"/>
    <cellStyle name="Финансовый 2 2 30 6 4" xfId="31836"/>
    <cellStyle name="Финансовый 2 2 30 7" xfId="1250"/>
    <cellStyle name="Финансовый 2 2 30 7 2" xfId="15510"/>
    <cellStyle name="Финансовый 2 2 30 7 2 2" xfId="37825"/>
    <cellStyle name="Финансовый 2 2 30 7 3" xfId="9704"/>
    <cellStyle name="Финансовый 2 2 30 7 4" xfId="32019"/>
    <cellStyle name="Финансовый 2 2 30 8" xfId="1617"/>
    <cellStyle name="Финансовый 2 2 30 8 2" xfId="15851"/>
    <cellStyle name="Финансовый 2 2 30 8 2 2" xfId="38166"/>
    <cellStyle name="Финансовый 2 2 30 8 3" xfId="10045"/>
    <cellStyle name="Финансовый 2 2 30 8 4" xfId="32360"/>
    <cellStyle name="Финансовый 2 2 30 9" xfId="1639"/>
    <cellStyle name="Финансовый 2 2 30 9 2" xfId="15872"/>
    <cellStyle name="Финансовый 2 2 30 9 2 2" xfId="38187"/>
    <cellStyle name="Финансовый 2 2 30 9 3" xfId="10066"/>
    <cellStyle name="Финансовый 2 2 30 9 4" xfId="32381"/>
    <cellStyle name="Финансовый 2 2 31" xfId="155"/>
    <cellStyle name="Финансовый 2 2 31 10" xfId="2352"/>
    <cellStyle name="Финансовый 2 2 31 10 2" xfId="16481"/>
    <cellStyle name="Финансовый 2 2 31 10 2 2" xfId="38796"/>
    <cellStyle name="Финансовый 2 2 31 10 3" xfId="10675"/>
    <cellStyle name="Финансовый 2 2 31 10 4" xfId="32990"/>
    <cellStyle name="Финансовый 2 2 31 11" xfId="2584"/>
    <cellStyle name="Финансовый 2 2 31 11 2" xfId="16671"/>
    <cellStyle name="Финансовый 2 2 31 11 2 2" xfId="38986"/>
    <cellStyle name="Финансовый 2 2 31 11 3" xfId="10865"/>
    <cellStyle name="Финансовый 2 2 31 11 4" xfId="33180"/>
    <cellStyle name="Финансовый 2 2 31 12" xfId="2807"/>
    <cellStyle name="Финансовый 2 2 31 12 2" xfId="16854"/>
    <cellStyle name="Финансовый 2 2 31 12 2 2" xfId="39169"/>
    <cellStyle name="Финансовый 2 2 31 12 3" xfId="11048"/>
    <cellStyle name="Финансовый 2 2 31 12 4" xfId="33363"/>
    <cellStyle name="Финансовый 2 2 31 13" xfId="3022"/>
    <cellStyle name="Финансовый 2 2 31 13 2" xfId="17029"/>
    <cellStyle name="Финансовый 2 2 31 13 2 2" xfId="39344"/>
    <cellStyle name="Финансовый 2 2 31 13 3" xfId="11223"/>
    <cellStyle name="Финансовый 2 2 31 13 4" xfId="33538"/>
    <cellStyle name="Финансовый 2 2 31 14" xfId="3226"/>
    <cellStyle name="Финансовый 2 2 31 14 2" xfId="17194"/>
    <cellStyle name="Финансовый 2 2 31 14 2 2" xfId="39509"/>
    <cellStyle name="Финансовый 2 2 31 14 3" xfId="11388"/>
    <cellStyle name="Финансовый 2 2 31 14 4" xfId="33703"/>
    <cellStyle name="Финансовый 2 2 31 15" xfId="3413"/>
    <cellStyle name="Финансовый 2 2 31 15 2" xfId="17342"/>
    <cellStyle name="Финансовый 2 2 31 15 2 2" xfId="39657"/>
    <cellStyle name="Финансовый 2 2 31 15 3" xfId="11536"/>
    <cellStyle name="Финансовый 2 2 31 15 4" xfId="33851"/>
    <cellStyle name="Финансовый 2 2 31 16" xfId="3586"/>
    <cellStyle name="Финансовый 2 2 31 16 2" xfId="17477"/>
    <cellStyle name="Финансовый 2 2 31 16 2 2" xfId="39792"/>
    <cellStyle name="Финансовый 2 2 31 16 3" xfId="11671"/>
    <cellStyle name="Финансовый 2 2 31 16 4" xfId="33986"/>
    <cellStyle name="Финансовый 2 2 31 17" xfId="3743"/>
    <cellStyle name="Финансовый 2 2 31 17 2" xfId="17596"/>
    <cellStyle name="Финансовый 2 2 31 17 2 2" xfId="39911"/>
    <cellStyle name="Финансовый 2 2 31 17 3" xfId="11790"/>
    <cellStyle name="Финансовый 2 2 31 17 4" xfId="34105"/>
    <cellStyle name="Финансовый 2 2 31 18" xfId="3868"/>
    <cellStyle name="Финансовый 2 2 31 18 2" xfId="17688"/>
    <cellStyle name="Финансовый 2 2 31 18 2 2" xfId="40003"/>
    <cellStyle name="Финансовый 2 2 31 18 3" xfId="11882"/>
    <cellStyle name="Финансовый 2 2 31 18 4" xfId="34197"/>
    <cellStyle name="Финансовый 2 2 31 19" xfId="8244"/>
    <cellStyle name="Финансовый 2 2 31 19 2" xfId="20082"/>
    <cellStyle name="Финансовый 2 2 31 19 2 2" xfId="42397"/>
    <cellStyle name="Финансовый 2 2 31 19 3" xfId="14276"/>
    <cellStyle name="Финансовый 2 2 31 19 4" xfId="36591"/>
    <cellStyle name="Финансовый 2 2 31 2" xfId="497"/>
    <cellStyle name="Финансовый 2 2 31 2 10" xfId="1627"/>
    <cellStyle name="Финансовый 2 2 31 2 10 2" xfId="15861"/>
    <cellStyle name="Финансовый 2 2 31 2 10 2 2" xfId="38176"/>
    <cellStyle name="Финансовый 2 2 31 2 10 3" xfId="10055"/>
    <cellStyle name="Финансовый 2 2 31 2 10 4" xfId="32370"/>
    <cellStyle name="Финансовый 2 2 31 2 11" xfId="1818"/>
    <cellStyle name="Финансовый 2 2 31 2 11 2" xfId="16036"/>
    <cellStyle name="Финансовый 2 2 31 2 11 2 2" xfId="38351"/>
    <cellStyle name="Финансовый 2 2 31 2 11 3" xfId="10230"/>
    <cellStyle name="Финансовый 2 2 31 2 11 4" xfId="32545"/>
    <cellStyle name="Финансовый 2 2 31 2 12" xfId="2056"/>
    <cellStyle name="Финансовый 2 2 31 2 12 2" xfId="16232"/>
    <cellStyle name="Финансовый 2 2 31 2 12 2 2" xfId="38547"/>
    <cellStyle name="Финансовый 2 2 31 2 12 3" xfId="10426"/>
    <cellStyle name="Финансовый 2 2 31 2 12 4" xfId="32741"/>
    <cellStyle name="Финансовый 2 2 31 2 13" xfId="2291"/>
    <cellStyle name="Финансовый 2 2 31 2 13 2" xfId="16425"/>
    <cellStyle name="Финансовый 2 2 31 2 13 2 2" xfId="38740"/>
    <cellStyle name="Финансовый 2 2 31 2 13 3" xfId="10619"/>
    <cellStyle name="Финансовый 2 2 31 2 13 4" xfId="32934"/>
    <cellStyle name="Финансовый 2 2 31 2 14" xfId="2524"/>
    <cellStyle name="Финансовый 2 2 31 2 14 2" xfId="16616"/>
    <cellStyle name="Финансовый 2 2 31 2 14 2 2" xfId="38931"/>
    <cellStyle name="Финансовый 2 2 31 2 14 3" xfId="10810"/>
    <cellStyle name="Финансовый 2 2 31 2 14 4" xfId="33125"/>
    <cellStyle name="Финансовый 2 2 31 2 15" xfId="7779"/>
    <cellStyle name="Финансовый 2 2 31 2 15 2" xfId="19811"/>
    <cellStyle name="Финансовый 2 2 31 2 15 2 2" xfId="42126"/>
    <cellStyle name="Финансовый 2 2 31 2 15 3" xfId="14005"/>
    <cellStyle name="Финансовый 2 2 31 2 15 4" xfId="36320"/>
    <cellStyle name="Финансовый 2 2 31 2 16" xfId="4361"/>
    <cellStyle name="Финансовый 2 2 31 2 16 2" xfId="17960"/>
    <cellStyle name="Финансовый 2 2 31 2 16 2 2" xfId="40275"/>
    <cellStyle name="Финансовый 2 2 31 2 16 3" xfId="12154"/>
    <cellStyle name="Финансовый 2 2 31 2 16 4" xfId="34469"/>
    <cellStyle name="Финансовый 2 2 31 2 17" xfId="7151"/>
    <cellStyle name="Финансовый 2 2 31 2 17 2" xfId="19467"/>
    <cellStyle name="Финансовый 2 2 31 2 17 2 2" xfId="41782"/>
    <cellStyle name="Финансовый 2 2 31 2 17 3" xfId="13661"/>
    <cellStyle name="Финансовый 2 2 31 2 17 4" xfId="35976"/>
    <cellStyle name="Финансовый 2 2 31 2 18" xfId="14899"/>
    <cellStyle name="Финансовый 2 2 31 2 18 2" xfId="37214"/>
    <cellStyle name="Финансовый 2 2 31 2 19" xfId="9093"/>
    <cellStyle name="Финансовый 2 2 31 2 2" xfId="720"/>
    <cellStyle name="Финансовый 2 2 31 2 2 2" xfId="15099"/>
    <cellStyle name="Финансовый 2 2 31 2 2 2 2" xfId="37414"/>
    <cellStyle name="Финансовый 2 2 31 2 2 3" xfId="9293"/>
    <cellStyle name="Финансовый 2 2 31 2 2 4" xfId="31616"/>
    <cellStyle name="Финансовый 2 2 31 2 20" xfId="31426"/>
    <cellStyle name="Финансовый 2 2 31 2 3" xfId="1472"/>
    <cellStyle name="Финансовый 2 2 31 2 3 2" xfId="15714"/>
    <cellStyle name="Финансовый 2 2 31 2 3 2 2" xfId="38029"/>
    <cellStyle name="Финансовый 2 2 31 2 3 3" xfId="9908"/>
    <cellStyle name="Финансовый 2 2 31 2 3 4" xfId="32223"/>
    <cellStyle name="Финансовый 2 2 31 2 4" xfId="1597"/>
    <cellStyle name="Финансовый 2 2 31 2 4 2" xfId="15833"/>
    <cellStyle name="Финансовый 2 2 31 2 4 2 2" xfId="38148"/>
    <cellStyle name="Финансовый 2 2 31 2 4 3" xfId="10027"/>
    <cellStyle name="Финансовый 2 2 31 2 4 4" xfId="32342"/>
    <cellStyle name="Финансовый 2 2 31 2 5" xfId="1350"/>
    <cellStyle name="Финансовый 2 2 31 2 5 2" xfId="15602"/>
    <cellStyle name="Финансовый 2 2 31 2 5 2 2" xfId="37917"/>
    <cellStyle name="Финансовый 2 2 31 2 5 3" xfId="9796"/>
    <cellStyle name="Финансовый 2 2 31 2 5 4" xfId="32111"/>
    <cellStyle name="Финансовый 2 2 31 2 6" xfId="1694"/>
    <cellStyle name="Финансовый 2 2 31 2 6 2" xfId="15923"/>
    <cellStyle name="Финансовый 2 2 31 2 6 2 2" xfId="38238"/>
    <cellStyle name="Финансовый 2 2 31 2 6 3" xfId="10117"/>
    <cellStyle name="Финансовый 2 2 31 2 6 4" xfId="32432"/>
    <cellStyle name="Финансовый 2 2 31 2 7" xfId="1604"/>
    <cellStyle name="Финансовый 2 2 31 2 7 2" xfId="15838"/>
    <cellStyle name="Финансовый 2 2 31 2 7 2 2" xfId="38153"/>
    <cellStyle name="Финансовый 2 2 31 2 7 3" xfId="10032"/>
    <cellStyle name="Финансовый 2 2 31 2 7 4" xfId="32347"/>
    <cellStyle name="Финансовый 2 2 31 2 8" xfId="1523"/>
    <cellStyle name="Финансовый 2 2 31 2 8 2" xfId="15763"/>
    <cellStyle name="Финансовый 2 2 31 2 8 2 2" xfId="38078"/>
    <cellStyle name="Финансовый 2 2 31 2 8 3" xfId="9957"/>
    <cellStyle name="Финансовый 2 2 31 2 8 4" xfId="32272"/>
    <cellStyle name="Финансовый 2 2 31 2 9" xfId="1368"/>
    <cellStyle name="Финансовый 2 2 31 2 9 2" xfId="15617"/>
    <cellStyle name="Финансовый 2 2 31 2 9 2 2" xfId="37932"/>
    <cellStyle name="Финансовый 2 2 31 2 9 3" xfId="9811"/>
    <cellStyle name="Финансовый 2 2 31 2 9 4" xfId="32126"/>
    <cellStyle name="Финансовый 2 2 31 20" xfId="4307"/>
    <cellStyle name="Финансовый 2 2 31 20 2" xfId="17931"/>
    <cellStyle name="Финансовый 2 2 31 20 2 2" xfId="40246"/>
    <cellStyle name="Финансовый 2 2 31 20 3" xfId="12125"/>
    <cellStyle name="Финансовый 2 2 31 20 4" xfId="34440"/>
    <cellStyle name="Финансовый 2 2 31 21" xfId="7965"/>
    <cellStyle name="Финансовый 2 2 31 21 2" xfId="19919"/>
    <cellStyle name="Финансовый 2 2 31 21 2 2" xfId="42234"/>
    <cellStyle name="Финансовый 2 2 31 21 3" xfId="14113"/>
    <cellStyle name="Финансовый 2 2 31 21 4" xfId="36428"/>
    <cellStyle name="Финансовый 2 2 31 22" xfId="14655"/>
    <cellStyle name="Финансовый 2 2 31 22 2" xfId="36970"/>
    <cellStyle name="Финансовый 2 2 31 23" xfId="8849"/>
    <cellStyle name="Финансовый 2 2 31 24" xfId="31185"/>
    <cellStyle name="Финансовый 2 2 31 3" xfId="845"/>
    <cellStyle name="Финансовый 2 2 31 3 2" xfId="15185"/>
    <cellStyle name="Финансовый 2 2 31 3 2 2" xfId="37500"/>
    <cellStyle name="Финансовый 2 2 31 3 3" xfId="9379"/>
    <cellStyle name="Финансовый 2 2 31 3 4" xfId="31701"/>
    <cellStyle name="Финансовый 2 2 31 4" xfId="700"/>
    <cellStyle name="Финансовый 2 2 31 4 2" xfId="15079"/>
    <cellStyle name="Финансовый 2 2 31 4 2 2" xfId="37394"/>
    <cellStyle name="Финансовый 2 2 31 4 3" xfId="9273"/>
    <cellStyle name="Финансовый 2 2 31 4 4" xfId="31596"/>
    <cellStyle name="Финансовый 2 2 31 5" xfId="1061"/>
    <cellStyle name="Финансовый 2 2 31 5 2" xfId="15374"/>
    <cellStyle name="Финансовый 2 2 31 5 2 2" xfId="37689"/>
    <cellStyle name="Финансовый 2 2 31 5 3" xfId="9568"/>
    <cellStyle name="Финансовый 2 2 31 5 4" xfId="31887"/>
    <cellStyle name="Финансовый 2 2 31 6" xfId="998"/>
    <cellStyle name="Финансовый 2 2 31 6 2" xfId="15311"/>
    <cellStyle name="Финансовый 2 2 31 6 2 2" xfId="37626"/>
    <cellStyle name="Финансовый 2 2 31 6 3" xfId="9505"/>
    <cellStyle name="Финансовый 2 2 31 6 4" xfId="31824"/>
    <cellStyle name="Финансовый 2 2 31 7" xfId="1255"/>
    <cellStyle name="Финансовый 2 2 31 7 2" xfId="15515"/>
    <cellStyle name="Финансовый 2 2 31 7 2 2" xfId="37830"/>
    <cellStyle name="Финансовый 2 2 31 7 3" xfId="9709"/>
    <cellStyle name="Финансовый 2 2 31 7 4" xfId="32024"/>
    <cellStyle name="Финансовый 2 2 31 8" xfId="1879"/>
    <cellStyle name="Финансовый 2 2 31 8 2" xfId="16092"/>
    <cellStyle name="Финансовый 2 2 31 8 2 2" xfId="38407"/>
    <cellStyle name="Финансовый 2 2 31 8 3" xfId="10286"/>
    <cellStyle name="Финансовый 2 2 31 8 4" xfId="32601"/>
    <cellStyle name="Финансовый 2 2 31 9" xfId="2117"/>
    <cellStyle name="Финансовый 2 2 31 9 2" xfId="16288"/>
    <cellStyle name="Финансовый 2 2 31 9 2 2" xfId="38603"/>
    <cellStyle name="Финансовый 2 2 31 9 3" xfId="10482"/>
    <cellStyle name="Финансовый 2 2 31 9 4" xfId="32797"/>
    <cellStyle name="Финансовый 2 2 32" xfId="160"/>
    <cellStyle name="Финансовый 2 2 32 10" xfId="2292"/>
    <cellStyle name="Финансовый 2 2 32 10 2" xfId="16426"/>
    <cellStyle name="Финансовый 2 2 32 10 2 2" xfId="38741"/>
    <cellStyle name="Финансовый 2 2 32 10 3" xfId="10620"/>
    <cellStyle name="Финансовый 2 2 32 10 4" xfId="32935"/>
    <cellStyle name="Финансовый 2 2 32 11" xfId="2525"/>
    <cellStyle name="Финансовый 2 2 32 11 2" xfId="16617"/>
    <cellStyle name="Финансовый 2 2 32 11 2 2" xfId="38932"/>
    <cellStyle name="Финансовый 2 2 32 11 3" xfId="10811"/>
    <cellStyle name="Финансовый 2 2 32 11 4" xfId="33126"/>
    <cellStyle name="Финансовый 2 2 32 12" xfId="2751"/>
    <cellStyle name="Финансовый 2 2 32 12 2" xfId="16802"/>
    <cellStyle name="Финансовый 2 2 32 12 2 2" xfId="39117"/>
    <cellStyle name="Финансовый 2 2 32 12 3" xfId="10996"/>
    <cellStyle name="Финансовый 2 2 32 12 4" xfId="33311"/>
    <cellStyle name="Финансовый 2 2 32 13" xfId="2969"/>
    <cellStyle name="Финансовый 2 2 32 13 2" xfId="16980"/>
    <cellStyle name="Финансовый 2 2 32 13 2 2" xfId="39295"/>
    <cellStyle name="Финансовый 2 2 32 13 3" xfId="11174"/>
    <cellStyle name="Финансовый 2 2 32 13 4" xfId="33489"/>
    <cellStyle name="Финансовый 2 2 32 14" xfId="3177"/>
    <cellStyle name="Финансовый 2 2 32 14 2" xfId="17149"/>
    <cellStyle name="Финансовый 2 2 32 14 2 2" xfId="39464"/>
    <cellStyle name="Финансовый 2 2 32 14 3" xfId="11343"/>
    <cellStyle name="Финансовый 2 2 32 14 4" xfId="33658"/>
    <cellStyle name="Финансовый 2 2 32 15" xfId="3366"/>
    <cellStyle name="Финансовый 2 2 32 15 2" xfId="17299"/>
    <cellStyle name="Финансовый 2 2 32 15 2 2" xfId="39614"/>
    <cellStyle name="Финансовый 2 2 32 15 3" xfId="11493"/>
    <cellStyle name="Финансовый 2 2 32 15 4" xfId="33808"/>
    <cellStyle name="Финансовый 2 2 32 16" xfId="3548"/>
    <cellStyle name="Финансовый 2 2 32 16 2" xfId="17442"/>
    <cellStyle name="Финансовый 2 2 32 16 2 2" xfId="39757"/>
    <cellStyle name="Финансовый 2 2 32 16 3" xfId="11636"/>
    <cellStyle name="Финансовый 2 2 32 16 4" xfId="33951"/>
    <cellStyle name="Финансовый 2 2 32 17" xfId="3709"/>
    <cellStyle name="Финансовый 2 2 32 17 2" xfId="17565"/>
    <cellStyle name="Финансовый 2 2 32 17 2 2" xfId="39880"/>
    <cellStyle name="Финансовый 2 2 32 17 3" xfId="11759"/>
    <cellStyle name="Финансовый 2 2 32 17 4" xfId="34074"/>
    <cellStyle name="Финансовый 2 2 32 18" xfId="3847"/>
    <cellStyle name="Финансовый 2 2 32 18 2" xfId="17669"/>
    <cellStyle name="Финансовый 2 2 32 18 2 2" xfId="39984"/>
    <cellStyle name="Финансовый 2 2 32 18 3" xfId="11863"/>
    <cellStyle name="Финансовый 2 2 32 18 4" xfId="34178"/>
    <cellStyle name="Финансовый 2 2 32 19" xfId="6367"/>
    <cellStyle name="Финансовый 2 2 32 19 2" xfId="19045"/>
    <cellStyle name="Финансовый 2 2 32 19 2 2" xfId="41360"/>
    <cellStyle name="Финансовый 2 2 32 19 3" xfId="13239"/>
    <cellStyle name="Финансовый 2 2 32 19 4" xfId="35554"/>
    <cellStyle name="Финансовый 2 2 32 2" xfId="502"/>
    <cellStyle name="Финансовый 2 2 32 2 10" xfId="2282"/>
    <cellStyle name="Финансовый 2 2 32 2 10 2" xfId="16416"/>
    <cellStyle name="Финансовый 2 2 32 2 10 2 2" xfId="38731"/>
    <cellStyle name="Финансовый 2 2 32 2 10 3" xfId="10610"/>
    <cellStyle name="Финансовый 2 2 32 2 10 4" xfId="32925"/>
    <cellStyle name="Финансовый 2 2 32 2 11" xfId="2516"/>
    <cellStyle name="Финансовый 2 2 32 2 11 2" xfId="16608"/>
    <cellStyle name="Финансовый 2 2 32 2 11 2 2" xfId="38923"/>
    <cellStyle name="Финансовый 2 2 32 2 11 3" xfId="10802"/>
    <cellStyle name="Финансовый 2 2 32 2 11 4" xfId="33117"/>
    <cellStyle name="Финансовый 2 2 32 2 12" xfId="2743"/>
    <cellStyle name="Финансовый 2 2 32 2 12 2" xfId="16794"/>
    <cellStyle name="Финансовый 2 2 32 2 12 2 2" xfId="39109"/>
    <cellStyle name="Финансовый 2 2 32 2 12 3" xfId="10988"/>
    <cellStyle name="Финансовый 2 2 32 2 12 4" xfId="33303"/>
    <cellStyle name="Финансовый 2 2 32 2 13" xfId="2961"/>
    <cellStyle name="Финансовый 2 2 32 2 13 2" xfId="16972"/>
    <cellStyle name="Финансовый 2 2 32 2 13 2 2" xfId="39287"/>
    <cellStyle name="Финансовый 2 2 32 2 13 3" xfId="11166"/>
    <cellStyle name="Финансовый 2 2 32 2 13 4" xfId="33481"/>
    <cellStyle name="Финансовый 2 2 32 2 14" xfId="3169"/>
    <cellStyle name="Финансовый 2 2 32 2 14 2" xfId="17141"/>
    <cellStyle name="Финансовый 2 2 32 2 14 2 2" xfId="39456"/>
    <cellStyle name="Финансовый 2 2 32 2 14 3" xfId="11335"/>
    <cellStyle name="Финансовый 2 2 32 2 14 4" xfId="33650"/>
    <cellStyle name="Финансовый 2 2 32 2 15" xfId="5805"/>
    <cellStyle name="Финансовый 2 2 32 2 15 2" xfId="18745"/>
    <cellStyle name="Финансовый 2 2 32 2 15 2 2" xfId="41060"/>
    <cellStyle name="Финансовый 2 2 32 2 15 3" xfId="12939"/>
    <cellStyle name="Финансовый 2 2 32 2 15 4" xfId="35254"/>
    <cellStyle name="Финансовый 2 2 32 2 16" xfId="4999"/>
    <cellStyle name="Финансовый 2 2 32 2 16 2" xfId="18306"/>
    <cellStyle name="Финансовый 2 2 32 2 16 2 2" xfId="40621"/>
    <cellStyle name="Финансовый 2 2 32 2 16 3" xfId="12500"/>
    <cellStyle name="Финансовый 2 2 32 2 16 4" xfId="34815"/>
    <cellStyle name="Финансовый 2 2 32 2 17" xfId="6507"/>
    <cellStyle name="Финансовый 2 2 32 2 17 2" xfId="19126"/>
    <cellStyle name="Финансовый 2 2 32 2 17 2 2" xfId="41441"/>
    <cellStyle name="Финансовый 2 2 32 2 17 3" xfId="13320"/>
    <cellStyle name="Финансовый 2 2 32 2 17 4" xfId="35635"/>
    <cellStyle name="Финансовый 2 2 32 2 18" xfId="14904"/>
    <cellStyle name="Финансовый 2 2 32 2 18 2" xfId="37219"/>
    <cellStyle name="Финансовый 2 2 32 2 19" xfId="9098"/>
    <cellStyle name="Финансовый 2 2 32 2 2" xfId="725"/>
    <cellStyle name="Финансовый 2 2 32 2 2 2" xfId="15104"/>
    <cellStyle name="Финансовый 2 2 32 2 2 2 2" xfId="37419"/>
    <cellStyle name="Финансовый 2 2 32 2 2 3" xfId="9298"/>
    <cellStyle name="Финансовый 2 2 32 2 2 4" xfId="31621"/>
    <cellStyle name="Финансовый 2 2 32 2 20" xfId="31431"/>
    <cellStyle name="Финансовый 2 2 32 2 3" xfId="1477"/>
    <cellStyle name="Финансовый 2 2 32 2 3 2" xfId="15719"/>
    <cellStyle name="Финансовый 2 2 32 2 3 2 2" xfId="38034"/>
    <cellStyle name="Финансовый 2 2 32 2 3 3" xfId="9913"/>
    <cellStyle name="Финансовый 2 2 32 2 3 4" xfId="32228"/>
    <cellStyle name="Финансовый 2 2 32 2 4" xfId="1722"/>
    <cellStyle name="Финансовый 2 2 32 2 4 2" xfId="15947"/>
    <cellStyle name="Финансовый 2 2 32 2 4 2 2" xfId="38262"/>
    <cellStyle name="Финансовый 2 2 32 2 4 3" xfId="10141"/>
    <cellStyle name="Финансовый 2 2 32 2 4 4" xfId="32456"/>
    <cellStyle name="Финансовый 2 2 32 2 5" xfId="426"/>
    <cellStyle name="Финансовый 2 2 32 2 5 2" xfId="14829"/>
    <cellStyle name="Финансовый 2 2 32 2 5 2 2" xfId="37144"/>
    <cellStyle name="Финансовый 2 2 32 2 5 3" xfId="9023"/>
    <cellStyle name="Финансовый 2 2 32 2 5 4" xfId="31356"/>
    <cellStyle name="Финансовый 2 2 32 2 6" xfId="1529"/>
    <cellStyle name="Финансовый 2 2 32 2 6 2" xfId="15769"/>
    <cellStyle name="Финансовый 2 2 32 2 6 2 2" xfId="38084"/>
    <cellStyle name="Финансовый 2 2 32 2 6 3" xfId="9963"/>
    <cellStyle name="Финансовый 2 2 32 2 6 4" xfId="32278"/>
    <cellStyle name="Финансовый 2 2 32 2 7" xfId="1692"/>
    <cellStyle name="Финансовый 2 2 32 2 7 2" xfId="15921"/>
    <cellStyle name="Финансовый 2 2 32 2 7 2 2" xfId="38236"/>
    <cellStyle name="Финансовый 2 2 32 2 7 3" xfId="10115"/>
    <cellStyle name="Финансовый 2 2 32 2 7 4" xfId="32430"/>
    <cellStyle name="Финансовый 2 2 32 2 8" xfId="1809"/>
    <cellStyle name="Финансовый 2 2 32 2 8 2" xfId="16027"/>
    <cellStyle name="Финансовый 2 2 32 2 8 2 2" xfId="38342"/>
    <cellStyle name="Финансовый 2 2 32 2 8 3" xfId="10221"/>
    <cellStyle name="Финансовый 2 2 32 2 8 4" xfId="32536"/>
    <cellStyle name="Финансовый 2 2 32 2 9" xfId="2047"/>
    <cellStyle name="Финансовый 2 2 32 2 9 2" xfId="16223"/>
    <cellStyle name="Финансовый 2 2 32 2 9 2 2" xfId="38538"/>
    <cellStyle name="Финансовый 2 2 32 2 9 3" xfId="10417"/>
    <cellStyle name="Финансовый 2 2 32 2 9 4" xfId="32732"/>
    <cellStyle name="Финансовый 2 2 32 20" xfId="5347"/>
    <cellStyle name="Финансовый 2 2 32 20 2" xfId="18503"/>
    <cellStyle name="Финансовый 2 2 32 20 2 2" xfId="40818"/>
    <cellStyle name="Финансовый 2 2 32 20 3" xfId="12697"/>
    <cellStyle name="Финансовый 2 2 32 20 4" xfId="35012"/>
    <cellStyle name="Финансовый 2 2 32 21" xfId="8340"/>
    <cellStyle name="Финансовый 2 2 32 21 2" xfId="20135"/>
    <cellStyle name="Финансовый 2 2 32 21 2 2" xfId="42450"/>
    <cellStyle name="Финансовый 2 2 32 21 3" xfId="14329"/>
    <cellStyle name="Финансовый 2 2 32 21 4" xfId="36644"/>
    <cellStyle name="Финансовый 2 2 32 22" xfId="14657"/>
    <cellStyle name="Финансовый 2 2 32 22 2" xfId="36972"/>
    <cellStyle name="Финансовый 2 2 32 23" xfId="8851"/>
    <cellStyle name="Финансовый 2 2 32 24" xfId="31187"/>
    <cellStyle name="Финансовый 2 2 32 3" xfId="849"/>
    <cellStyle name="Финансовый 2 2 32 3 2" xfId="15189"/>
    <cellStyle name="Финансовый 2 2 32 3 2 2" xfId="37504"/>
    <cellStyle name="Финансовый 2 2 32 3 3" xfId="9383"/>
    <cellStyle name="Финансовый 2 2 32 3 4" xfId="31705"/>
    <cellStyle name="Финансовый 2 2 32 4" xfId="613"/>
    <cellStyle name="Финансовый 2 2 32 4 2" xfId="14993"/>
    <cellStyle name="Финансовый 2 2 32 4 2 2" xfId="37308"/>
    <cellStyle name="Финансовый 2 2 32 4 3" xfId="9187"/>
    <cellStyle name="Финансовый 2 2 32 4 4" xfId="31512"/>
    <cellStyle name="Финансовый 2 2 32 5" xfId="1065"/>
    <cellStyle name="Финансовый 2 2 32 5 2" xfId="15378"/>
    <cellStyle name="Финансовый 2 2 32 5 2 2" xfId="37693"/>
    <cellStyle name="Финансовый 2 2 32 5 3" xfId="9572"/>
    <cellStyle name="Финансовый 2 2 32 5 4" xfId="31891"/>
    <cellStyle name="Финансовый 2 2 32 6" xfId="964"/>
    <cellStyle name="Финансовый 2 2 32 6 2" xfId="15280"/>
    <cellStyle name="Финансовый 2 2 32 6 2 2" xfId="37595"/>
    <cellStyle name="Финансовый 2 2 32 6 3" xfId="9474"/>
    <cellStyle name="Финансовый 2 2 32 6 4" xfId="31794"/>
    <cellStyle name="Финансовый 2 2 32 7" xfId="1260"/>
    <cellStyle name="Финансовый 2 2 32 7 2" xfId="15520"/>
    <cellStyle name="Финансовый 2 2 32 7 2 2" xfId="37835"/>
    <cellStyle name="Финансовый 2 2 32 7 3" xfId="9714"/>
    <cellStyle name="Финансовый 2 2 32 7 4" xfId="32029"/>
    <cellStyle name="Финансовый 2 2 32 8" xfId="1819"/>
    <cellStyle name="Финансовый 2 2 32 8 2" xfId="16037"/>
    <cellStyle name="Финансовый 2 2 32 8 2 2" xfId="38352"/>
    <cellStyle name="Финансовый 2 2 32 8 3" xfId="10231"/>
    <cellStyle name="Финансовый 2 2 32 8 4" xfId="32546"/>
    <cellStyle name="Финансовый 2 2 32 9" xfId="2057"/>
    <cellStyle name="Финансовый 2 2 32 9 2" xfId="16233"/>
    <cellStyle name="Финансовый 2 2 32 9 2 2" xfId="38548"/>
    <cellStyle name="Финансовый 2 2 32 9 3" xfId="10427"/>
    <cellStyle name="Финансовый 2 2 32 9 4" xfId="32742"/>
    <cellStyle name="Финансовый 2 2 33" xfId="165"/>
    <cellStyle name="Финансовый 2 2 33 10" xfId="424"/>
    <cellStyle name="Финансовый 2 2 33 10 2" xfId="14827"/>
    <cellStyle name="Финансовый 2 2 33 10 2 2" xfId="37142"/>
    <cellStyle name="Финансовый 2 2 33 10 3" xfId="9021"/>
    <cellStyle name="Финансовый 2 2 33 10 4" xfId="31354"/>
    <cellStyle name="Финансовый 2 2 33 11" xfId="1489"/>
    <cellStyle name="Финансовый 2 2 33 11 2" xfId="15731"/>
    <cellStyle name="Финансовый 2 2 33 11 2 2" xfId="38046"/>
    <cellStyle name="Финансовый 2 2 33 11 3" xfId="9925"/>
    <cellStyle name="Финансовый 2 2 33 11 4" xfId="32240"/>
    <cellStyle name="Финансовый 2 2 33 12" xfId="1469"/>
    <cellStyle name="Финансовый 2 2 33 12 2" xfId="15711"/>
    <cellStyle name="Финансовый 2 2 33 12 2 2" xfId="38026"/>
    <cellStyle name="Финансовый 2 2 33 12 3" xfId="9905"/>
    <cellStyle name="Финансовый 2 2 33 12 4" xfId="32220"/>
    <cellStyle name="Финансовый 2 2 33 13" xfId="1865"/>
    <cellStyle name="Финансовый 2 2 33 13 2" xfId="16079"/>
    <cellStyle name="Финансовый 2 2 33 13 2 2" xfId="38394"/>
    <cellStyle name="Финансовый 2 2 33 13 3" xfId="10273"/>
    <cellStyle name="Финансовый 2 2 33 13 4" xfId="32588"/>
    <cellStyle name="Финансовый 2 2 33 14" xfId="2103"/>
    <cellStyle name="Финансовый 2 2 33 14 2" xfId="16275"/>
    <cellStyle name="Финансовый 2 2 33 14 2 2" xfId="38590"/>
    <cellStyle name="Финансовый 2 2 33 14 3" xfId="10469"/>
    <cellStyle name="Финансовый 2 2 33 14 4" xfId="32784"/>
    <cellStyle name="Финансовый 2 2 33 15" xfId="2338"/>
    <cellStyle name="Финансовый 2 2 33 15 2" xfId="16468"/>
    <cellStyle name="Финансовый 2 2 33 15 2 2" xfId="38783"/>
    <cellStyle name="Финансовый 2 2 33 15 3" xfId="10662"/>
    <cellStyle name="Финансовый 2 2 33 15 4" xfId="32977"/>
    <cellStyle name="Финансовый 2 2 33 16" xfId="2570"/>
    <cellStyle name="Финансовый 2 2 33 16 2" xfId="16658"/>
    <cellStyle name="Финансовый 2 2 33 16 2 2" xfId="38973"/>
    <cellStyle name="Финансовый 2 2 33 16 3" xfId="10852"/>
    <cellStyle name="Финансовый 2 2 33 16 4" xfId="33167"/>
    <cellStyle name="Финансовый 2 2 33 17" xfId="2793"/>
    <cellStyle name="Финансовый 2 2 33 17 2" xfId="16841"/>
    <cellStyle name="Финансовый 2 2 33 17 2 2" xfId="39156"/>
    <cellStyle name="Финансовый 2 2 33 17 3" xfId="11035"/>
    <cellStyle name="Финансовый 2 2 33 17 4" xfId="33350"/>
    <cellStyle name="Финансовый 2 2 33 18" xfId="3008"/>
    <cellStyle name="Финансовый 2 2 33 18 2" xfId="17016"/>
    <cellStyle name="Финансовый 2 2 33 18 2 2" xfId="39331"/>
    <cellStyle name="Финансовый 2 2 33 18 3" xfId="11210"/>
    <cellStyle name="Финансовый 2 2 33 18 4" xfId="33525"/>
    <cellStyle name="Финансовый 2 2 33 19" xfId="7967"/>
    <cellStyle name="Финансовый 2 2 33 19 2" xfId="19921"/>
    <cellStyle name="Финансовый 2 2 33 19 2 2" xfId="42236"/>
    <cellStyle name="Финансовый 2 2 33 19 3" xfId="14115"/>
    <cellStyle name="Финансовый 2 2 33 19 4" xfId="36430"/>
    <cellStyle name="Финансовый 2 2 33 2" xfId="507"/>
    <cellStyle name="Финансовый 2 2 33 2 10" xfId="3159"/>
    <cellStyle name="Финансовый 2 2 33 2 10 2" xfId="17132"/>
    <cellStyle name="Финансовый 2 2 33 2 10 2 2" xfId="39447"/>
    <cellStyle name="Финансовый 2 2 33 2 10 3" xfId="11326"/>
    <cellStyle name="Финансовый 2 2 33 2 10 4" xfId="33641"/>
    <cellStyle name="Финансовый 2 2 33 2 11" xfId="3352"/>
    <cellStyle name="Финансовый 2 2 33 2 11 2" xfId="17286"/>
    <cellStyle name="Финансовый 2 2 33 2 11 2 2" xfId="39601"/>
    <cellStyle name="Финансовый 2 2 33 2 11 3" xfId="11480"/>
    <cellStyle name="Финансовый 2 2 33 2 11 4" xfId="33795"/>
    <cellStyle name="Финансовый 2 2 33 2 12" xfId="3535"/>
    <cellStyle name="Финансовый 2 2 33 2 12 2" xfId="17430"/>
    <cellStyle name="Финансовый 2 2 33 2 12 2 2" xfId="39745"/>
    <cellStyle name="Финансовый 2 2 33 2 12 3" xfId="11624"/>
    <cellStyle name="Финансовый 2 2 33 2 12 4" xfId="33939"/>
    <cellStyle name="Финансовый 2 2 33 2 13" xfId="3697"/>
    <cellStyle name="Финансовый 2 2 33 2 13 2" xfId="17554"/>
    <cellStyle name="Финансовый 2 2 33 2 13 2 2" xfId="39869"/>
    <cellStyle name="Финансовый 2 2 33 2 13 3" xfId="11748"/>
    <cellStyle name="Финансовый 2 2 33 2 13 4" xfId="34063"/>
    <cellStyle name="Финансовый 2 2 33 2 14" xfId="3838"/>
    <cellStyle name="Финансовый 2 2 33 2 14 2" xfId="17660"/>
    <cellStyle name="Финансовый 2 2 33 2 14 2 2" xfId="39975"/>
    <cellStyle name="Финансовый 2 2 33 2 14 3" xfId="11854"/>
    <cellStyle name="Финансовый 2 2 33 2 14 4" xfId="34169"/>
    <cellStyle name="Финансовый 2 2 33 2 15" xfId="5006"/>
    <cellStyle name="Финансовый 2 2 33 2 15 2" xfId="18313"/>
    <cellStyle name="Финансовый 2 2 33 2 15 2 2" xfId="40628"/>
    <cellStyle name="Финансовый 2 2 33 2 15 3" xfId="12507"/>
    <cellStyle name="Финансовый 2 2 33 2 15 4" xfId="34822"/>
    <cellStyle name="Финансовый 2 2 33 2 16" xfId="7634"/>
    <cellStyle name="Финансовый 2 2 33 2 16 2" xfId="19730"/>
    <cellStyle name="Финансовый 2 2 33 2 16 2 2" xfId="42045"/>
    <cellStyle name="Финансовый 2 2 33 2 16 3" xfId="13924"/>
    <cellStyle name="Финансовый 2 2 33 2 16 4" xfId="36239"/>
    <cellStyle name="Финансовый 2 2 33 2 17" xfId="8245"/>
    <cellStyle name="Финансовый 2 2 33 2 17 2" xfId="20083"/>
    <cellStyle name="Финансовый 2 2 33 2 17 2 2" xfId="42398"/>
    <cellStyle name="Финансовый 2 2 33 2 17 3" xfId="14277"/>
    <cellStyle name="Финансовый 2 2 33 2 17 4" xfId="36592"/>
    <cellStyle name="Финансовый 2 2 33 2 18" xfId="14909"/>
    <cellStyle name="Финансовый 2 2 33 2 18 2" xfId="37224"/>
    <cellStyle name="Финансовый 2 2 33 2 19" xfId="9103"/>
    <cellStyle name="Финансовый 2 2 33 2 2" xfId="730"/>
    <cellStyle name="Финансовый 2 2 33 2 2 2" xfId="15108"/>
    <cellStyle name="Финансовый 2 2 33 2 2 2 2" xfId="37423"/>
    <cellStyle name="Финансовый 2 2 33 2 2 3" xfId="9302"/>
    <cellStyle name="Финансовый 2 2 33 2 2 4" xfId="31625"/>
    <cellStyle name="Финансовый 2 2 33 2 20" xfId="31436"/>
    <cellStyle name="Финансовый 2 2 33 2 3" xfId="1482"/>
    <cellStyle name="Финансовый 2 2 33 2 3 2" xfId="15724"/>
    <cellStyle name="Финансовый 2 2 33 2 3 2 2" xfId="38039"/>
    <cellStyle name="Финансовый 2 2 33 2 3 3" xfId="9918"/>
    <cellStyle name="Финансовый 2 2 33 2 3 4" xfId="32233"/>
    <cellStyle name="Финансовый 2 2 33 2 4" xfId="1795"/>
    <cellStyle name="Финансовый 2 2 33 2 4 2" xfId="16014"/>
    <cellStyle name="Финансовый 2 2 33 2 4 2 2" xfId="38329"/>
    <cellStyle name="Финансовый 2 2 33 2 4 3" xfId="10208"/>
    <cellStyle name="Финансовый 2 2 33 2 4 4" xfId="32523"/>
    <cellStyle name="Финансовый 2 2 33 2 5" xfId="2033"/>
    <cellStyle name="Финансовый 2 2 33 2 5 2" xfId="16210"/>
    <cellStyle name="Финансовый 2 2 33 2 5 2 2" xfId="38525"/>
    <cellStyle name="Финансовый 2 2 33 2 5 3" xfId="10404"/>
    <cellStyle name="Финансовый 2 2 33 2 5 4" xfId="32719"/>
    <cellStyle name="Финансовый 2 2 33 2 6" xfId="2268"/>
    <cellStyle name="Финансовый 2 2 33 2 6 2" xfId="16403"/>
    <cellStyle name="Финансовый 2 2 33 2 6 2 2" xfId="38718"/>
    <cellStyle name="Финансовый 2 2 33 2 6 3" xfId="10597"/>
    <cellStyle name="Финансовый 2 2 33 2 6 4" xfId="32912"/>
    <cellStyle name="Финансовый 2 2 33 2 7" xfId="2502"/>
    <cellStyle name="Финансовый 2 2 33 2 7 2" xfId="16595"/>
    <cellStyle name="Финансовый 2 2 33 2 7 2 2" xfId="38910"/>
    <cellStyle name="Финансовый 2 2 33 2 7 3" xfId="10789"/>
    <cellStyle name="Финансовый 2 2 33 2 7 4" xfId="33104"/>
    <cellStyle name="Финансовый 2 2 33 2 8" xfId="2730"/>
    <cellStyle name="Финансовый 2 2 33 2 8 2" xfId="16782"/>
    <cellStyle name="Финансовый 2 2 33 2 8 2 2" xfId="39097"/>
    <cellStyle name="Финансовый 2 2 33 2 8 3" xfId="10976"/>
    <cellStyle name="Финансовый 2 2 33 2 8 4" xfId="33291"/>
    <cellStyle name="Финансовый 2 2 33 2 9" xfId="2950"/>
    <cellStyle name="Финансовый 2 2 33 2 9 2" xfId="16962"/>
    <cellStyle name="Финансовый 2 2 33 2 9 2 2" xfId="39277"/>
    <cellStyle name="Финансовый 2 2 33 2 9 3" xfId="11156"/>
    <cellStyle name="Финансовый 2 2 33 2 9 4" xfId="33471"/>
    <cellStyle name="Финансовый 2 2 33 20" xfId="8239"/>
    <cellStyle name="Финансовый 2 2 33 20 2" xfId="20078"/>
    <cellStyle name="Финансовый 2 2 33 20 2 2" xfId="42393"/>
    <cellStyle name="Финансовый 2 2 33 20 3" xfId="14272"/>
    <cellStyle name="Финансовый 2 2 33 20 4" xfId="36587"/>
    <cellStyle name="Финансовый 2 2 33 21" xfId="4202"/>
    <cellStyle name="Финансовый 2 2 33 21 2" xfId="17868"/>
    <cellStyle name="Финансовый 2 2 33 21 2 2" xfId="40183"/>
    <cellStyle name="Финансовый 2 2 33 21 3" xfId="12062"/>
    <cellStyle name="Финансовый 2 2 33 21 4" xfId="34377"/>
    <cellStyle name="Финансовый 2 2 33 22" xfId="14659"/>
    <cellStyle name="Финансовый 2 2 33 22 2" xfId="36974"/>
    <cellStyle name="Финансовый 2 2 33 23" xfId="8853"/>
    <cellStyle name="Финансовый 2 2 33 24" xfId="31189"/>
    <cellStyle name="Финансовый 2 2 33 3" xfId="853"/>
    <cellStyle name="Финансовый 2 2 33 3 2" xfId="15193"/>
    <cellStyle name="Финансовый 2 2 33 3 2 2" xfId="37508"/>
    <cellStyle name="Финансовый 2 2 33 3 3" xfId="9387"/>
    <cellStyle name="Финансовый 2 2 33 3 4" xfId="31709"/>
    <cellStyle name="Финансовый 2 2 33 4" xfId="799"/>
    <cellStyle name="Финансовый 2 2 33 4 2" xfId="15148"/>
    <cellStyle name="Финансовый 2 2 33 4 2 2" xfId="37463"/>
    <cellStyle name="Финансовый 2 2 33 4 3" xfId="9342"/>
    <cellStyle name="Финансовый 2 2 33 4 4" xfId="31664"/>
    <cellStyle name="Финансовый 2 2 33 5" xfId="1069"/>
    <cellStyle name="Финансовый 2 2 33 5 2" xfId="15382"/>
    <cellStyle name="Финансовый 2 2 33 5 2 2" xfId="37697"/>
    <cellStyle name="Финансовый 2 2 33 5 3" xfId="9576"/>
    <cellStyle name="Финансовый 2 2 33 5 4" xfId="31895"/>
    <cellStyle name="Финансовый 2 2 33 6" xfId="959"/>
    <cellStyle name="Финансовый 2 2 33 6 2" xfId="15277"/>
    <cellStyle name="Финансовый 2 2 33 6 2 2" xfId="37592"/>
    <cellStyle name="Финансовый 2 2 33 6 3" xfId="9471"/>
    <cellStyle name="Финансовый 2 2 33 6 4" xfId="31791"/>
    <cellStyle name="Финансовый 2 2 33 7" xfId="1265"/>
    <cellStyle name="Финансовый 2 2 33 7 2" xfId="15525"/>
    <cellStyle name="Финансовый 2 2 33 7 2 2" xfId="37840"/>
    <cellStyle name="Финансовый 2 2 33 7 3" xfId="9719"/>
    <cellStyle name="Финансовый 2 2 33 7 4" xfId="32034"/>
    <cellStyle name="Финансовый 2 2 33 8" xfId="1667"/>
    <cellStyle name="Финансовый 2 2 33 8 2" xfId="15896"/>
    <cellStyle name="Финансовый 2 2 33 8 2 2" xfId="38211"/>
    <cellStyle name="Финансовый 2 2 33 8 3" xfId="10090"/>
    <cellStyle name="Финансовый 2 2 33 8 4" xfId="32405"/>
    <cellStyle name="Финансовый 2 2 33 9" xfId="572"/>
    <cellStyle name="Финансовый 2 2 33 9 2" xfId="14965"/>
    <cellStyle name="Финансовый 2 2 33 9 2 2" xfId="37280"/>
    <cellStyle name="Финансовый 2 2 33 9 3" xfId="9159"/>
    <cellStyle name="Финансовый 2 2 33 9 4" xfId="31490"/>
    <cellStyle name="Финансовый 2 2 34" xfId="170"/>
    <cellStyle name="Финансовый 2 2 34 10" xfId="1576"/>
    <cellStyle name="Финансовый 2 2 34 10 2" xfId="15814"/>
    <cellStyle name="Финансовый 2 2 34 10 2 2" xfId="38129"/>
    <cellStyle name="Финансовый 2 2 34 10 3" xfId="10008"/>
    <cellStyle name="Финансовый 2 2 34 10 4" xfId="32323"/>
    <cellStyle name="Финансовый 2 2 34 11" xfId="1330"/>
    <cellStyle name="Финансовый 2 2 34 11 2" xfId="15584"/>
    <cellStyle name="Финансовый 2 2 34 11 2 2" xfId="37899"/>
    <cellStyle name="Финансовый 2 2 34 11 3" xfId="9778"/>
    <cellStyle name="Финансовый 2 2 34 11 4" xfId="32093"/>
    <cellStyle name="Финансовый 2 2 34 12" xfId="1432"/>
    <cellStyle name="Финансовый 2 2 34 12 2" xfId="15675"/>
    <cellStyle name="Финансовый 2 2 34 12 2 2" xfId="37990"/>
    <cellStyle name="Финансовый 2 2 34 12 3" xfId="9869"/>
    <cellStyle name="Финансовый 2 2 34 12 4" xfId="32184"/>
    <cellStyle name="Финансовый 2 2 34 13" xfId="1628"/>
    <cellStyle name="Финансовый 2 2 34 13 2" xfId="15862"/>
    <cellStyle name="Финансовый 2 2 34 13 2 2" xfId="38177"/>
    <cellStyle name="Финансовый 2 2 34 13 3" xfId="10056"/>
    <cellStyle name="Финансовый 2 2 34 13 4" xfId="32371"/>
    <cellStyle name="Финансовый 2 2 34 14" xfId="1765"/>
    <cellStyle name="Финансовый 2 2 34 14 2" xfId="15986"/>
    <cellStyle name="Финансовый 2 2 34 14 2 2" xfId="38301"/>
    <cellStyle name="Финансовый 2 2 34 14 3" xfId="10180"/>
    <cellStyle name="Финансовый 2 2 34 14 4" xfId="32495"/>
    <cellStyle name="Финансовый 2 2 34 15" xfId="2003"/>
    <cellStyle name="Финансовый 2 2 34 15 2" xfId="16182"/>
    <cellStyle name="Финансовый 2 2 34 15 2 2" xfId="38497"/>
    <cellStyle name="Финансовый 2 2 34 15 3" xfId="10376"/>
    <cellStyle name="Финансовый 2 2 34 15 4" xfId="32691"/>
    <cellStyle name="Финансовый 2 2 34 16" xfId="2239"/>
    <cellStyle name="Финансовый 2 2 34 16 2" xfId="16376"/>
    <cellStyle name="Финансовый 2 2 34 16 2 2" xfId="38691"/>
    <cellStyle name="Финансовый 2 2 34 16 3" xfId="10570"/>
    <cellStyle name="Финансовый 2 2 34 16 4" xfId="32885"/>
    <cellStyle name="Финансовый 2 2 34 17" xfId="2473"/>
    <cellStyle name="Финансовый 2 2 34 17 2" xfId="16568"/>
    <cellStyle name="Финансовый 2 2 34 17 2 2" xfId="38883"/>
    <cellStyle name="Финансовый 2 2 34 17 3" xfId="10762"/>
    <cellStyle name="Финансовый 2 2 34 17 4" xfId="33077"/>
    <cellStyle name="Финансовый 2 2 34 18" xfId="2702"/>
    <cellStyle name="Финансовый 2 2 34 18 2" xfId="16756"/>
    <cellStyle name="Финансовый 2 2 34 18 2 2" xfId="39071"/>
    <cellStyle name="Финансовый 2 2 34 18 3" xfId="10950"/>
    <cellStyle name="Финансовый 2 2 34 18 4" xfId="33265"/>
    <cellStyle name="Финансовый 2 2 34 19" xfId="6746"/>
    <cellStyle name="Финансовый 2 2 34 19 2" xfId="19249"/>
    <cellStyle name="Финансовый 2 2 34 19 2 2" xfId="41564"/>
    <cellStyle name="Финансовый 2 2 34 19 3" xfId="13443"/>
    <cellStyle name="Финансовый 2 2 34 19 4" xfId="35758"/>
    <cellStyle name="Финансовый 2 2 34 2" xfId="512"/>
    <cellStyle name="Финансовый 2 2 34 2 10" xfId="3156"/>
    <cellStyle name="Финансовый 2 2 34 2 10 2" xfId="17129"/>
    <cellStyle name="Финансовый 2 2 34 2 10 2 2" xfId="39444"/>
    <cellStyle name="Финансовый 2 2 34 2 10 3" xfId="11323"/>
    <cellStyle name="Финансовый 2 2 34 2 10 4" xfId="33638"/>
    <cellStyle name="Финансовый 2 2 34 2 11" xfId="3349"/>
    <cellStyle name="Финансовый 2 2 34 2 11 2" xfId="17283"/>
    <cellStyle name="Финансовый 2 2 34 2 11 2 2" xfId="39598"/>
    <cellStyle name="Финансовый 2 2 34 2 11 3" xfId="11477"/>
    <cellStyle name="Финансовый 2 2 34 2 11 4" xfId="33792"/>
    <cellStyle name="Финансовый 2 2 34 2 12" xfId="3532"/>
    <cellStyle name="Финансовый 2 2 34 2 12 2" xfId="17427"/>
    <cellStyle name="Финансовый 2 2 34 2 12 2 2" xfId="39742"/>
    <cellStyle name="Финансовый 2 2 34 2 12 3" xfId="11621"/>
    <cellStyle name="Финансовый 2 2 34 2 12 4" xfId="33936"/>
    <cellStyle name="Финансовый 2 2 34 2 13" xfId="3694"/>
    <cellStyle name="Финансовый 2 2 34 2 13 2" xfId="17551"/>
    <cellStyle name="Финансовый 2 2 34 2 13 2 2" xfId="39866"/>
    <cellStyle name="Финансовый 2 2 34 2 13 3" xfId="11745"/>
    <cellStyle name="Финансовый 2 2 34 2 13 4" xfId="34060"/>
    <cellStyle name="Финансовый 2 2 34 2 14" xfId="3836"/>
    <cellStyle name="Финансовый 2 2 34 2 14 2" xfId="17658"/>
    <cellStyle name="Финансовый 2 2 34 2 14 2 2" xfId="39973"/>
    <cellStyle name="Финансовый 2 2 34 2 14 3" xfId="11852"/>
    <cellStyle name="Финансовый 2 2 34 2 14 4" xfId="34167"/>
    <cellStyle name="Финансовый 2 2 34 2 15" xfId="6656"/>
    <cellStyle name="Финансовый 2 2 34 2 15 2" xfId="19200"/>
    <cellStyle name="Финансовый 2 2 34 2 15 2 2" xfId="41515"/>
    <cellStyle name="Финансовый 2 2 34 2 15 3" xfId="13394"/>
    <cellStyle name="Финансовый 2 2 34 2 15 4" xfId="35709"/>
    <cellStyle name="Финансовый 2 2 34 2 16" xfId="7963"/>
    <cellStyle name="Финансовый 2 2 34 2 16 2" xfId="19917"/>
    <cellStyle name="Финансовый 2 2 34 2 16 2 2" xfId="42232"/>
    <cellStyle name="Финансовый 2 2 34 2 16 3" xfId="14111"/>
    <cellStyle name="Финансовый 2 2 34 2 16 4" xfId="36426"/>
    <cellStyle name="Финансовый 2 2 34 2 17" xfId="4311"/>
    <cellStyle name="Финансовый 2 2 34 2 17 2" xfId="17934"/>
    <cellStyle name="Финансовый 2 2 34 2 17 2 2" xfId="40249"/>
    <cellStyle name="Финансовый 2 2 34 2 17 3" xfId="12128"/>
    <cellStyle name="Финансовый 2 2 34 2 17 4" xfId="34443"/>
    <cellStyle name="Финансовый 2 2 34 2 18" xfId="14914"/>
    <cellStyle name="Финансовый 2 2 34 2 18 2" xfId="37229"/>
    <cellStyle name="Финансовый 2 2 34 2 19" xfId="9108"/>
    <cellStyle name="Финансовый 2 2 34 2 2" xfId="734"/>
    <cellStyle name="Финансовый 2 2 34 2 2 2" xfId="15112"/>
    <cellStyle name="Финансовый 2 2 34 2 2 2 2" xfId="37427"/>
    <cellStyle name="Финансовый 2 2 34 2 2 3" xfId="9306"/>
    <cellStyle name="Финансовый 2 2 34 2 2 4" xfId="31629"/>
    <cellStyle name="Финансовый 2 2 34 2 20" xfId="31441"/>
    <cellStyle name="Финансовый 2 2 34 2 3" xfId="1484"/>
    <cellStyle name="Финансовый 2 2 34 2 3 2" xfId="15726"/>
    <cellStyle name="Финансовый 2 2 34 2 3 2 2" xfId="38041"/>
    <cellStyle name="Финансовый 2 2 34 2 3 3" xfId="9920"/>
    <cellStyle name="Финансовый 2 2 34 2 3 4" xfId="32235"/>
    <cellStyle name="Финансовый 2 2 34 2 4" xfId="1792"/>
    <cellStyle name="Финансовый 2 2 34 2 4 2" xfId="16011"/>
    <cellStyle name="Финансовый 2 2 34 2 4 2 2" xfId="38326"/>
    <cellStyle name="Финансовый 2 2 34 2 4 3" xfId="10205"/>
    <cellStyle name="Финансовый 2 2 34 2 4 4" xfId="32520"/>
    <cellStyle name="Финансовый 2 2 34 2 5" xfId="2030"/>
    <cellStyle name="Финансовый 2 2 34 2 5 2" xfId="16207"/>
    <cellStyle name="Финансовый 2 2 34 2 5 2 2" xfId="38522"/>
    <cellStyle name="Финансовый 2 2 34 2 5 3" xfId="10401"/>
    <cellStyle name="Финансовый 2 2 34 2 5 4" xfId="32716"/>
    <cellStyle name="Финансовый 2 2 34 2 6" xfId="2265"/>
    <cellStyle name="Финансовый 2 2 34 2 6 2" xfId="16400"/>
    <cellStyle name="Финансовый 2 2 34 2 6 2 2" xfId="38715"/>
    <cellStyle name="Финансовый 2 2 34 2 6 3" xfId="10594"/>
    <cellStyle name="Финансовый 2 2 34 2 6 4" xfId="32909"/>
    <cellStyle name="Финансовый 2 2 34 2 7" xfId="2499"/>
    <cellStyle name="Финансовый 2 2 34 2 7 2" xfId="16592"/>
    <cellStyle name="Финансовый 2 2 34 2 7 2 2" xfId="38907"/>
    <cellStyle name="Финансовый 2 2 34 2 7 3" xfId="10786"/>
    <cellStyle name="Финансовый 2 2 34 2 7 4" xfId="33101"/>
    <cellStyle name="Финансовый 2 2 34 2 8" xfId="2727"/>
    <cellStyle name="Финансовый 2 2 34 2 8 2" xfId="16779"/>
    <cellStyle name="Финансовый 2 2 34 2 8 2 2" xfId="39094"/>
    <cellStyle name="Финансовый 2 2 34 2 8 3" xfId="10973"/>
    <cellStyle name="Финансовый 2 2 34 2 8 4" xfId="33288"/>
    <cellStyle name="Финансовый 2 2 34 2 9" xfId="2947"/>
    <cellStyle name="Финансовый 2 2 34 2 9 2" xfId="16959"/>
    <cellStyle name="Финансовый 2 2 34 2 9 2 2" xfId="39274"/>
    <cellStyle name="Финансовый 2 2 34 2 9 3" xfId="11153"/>
    <cellStyle name="Финансовый 2 2 34 2 9 4" xfId="33468"/>
    <cellStyle name="Финансовый 2 2 34 20" xfId="7897"/>
    <cellStyle name="Финансовый 2 2 34 20 2" xfId="19882"/>
    <cellStyle name="Финансовый 2 2 34 20 2 2" xfId="42197"/>
    <cellStyle name="Финансовый 2 2 34 20 3" xfId="14076"/>
    <cellStyle name="Финансовый 2 2 34 20 4" xfId="36391"/>
    <cellStyle name="Финансовый 2 2 34 21" xfId="8130"/>
    <cellStyle name="Финансовый 2 2 34 21 2" xfId="20013"/>
    <cellStyle name="Финансовый 2 2 34 21 2 2" xfId="42328"/>
    <cellStyle name="Финансовый 2 2 34 21 3" xfId="14207"/>
    <cellStyle name="Финансовый 2 2 34 21 4" xfId="36522"/>
    <cellStyle name="Финансовый 2 2 34 22" xfId="14661"/>
    <cellStyle name="Финансовый 2 2 34 22 2" xfId="36976"/>
    <cellStyle name="Финансовый 2 2 34 23" xfId="8855"/>
    <cellStyle name="Финансовый 2 2 34 24" xfId="31191"/>
    <cellStyle name="Финансовый 2 2 34 3" xfId="856"/>
    <cellStyle name="Финансовый 2 2 34 3 2" xfId="15196"/>
    <cellStyle name="Финансовый 2 2 34 3 2 2" xfId="37511"/>
    <cellStyle name="Финансовый 2 2 34 3 3" xfId="9390"/>
    <cellStyle name="Финансовый 2 2 34 3 4" xfId="31712"/>
    <cellStyle name="Финансовый 2 2 34 4" xfId="920"/>
    <cellStyle name="Финансовый 2 2 34 4 2" xfId="15248"/>
    <cellStyle name="Финансовый 2 2 34 4 2 2" xfId="37563"/>
    <cellStyle name="Финансовый 2 2 34 4 3" xfId="9442"/>
    <cellStyle name="Финансовый 2 2 34 4 4" xfId="31762"/>
    <cellStyle name="Финансовый 2 2 34 5" xfId="1072"/>
    <cellStyle name="Финансовый 2 2 34 5 2" xfId="15385"/>
    <cellStyle name="Финансовый 2 2 34 5 2 2" xfId="37700"/>
    <cellStyle name="Финансовый 2 2 34 5 3" xfId="9579"/>
    <cellStyle name="Финансовый 2 2 34 5 4" xfId="31898"/>
    <cellStyle name="Финансовый 2 2 34 6" xfId="1136"/>
    <cellStyle name="Финансовый 2 2 34 6 2" xfId="15437"/>
    <cellStyle name="Финансовый 2 2 34 6 2 2" xfId="37752"/>
    <cellStyle name="Финансовый 2 2 34 6 3" xfId="9631"/>
    <cellStyle name="Финансовый 2 2 34 6 4" xfId="31948"/>
    <cellStyle name="Финансовый 2 2 34 7" xfId="1270"/>
    <cellStyle name="Финансовый 2 2 34 7 2" xfId="15530"/>
    <cellStyle name="Финансовый 2 2 34 7 2 2" xfId="37845"/>
    <cellStyle name="Финансовый 2 2 34 7 3" xfId="9724"/>
    <cellStyle name="Финансовый 2 2 34 7 4" xfId="32039"/>
    <cellStyle name="Финансовый 2 2 34 8" xfId="1607"/>
    <cellStyle name="Финансовый 2 2 34 8 2" xfId="15841"/>
    <cellStyle name="Финансовый 2 2 34 8 2 2" xfId="38156"/>
    <cellStyle name="Финансовый 2 2 34 8 3" xfId="10035"/>
    <cellStyle name="Финансовый 2 2 34 8 4" xfId="32350"/>
    <cellStyle name="Финансовый 2 2 34 9" xfId="1310"/>
    <cellStyle name="Финансовый 2 2 34 9 2" xfId="15567"/>
    <cellStyle name="Финансовый 2 2 34 9 2 2" xfId="37882"/>
    <cellStyle name="Финансовый 2 2 34 9 3" xfId="9761"/>
    <cellStyle name="Финансовый 2 2 34 9 4" xfId="32076"/>
    <cellStyle name="Финансовый 2 2 35" xfId="175"/>
    <cellStyle name="Финансовый 2 2 35 10" xfId="2342"/>
    <cellStyle name="Финансовый 2 2 35 10 2" xfId="16471"/>
    <cellStyle name="Финансовый 2 2 35 10 2 2" xfId="38786"/>
    <cellStyle name="Финансовый 2 2 35 10 3" xfId="10665"/>
    <cellStyle name="Финансовый 2 2 35 10 4" xfId="32980"/>
    <cellStyle name="Финансовый 2 2 35 11" xfId="2574"/>
    <cellStyle name="Финансовый 2 2 35 11 2" xfId="16661"/>
    <cellStyle name="Финансовый 2 2 35 11 2 2" xfId="38976"/>
    <cellStyle name="Финансовый 2 2 35 11 3" xfId="10855"/>
    <cellStyle name="Финансовый 2 2 35 11 4" xfId="33170"/>
    <cellStyle name="Финансовый 2 2 35 12" xfId="2797"/>
    <cellStyle name="Финансовый 2 2 35 12 2" xfId="16844"/>
    <cellStyle name="Финансовый 2 2 35 12 2 2" xfId="39159"/>
    <cellStyle name="Финансовый 2 2 35 12 3" xfId="11038"/>
    <cellStyle name="Финансовый 2 2 35 12 4" xfId="33353"/>
    <cellStyle name="Финансовый 2 2 35 13" xfId="3012"/>
    <cellStyle name="Финансовый 2 2 35 13 2" xfId="17019"/>
    <cellStyle name="Финансовый 2 2 35 13 2 2" xfId="39334"/>
    <cellStyle name="Финансовый 2 2 35 13 3" xfId="11213"/>
    <cellStyle name="Финансовый 2 2 35 13 4" xfId="33528"/>
    <cellStyle name="Финансовый 2 2 35 14" xfId="3216"/>
    <cellStyle name="Финансовый 2 2 35 14 2" xfId="17184"/>
    <cellStyle name="Финансовый 2 2 35 14 2 2" xfId="39499"/>
    <cellStyle name="Финансовый 2 2 35 14 3" xfId="11378"/>
    <cellStyle name="Финансовый 2 2 35 14 4" xfId="33693"/>
    <cellStyle name="Финансовый 2 2 35 15" xfId="3404"/>
    <cellStyle name="Финансовый 2 2 35 15 2" xfId="17333"/>
    <cellStyle name="Финансовый 2 2 35 15 2 2" xfId="39648"/>
    <cellStyle name="Финансовый 2 2 35 15 3" xfId="11527"/>
    <cellStyle name="Финансовый 2 2 35 15 4" xfId="33842"/>
    <cellStyle name="Финансовый 2 2 35 16" xfId="3578"/>
    <cellStyle name="Финансовый 2 2 35 16 2" xfId="17469"/>
    <cellStyle name="Финансовый 2 2 35 16 2 2" xfId="39784"/>
    <cellStyle name="Финансовый 2 2 35 16 3" xfId="11663"/>
    <cellStyle name="Финансовый 2 2 35 16 4" xfId="33978"/>
    <cellStyle name="Финансовый 2 2 35 17" xfId="3736"/>
    <cellStyle name="Финансовый 2 2 35 17 2" xfId="17589"/>
    <cellStyle name="Финансовый 2 2 35 17 2 2" xfId="39904"/>
    <cellStyle name="Финансовый 2 2 35 17 3" xfId="11783"/>
    <cellStyle name="Финансовый 2 2 35 17 4" xfId="34098"/>
    <cellStyle name="Финансовый 2 2 35 18" xfId="3863"/>
    <cellStyle name="Финансовый 2 2 35 18 2" xfId="17683"/>
    <cellStyle name="Финансовый 2 2 35 18 2 2" xfId="39998"/>
    <cellStyle name="Финансовый 2 2 35 18 3" xfId="11877"/>
    <cellStyle name="Финансовый 2 2 35 18 4" xfId="34192"/>
    <cellStyle name="Финансовый 2 2 35 19" xfId="5104"/>
    <cellStyle name="Финансовый 2 2 35 19 2" xfId="18368"/>
    <cellStyle name="Финансовый 2 2 35 19 2 2" xfId="40683"/>
    <cellStyle name="Финансовый 2 2 35 19 3" xfId="12562"/>
    <cellStyle name="Финансовый 2 2 35 19 4" xfId="34877"/>
    <cellStyle name="Финансовый 2 2 35 2" xfId="517"/>
    <cellStyle name="Финансовый 2 2 35 2 10" xfId="3153"/>
    <cellStyle name="Финансовый 2 2 35 2 10 2" xfId="17126"/>
    <cellStyle name="Финансовый 2 2 35 2 10 2 2" xfId="39441"/>
    <cellStyle name="Финансовый 2 2 35 2 10 3" xfId="11320"/>
    <cellStyle name="Финансовый 2 2 35 2 10 4" xfId="33635"/>
    <cellStyle name="Финансовый 2 2 35 2 11" xfId="3346"/>
    <cellStyle name="Финансовый 2 2 35 2 11 2" xfId="17280"/>
    <cellStyle name="Финансовый 2 2 35 2 11 2 2" xfId="39595"/>
    <cellStyle name="Финансовый 2 2 35 2 11 3" xfId="11474"/>
    <cellStyle name="Финансовый 2 2 35 2 11 4" xfId="33789"/>
    <cellStyle name="Финансовый 2 2 35 2 12" xfId="3529"/>
    <cellStyle name="Финансовый 2 2 35 2 12 2" xfId="17424"/>
    <cellStyle name="Финансовый 2 2 35 2 12 2 2" xfId="39739"/>
    <cellStyle name="Финансовый 2 2 35 2 12 3" xfId="11618"/>
    <cellStyle name="Финансовый 2 2 35 2 12 4" xfId="33933"/>
    <cellStyle name="Финансовый 2 2 35 2 13" xfId="3691"/>
    <cellStyle name="Финансовый 2 2 35 2 13 2" xfId="17548"/>
    <cellStyle name="Финансовый 2 2 35 2 13 2 2" xfId="39863"/>
    <cellStyle name="Финансовый 2 2 35 2 13 3" xfId="11742"/>
    <cellStyle name="Финансовый 2 2 35 2 13 4" xfId="34057"/>
    <cellStyle name="Финансовый 2 2 35 2 14" xfId="3833"/>
    <cellStyle name="Финансовый 2 2 35 2 14 2" xfId="17655"/>
    <cellStyle name="Финансовый 2 2 35 2 14 2 2" xfId="39970"/>
    <cellStyle name="Финансовый 2 2 35 2 14 3" xfId="11849"/>
    <cellStyle name="Финансовый 2 2 35 2 14 4" xfId="34164"/>
    <cellStyle name="Финансовый 2 2 35 2 15" xfId="8309"/>
    <cellStyle name="Финансовый 2 2 35 2 15 2" xfId="20116"/>
    <cellStyle name="Финансовый 2 2 35 2 15 2 2" xfId="42431"/>
    <cellStyle name="Финансовый 2 2 35 2 15 3" xfId="14310"/>
    <cellStyle name="Финансовый 2 2 35 2 15 4" xfId="36625"/>
    <cellStyle name="Финансовый 2 2 35 2 16" xfId="6903"/>
    <cellStyle name="Финансовый 2 2 35 2 16 2" xfId="19335"/>
    <cellStyle name="Финансовый 2 2 35 2 16 2 2" xfId="41650"/>
    <cellStyle name="Финансовый 2 2 35 2 16 3" xfId="13529"/>
    <cellStyle name="Финансовый 2 2 35 2 16 4" xfId="35844"/>
    <cellStyle name="Финансовый 2 2 35 2 17" xfId="7415"/>
    <cellStyle name="Финансовый 2 2 35 2 17 2" xfId="19613"/>
    <cellStyle name="Финансовый 2 2 35 2 17 2 2" xfId="41928"/>
    <cellStyle name="Финансовый 2 2 35 2 17 3" xfId="13807"/>
    <cellStyle name="Финансовый 2 2 35 2 17 4" xfId="36122"/>
    <cellStyle name="Финансовый 2 2 35 2 18" xfId="14919"/>
    <cellStyle name="Финансовый 2 2 35 2 18 2" xfId="37234"/>
    <cellStyle name="Финансовый 2 2 35 2 19" xfId="9113"/>
    <cellStyle name="Финансовый 2 2 35 2 2" xfId="738"/>
    <cellStyle name="Финансовый 2 2 35 2 2 2" xfId="15116"/>
    <cellStyle name="Финансовый 2 2 35 2 2 2 2" xfId="37431"/>
    <cellStyle name="Финансовый 2 2 35 2 2 3" xfId="9310"/>
    <cellStyle name="Финансовый 2 2 35 2 2 4" xfId="31633"/>
    <cellStyle name="Финансовый 2 2 35 2 20" xfId="31446"/>
    <cellStyle name="Финансовый 2 2 35 2 3" xfId="1488"/>
    <cellStyle name="Финансовый 2 2 35 2 3 2" xfId="15730"/>
    <cellStyle name="Финансовый 2 2 35 2 3 2 2" xfId="38045"/>
    <cellStyle name="Финансовый 2 2 35 2 3 3" xfId="9924"/>
    <cellStyle name="Финансовый 2 2 35 2 3 4" xfId="32239"/>
    <cellStyle name="Финансовый 2 2 35 2 4" xfId="1788"/>
    <cellStyle name="Финансовый 2 2 35 2 4 2" xfId="16007"/>
    <cellStyle name="Финансовый 2 2 35 2 4 2 2" xfId="38322"/>
    <cellStyle name="Финансовый 2 2 35 2 4 3" xfId="10201"/>
    <cellStyle name="Финансовый 2 2 35 2 4 4" xfId="32516"/>
    <cellStyle name="Финансовый 2 2 35 2 5" xfId="2026"/>
    <cellStyle name="Финансовый 2 2 35 2 5 2" xfId="16203"/>
    <cellStyle name="Финансовый 2 2 35 2 5 2 2" xfId="38518"/>
    <cellStyle name="Финансовый 2 2 35 2 5 3" xfId="10397"/>
    <cellStyle name="Финансовый 2 2 35 2 5 4" xfId="32712"/>
    <cellStyle name="Финансовый 2 2 35 2 6" xfId="2261"/>
    <cellStyle name="Финансовый 2 2 35 2 6 2" xfId="16396"/>
    <cellStyle name="Финансовый 2 2 35 2 6 2 2" xfId="38711"/>
    <cellStyle name="Финансовый 2 2 35 2 6 3" xfId="10590"/>
    <cellStyle name="Финансовый 2 2 35 2 6 4" xfId="32905"/>
    <cellStyle name="Финансовый 2 2 35 2 7" xfId="2495"/>
    <cellStyle name="Финансовый 2 2 35 2 7 2" xfId="16588"/>
    <cellStyle name="Финансовый 2 2 35 2 7 2 2" xfId="38903"/>
    <cellStyle name="Финансовый 2 2 35 2 7 3" xfId="10782"/>
    <cellStyle name="Финансовый 2 2 35 2 7 4" xfId="33097"/>
    <cellStyle name="Финансовый 2 2 35 2 8" xfId="2723"/>
    <cellStyle name="Финансовый 2 2 35 2 8 2" xfId="16775"/>
    <cellStyle name="Финансовый 2 2 35 2 8 2 2" xfId="39090"/>
    <cellStyle name="Финансовый 2 2 35 2 8 3" xfId="10969"/>
    <cellStyle name="Финансовый 2 2 35 2 8 4" xfId="33284"/>
    <cellStyle name="Финансовый 2 2 35 2 9" xfId="2943"/>
    <cellStyle name="Финансовый 2 2 35 2 9 2" xfId="16955"/>
    <cellStyle name="Финансовый 2 2 35 2 9 2 2" xfId="39270"/>
    <cellStyle name="Финансовый 2 2 35 2 9 3" xfId="11149"/>
    <cellStyle name="Финансовый 2 2 35 2 9 4" xfId="33464"/>
    <cellStyle name="Финансовый 2 2 35 20" xfId="8435"/>
    <cellStyle name="Финансовый 2 2 35 20 2" xfId="20192"/>
    <cellStyle name="Финансовый 2 2 35 20 2 2" xfId="42507"/>
    <cellStyle name="Финансовый 2 2 35 20 3" xfId="14386"/>
    <cellStyle name="Финансовый 2 2 35 20 4" xfId="36701"/>
    <cellStyle name="Финансовый 2 2 35 21" xfId="4017"/>
    <cellStyle name="Финансовый 2 2 35 21 2" xfId="17770"/>
    <cellStyle name="Финансовый 2 2 35 21 2 2" xfId="40085"/>
    <cellStyle name="Финансовый 2 2 35 21 3" xfId="11964"/>
    <cellStyle name="Финансовый 2 2 35 21 4" xfId="34279"/>
    <cellStyle name="Финансовый 2 2 35 22" xfId="14663"/>
    <cellStyle name="Финансовый 2 2 35 22 2" xfId="36978"/>
    <cellStyle name="Финансовый 2 2 35 23" xfId="8857"/>
    <cellStyle name="Финансовый 2 2 35 24" xfId="31193"/>
    <cellStyle name="Финансовый 2 2 35 3" xfId="858"/>
    <cellStyle name="Финансовый 2 2 35 3 2" xfId="15198"/>
    <cellStyle name="Финансовый 2 2 35 3 2 2" xfId="37513"/>
    <cellStyle name="Финансовый 2 2 35 3 3" xfId="9392"/>
    <cellStyle name="Финансовый 2 2 35 3 4" xfId="31714"/>
    <cellStyle name="Финансовый 2 2 35 4" xfId="922"/>
    <cellStyle name="Финансовый 2 2 35 4 2" xfId="15250"/>
    <cellStyle name="Финансовый 2 2 35 4 2 2" xfId="37565"/>
    <cellStyle name="Финансовый 2 2 35 4 3" xfId="9444"/>
    <cellStyle name="Финансовый 2 2 35 4 4" xfId="31764"/>
    <cellStyle name="Финансовый 2 2 35 5" xfId="1074"/>
    <cellStyle name="Финансовый 2 2 35 5 2" xfId="15387"/>
    <cellStyle name="Финансовый 2 2 35 5 2 2" xfId="37702"/>
    <cellStyle name="Финансовый 2 2 35 5 3" xfId="9581"/>
    <cellStyle name="Финансовый 2 2 35 5 4" xfId="31900"/>
    <cellStyle name="Финансовый 2 2 35 6" xfId="1138"/>
    <cellStyle name="Финансовый 2 2 35 6 2" xfId="15439"/>
    <cellStyle name="Финансовый 2 2 35 6 2 2" xfId="37754"/>
    <cellStyle name="Финансовый 2 2 35 6 3" xfId="9633"/>
    <cellStyle name="Финансовый 2 2 35 6 4" xfId="31950"/>
    <cellStyle name="Финансовый 2 2 35 7" xfId="1275"/>
    <cellStyle name="Финансовый 2 2 35 7 2" xfId="15533"/>
    <cellStyle name="Финансовый 2 2 35 7 2 2" xfId="37848"/>
    <cellStyle name="Финансовый 2 2 35 7 3" xfId="9727"/>
    <cellStyle name="Финансовый 2 2 35 7 4" xfId="32042"/>
    <cellStyle name="Финансовый 2 2 35 8" xfId="1869"/>
    <cellStyle name="Финансовый 2 2 35 8 2" xfId="16082"/>
    <cellStyle name="Финансовый 2 2 35 8 2 2" xfId="38397"/>
    <cellStyle name="Финансовый 2 2 35 8 3" xfId="10276"/>
    <cellStyle name="Финансовый 2 2 35 8 4" xfId="32591"/>
    <cellStyle name="Финансовый 2 2 35 9" xfId="2107"/>
    <cellStyle name="Финансовый 2 2 35 9 2" xfId="16278"/>
    <cellStyle name="Финансовый 2 2 35 9 2 2" xfId="38593"/>
    <cellStyle name="Финансовый 2 2 35 9 3" xfId="10472"/>
    <cellStyle name="Финансовый 2 2 35 9 4" xfId="32787"/>
    <cellStyle name="Финансовый 2 2 36" xfId="180"/>
    <cellStyle name="Финансовый 2 2 36 10" xfId="2276"/>
    <cellStyle name="Финансовый 2 2 36 10 2" xfId="16411"/>
    <cellStyle name="Финансовый 2 2 36 10 2 2" xfId="38726"/>
    <cellStyle name="Финансовый 2 2 36 10 3" xfId="10605"/>
    <cellStyle name="Финансовый 2 2 36 10 4" xfId="32920"/>
    <cellStyle name="Финансовый 2 2 36 11" xfId="2510"/>
    <cellStyle name="Финансовый 2 2 36 11 2" xfId="16603"/>
    <cellStyle name="Финансовый 2 2 36 11 2 2" xfId="38918"/>
    <cellStyle name="Финансовый 2 2 36 11 3" xfId="10797"/>
    <cellStyle name="Финансовый 2 2 36 11 4" xfId="33112"/>
    <cellStyle name="Финансовый 2 2 36 12" xfId="2737"/>
    <cellStyle name="Финансовый 2 2 36 12 2" xfId="16789"/>
    <cellStyle name="Финансовый 2 2 36 12 2 2" xfId="39104"/>
    <cellStyle name="Финансовый 2 2 36 12 3" xfId="10983"/>
    <cellStyle name="Финансовый 2 2 36 12 4" xfId="33298"/>
    <cellStyle name="Финансовый 2 2 36 13" xfId="2956"/>
    <cellStyle name="Финансовый 2 2 36 13 2" xfId="16968"/>
    <cellStyle name="Финансовый 2 2 36 13 2 2" xfId="39283"/>
    <cellStyle name="Финансовый 2 2 36 13 3" xfId="11162"/>
    <cellStyle name="Финансовый 2 2 36 13 4" xfId="33477"/>
    <cellStyle name="Финансовый 2 2 36 14" xfId="3165"/>
    <cellStyle name="Финансовый 2 2 36 14 2" xfId="17138"/>
    <cellStyle name="Финансовый 2 2 36 14 2 2" xfId="39453"/>
    <cellStyle name="Финансовый 2 2 36 14 3" xfId="11332"/>
    <cellStyle name="Финансовый 2 2 36 14 4" xfId="33647"/>
    <cellStyle name="Финансовый 2 2 36 15" xfId="3357"/>
    <cellStyle name="Финансовый 2 2 36 15 2" xfId="17291"/>
    <cellStyle name="Финансовый 2 2 36 15 2 2" xfId="39606"/>
    <cellStyle name="Финансовый 2 2 36 15 3" xfId="11485"/>
    <cellStyle name="Финансовый 2 2 36 15 4" xfId="33800"/>
    <cellStyle name="Финансовый 2 2 36 16" xfId="3539"/>
    <cellStyle name="Финансовый 2 2 36 16 2" xfId="17434"/>
    <cellStyle name="Финансовый 2 2 36 16 2 2" xfId="39749"/>
    <cellStyle name="Финансовый 2 2 36 16 3" xfId="11628"/>
    <cellStyle name="Финансовый 2 2 36 16 4" xfId="33943"/>
    <cellStyle name="Финансовый 2 2 36 17" xfId="3701"/>
    <cellStyle name="Финансовый 2 2 36 17 2" xfId="17558"/>
    <cellStyle name="Финансовый 2 2 36 17 2 2" xfId="39873"/>
    <cellStyle name="Финансовый 2 2 36 17 3" xfId="11752"/>
    <cellStyle name="Финансовый 2 2 36 17 4" xfId="34067"/>
    <cellStyle name="Финансовый 2 2 36 18" xfId="3841"/>
    <cellStyle name="Финансовый 2 2 36 18 2" xfId="17663"/>
    <cellStyle name="Финансовый 2 2 36 18 2 2" xfId="39978"/>
    <cellStyle name="Финансовый 2 2 36 18 3" xfId="11857"/>
    <cellStyle name="Финансовый 2 2 36 18 4" xfId="34172"/>
    <cellStyle name="Финансовый 2 2 36 19" xfId="7154"/>
    <cellStyle name="Финансовый 2 2 36 19 2" xfId="19470"/>
    <cellStyle name="Финансовый 2 2 36 19 2 2" xfId="41785"/>
    <cellStyle name="Финансовый 2 2 36 19 3" xfId="13664"/>
    <cellStyle name="Финансовый 2 2 36 19 4" xfId="35979"/>
    <cellStyle name="Финансовый 2 2 36 2" xfId="522"/>
    <cellStyle name="Финансовый 2 2 36 2 10" xfId="3150"/>
    <cellStyle name="Финансовый 2 2 36 2 10 2" xfId="17124"/>
    <cellStyle name="Финансовый 2 2 36 2 10 2 2" xfId="39439"/>
    <cellStyle name="Финансовый 2 2 36 2 10 3" xfId="11318"/>
    <cellStyle name="Финансовый 2 2 36 2 10 4" xfId="33633"/>
    <cellStyle name="Финансовый 2 2 36 2 11" xfId="3343"/>
    <cellStyle name="Финансовый 2 2 36 2 11 2" xfId="17278"/>
    <cellStyle name="Финансовый 2 2 36 2 11 2 2" xfId="39593"/>
    <cellStyle name="Финансовый 2 2 36 2 11 3" xfId="11472"/>
    <cellStyle name="Финансовый 2 2 36 2 11 4" xfId="33787"/>
    <cellStyle name="Финансовый 2 2 36 2 12" xfId="3526"/>
    <cellStyle name="Финансовый 2 2 36 2 12 2" xfId="17422"/>
    <cellStyle name="Финансовый 2 2 36 2 12 2 2" xfId="39737"/>
    <cellStyle name="Финансовый 2 2 36 2 12 3" xfId="11616"/>
    <cellStyle name="Финансовый 2 2 36 2 12 4" xfId="33931"/>
    <cellStyle name="Финансовый 2 2 36 2 13" xfId="3689"/>
    <cellStyle name="Финансовый 2 2 36 2 13 2" xfId="17547"/>
    <cellStyle name="Финансовый 2 2 36 2 13 2 2" xfId="39862"/>
    <cellStyle name="Финансовый 2 2 36 2 13 3" xfId="11741"/>
    <cellStyle name="Финансовый 2 2 36 2 13 4" xfId="34056"/>
    <cellStyle name="Финансовый 2 2 36 2 14" xfId="3832"/>
    <cellStyle name="Финансовый 2 2 36 2 14 2" xfId="17654"/>
    <cellStyle name="Финансовый 2 2 36 2 14 2 2" xfId="39969"/>
    <cellStyle name="Финансовый 2 2 36 2 14 3" xfId="11848"/>
    <cellStyle name="Финансовый 2 2 36 2 14 4" xfId="34163"/>
    <cellStyle name="Финансовый 2 2 36 2 15" xfId="6670"/>
    <cellStyle name="Финансовый 2 2 36 2 15 2" xfId="19209"/>
    <cellStyle name="Финансовый 2 2 36 2 15 2 2" xfId="41524"/>
    <cellStyle name="Финансовый 2 2 36 2 15 3" xfId="13403"/>
    <cellStyle name="Финансовый 2 2 36 2 15 4" xfId="35718"/>
    <cellStyle name="Финансовый 2 2 36 2 16" xfId="8241"/>
    <cellStyle name="Финансовый 2 2 36 2 16 2" xfId="20080"/>
    <cellStyle name="Финансовый 2 2 36 2 16 2 2" xfId="42395"/>
    <cellStyle name="Финансовый 2 2 36 2 16 3" xfId="14274"/>
    <cellStyle name="Финансовый 2 2 36 2 16 4" xfId="36589"/>
    <cellStyle name="Финансовый 2 2 36 2 17" xfId="4363"/>
    <cellStyle name="Финансовый 2 2 36 2 17 2" xfId="17962"/>
    <cellStyle name="Финансовый 2 2 36 2 17 2 2" xfId="40277"/>
    <cellStyle name="Финансовый 2 2 36 2 17 3" xfId="12156"/>
    <cellStyle name="Финансовый 2 2 36 2 17 4" xfId="34471"/>
    <cellStyle name="Финансовый 2 2 36 2 18" xfId="14923"/>
    <cellStyle name="Финансовый 2 2 36 2 18 2" xfId="37238"/>
    <cellStyle name="Финансовый 2 2 36 2 19" xfId="9117"/>
    <cellStyle name="Финансовый 2 2 36 2 2" xfId="742"/>
    <cellStyle name="Финансовый 2 2 36 2 2 2" xfId="15120"/>
    <cellStyle name="Финансовый 2 2 36 2 2 2 2" xfId="37435"/>
    <cellStyle name="Финансовый 2 2 36 2 2 3" xfId="9314"/>
    <cellStyle name="Финансовый 2 2 36 2 2 4" xfId="31637"/>
    <cellStyle name="Финансовый 2 2 36 2 20" xfId="31450"/>
    <cellStyle name="Финансовый 2 2 36 2 3" xfId="1492"/>
    <cellStyle name="Финансовый 2 2 36 2 3 2" xfId="15734"/>
    <cellStyle name="Финансовый 2 2 36 2 3 2 2" xfId="38049"/>
    <cellStyle name="Финансовый 2 2 36 2 3 3" xfId="9928"/>
    <cellStyle name="Финансовый 2 2 36 2 3 4" xfId="32243"/>
    <cellStyle name="Финансовый 2 2 36 2 4" xfId="1785"/>
    <cellStyle name="Финансовый 2 2 36 2 4 2" xfId="16005"/>
    <cellStyle name="Финансовый 2 2 36 2 4 2 2" xfId="38320"/>
    <cellStyle name="Финансовый 2 2 36 2 4 3" xfId="10199"/>
    <cellStyle name="Финансовый 2 2 36 2 4 4" xfId="32514"/>
    <cellStyle name="Финансовый 2 2 36 2 5" xfId="2023"/>
    <cellStyle name="Финансовый 2 2 36 2 5 2" xfId="16201"/>
    <cellStyle name="Финансовый 2 2 36 2 5 2 2" xfId="38516"/>
    <cellStyle name="Финансовый 2 2 36 2 5 3" xfId="10395"/>
    <cellStyle name="Финансовый 2 2 36 2 5 4" xfId="32710"/>
    <cellStyle name="Финансовый 2 2 36 2 6" xfId="2258"/>
    <cellStyle name="Финансовый 2 2 36 2 6 2" xfId="16394"/>
    <cellStyle name="Финансовый 2 2 36 2 6 2 2" xfId="38709"/>
    <cellStyle name="Финансовый 2 2 36 2 6 3" xfId="10588"/>
    <cellStyle name="Финансовый 2 2 36 2 6 4" xfId="32903"/>
    <cellStyle name="Финансовый 2 2 36 2 7" xfId="2492"/>
    <cellStyle name="Финансовый 2 2 36 2 7 2" xfId="16586"/>
    <cellStyle name="Финансовый 2 2 36 2 7 2 2" xfId="38901"/>
    <cellStyle name="Финансовый 2 2 36 2 7 3" xfId="10780"/>
    <cellStyle name="Финансовый 2 2 36 2 7 4" xfId="33095"/>
    <cellStyle name="Финансовый 2 2 36 2 8" xfId="2720"/>
    <cellStyle name="Финансовый 2 2 36 2 8 2" xfId="16773"/>
    <cellStyle name="Финансовый 2 2 36 2 8 2 2" xfId="39088"/>
    <cellStyle name="Финансовый 2 2 36 2 8 3" xfId="10967"/>
    <cellStyle name="Финансовый 2 2 36 2 8 4" xfId="33282"/>
    <cellStyle name="Финансовый 2 2 36 2 9" xfId="2940"/>
    <cellStyle name="Финансовый 2 2 36 2 9 2" xfId="16953"/>
    <cellStyle name="Финансовый 2 2 36 2 9 2 2" xfId="39268"/>
    <cellStyle name="Финансовый 2 2 36 2 9 3" xfId="11147"/>
    <cellStyle name="Финансовый 2 2 36 2 9 4" xfId="33462"/>
    <cellStyle name="Финансовый 2 2 36 20" xfId="7521"/>
    <cellStyle name="Финансовый 2 2 36 20 2" xfId="19668"/>
    <cellStyle name="Финансовый 2 2 36 20 2 2" xfId="41983"/>
    <cellStyle name="Финансовый 2 2 36 20 3" xfId="13862"/>
    <cellStyle name="Финансовый 2 2 36 20 4" xfId="36177"/>
    <cellStyle name="Финансовый 2 2 36 21" xfId="7056"/>
    <cellStyle name="Финансовый 2 2 36 21 2" xfId="19418"/>
    <cellStyle name="Финансовый 2 2 36 21 2 2" xfId="41733"/>
    <cellStyle name="Финансовый 2 2 36 21 3" xfId="13612"/>
    <cellStyle name="Финансовый 2 2 36 21 4" xfId="35927"/>
    <cellStyle name="Финансовый 2 2 36 22" xfId="14665"/>
    <cellStyle name="Финансовый 2 2 36 22 2" xfId="36980"/>
    <cellStyle name="Финансовый 2 2 36 23" xfId="8859"/>
    <cellStyle name="Финансовый 2 2 36 24" xfId="31195"/>
    <cellStyle name="Финансовый 2 2 36 3" xfId="862"/>
    <cellStyle name="Финансовый 2 2 36 3 2" xfId="15202"/>
    <cellStyle name="Финансовый 2 2 36 3 2 2" xfId="37517"/>
    <cellStyle name="Финансовый 2 2 36 3 3" xfId="9396"/>
    <cellStyle name="Финансовый 2 2 36 3 4" xfId="31718"/>
    <cellStyle name="Финансовый 2 2 36 4" xfId="924"/>
    <cellStyle name="Финансовый 2 2 36 4 2" xfId="15252"/>
    <cellStyle name="Финансовый 2 2 36 4 2 2" xfId="37567"/>
    <cellStyle name="Финансовый 2 2 36 4 3" xfId="9446"/>
    <cellStyle name="Финансовый 2 2 36 4 4" xfId="31766"/>
    <cellStyle name="Финансовый 2 2 36 5" xfId="1078"/>
    <cellStyle name="Финансовый 2 2 36 5 2" xfId="15391"/>
    <cellStyle name="Финансовый 2 2 36 5 2 2" xfId="37706"/>
    <cellStyle name="Финансовый 2 2 36 5 3" xfId="9585"/>
    <cellStyle name="Финансовый 2 2 36 5 4" xfId="31904"/>
    <cellStyle name="Финансовый 2 2 36 6" xfId="1140"/>
    <cellStyle name="Финансовый 2 2 36 6 2" xfId="15441"/>
    <cellStyle name="Финансовый 2 2 36 6 2 2" xfId="37756"/>
    <cellStyle name="Финансовый 2 2 36 6 3" xfId="9635"/>
    <cellStyle name="Финансовый 2 2 36 6 4" xfId="31952"/>
    <cellStyle name="Финансовый 2 2 36 7" xfId="1280"/>
    <cellStyle name="Финансовый 2 2 36 7 2" xfId="15538"/>
    <cellStyle name="Финансовый 2 2 36 7 2 2" xfId="37853"/>
    <cellStyle name="Финансовый 2 2 36 7 3" xfId="9732"/>
    <cellStyle name="Финансовый 2 2 36 7 4" xfId="32047"/>
    <cellStyle name="Финансовый 2 2 36 8" xfId="1803"/>
    <cellStyle name="Финансовый 2 2 36 8 2" xfId="16022"/>
    <cellStyle name="Финансовый 2 2 36 8 2 2" xfId="38337"/>
    <cellStyle name="Финансовый 2 2 36 8 3" xfId="10216"/>
    <cellStyle name="Финансовый 2 2 36 8 4" xfId="32531"/>
    <cellStyle name="Финансовый 2 2 36 9" xfId="2041"/>
    <cellStyle name="Финансовый 2 2 36 9 2" xfId="16218"/>
    <cellStyle name="Финансовый 2 2 36 9 2 2" xfId="38533"/>
    <cellStyle name="Финансовый 2 2 36 9 3" xfId="10412"/>
    <cellStyle name="Финансовый 2 2 36 9 4" xfId="32727"/>
    <cellStyle name="Финансовый 2 2 37" xfId="185"/>
    <cellStyle name="Финансовый 2 2 37 10" xfId="1579"/>
    <cellStyle name="Финансовый 2 2 37 10 2" xfId="15817"/>
    <cellStyle name="Финансовый 2 2 37 10 2 2" xfId="38132"/>
    <cellStyle name="Финансовый 2 2 37 10 3" xfId="10011"/>
    <cellStyle name="Финансовый 2 2 37 10 4" xfId="32326"/>
    <cellStyle name="Финансовый 2 2 37 11" xfId="1377"/>
    <cellStyle name="Финансовый 2 2 37 11 2" xfId="15625"/>
    <cellStyle name="Финансовый 2 2 37 11 2 2" xfId="37940"/>
    <cellStyle name="Финансовый 2 2 37 11 3" xfId="9819"/>
    <cellStyle name="Финансовый 2 2 37 11 4" xfId="32134"/>
    <cellStyle name="Финансовый 2 2 37 12" xfId="1282"/>
    <cellStyle name="Финансовый 2 2 37 12 2" xfId="15540"/>
    <cellStyle name="Финансовый 2 2 37 12 2 2" xfId="37855"/>
    <cellStyle name="Финансовый 2 2 37 12 3" xfId="9734"/>
    <cellStyle name="Финансовый 2 2 37 12 4" xfId="32049"/>
    <cellStyle name="Финансовый 2 2 37 13" xfId="1599"/>
    <cellStyle name="Финансовый 2 2 37 13 2" xfId="15835"/>
    <cellStyle name="Финансовый 2 2 37 13 2 2" xfId="38150"/>
    <cellStyle name="Финансовый 2 2 37 13 3" xfId="10029"/>
    <cellStyle name="Финансовый 2 2 37 13 4" xfId="32344"/>
    <cellStyle name="Финансовый 2 2 37 14" xfId="1334"/>
    <cellStyle name="Финансовый 2 2 37 14 2" xfId="15587"/>
    <cellStyle name="Финансовый 2 2 37 14 2 2" xfId="37902"/>
    <cellStyle name="Финансовый 2 2 37 14 3" xfId="9781"/>
    <cellStyle name="Финансовый 2 2 37 14 4" xfId="32096"/>
    <cellStyle name="Финансовый 2 2 37 15" xfId="1422"/>
    <cellStyle name="Финансовый 2 2 37 15 2" xfId="15665"/>
    <cellStyle name="Финансовый 2 2 37 15 2 2" xfId="37980"/>
    <cellStyle name="Финансовый 2 2 37 15 3" xfId="9859"/>
    <cellStyle name="Финансовый 2 2 37 15 4" xfId="32174"/>
    <cellStyle name="Финансовый 2 2 37 16" xfId="1316"/>
    <cellStyle name="Финансовый 2 2 37 16 2" xfId="15571"/>
    <cellStyle name="Финансовый 2 2 37 16 2 2" xfId="37886"/>
    <cellStyle name="Финансовый 2 2 37 16 3" xfId="9765"/>
    <cellStyle name="Финансовый 2 2 37 16 4" xfId="32080"/>
    <cellStyle name="Финансовый 2 2 37 17" xfId="1774"/>
    <cellStyle name="Финансовый 2 2 37 17 2" xfId="15995"/>
    <cellStyle name="Финансовый 2 2 37 17 2 2" xfId="38310"/>
    <cellStyle name="Финансовый 2 2 37 17 3" xfId="10189"/>
    <cellStyle name="Финансовый 2 2 37 17 4" xfId="32504"/>
    <cellStyle name="Финансовый 2 2 37 18" xfId="2012"/>
    <cellStyle name="Финансовый 2 2 37 18 2" xfId="16191"/>
    <cellStyle name="Финансовый 2 2 37 18 2 2" xfId="38506"/>
    <cellStyle name="Финансовый 2 2 37 18 3" xfId="10385"/>
    <cellStyle name="Финансовый 2 2 37 18 4" xfId="32700"/>
    <cellStyle name="Финансовый 2 2 37 19" xfId="8209"/>
    <cellStyle name="Финансовый 2 2 37 19 2" xfId="20059"/>
    <cellStyle name="Финансовый 2 2 37 19 2 2" xfId="42374"/>
    <cellStyle name="Финансовый 2 2 37 19 3" xfId="14253"/>
    <cellStyle name="Финансовый 2 2 37 19 4" xfId="36568"/>
    <cellStyle name="Финансовый 2 2 37 2" xfId="527"/>
    <cellStyle name="Финансовый 2 2 37 2 10" xfId="1805"/>
    <cellStyle name="Финансовый 2 2 37 2 10 2" xfId="16024"/>
    <cellStyle name="Финансовый 2 2 37 2 10 2 2" xfId="38339"/>
    <cellStyle name="Финансовый 2 2 37 2 10 3" xfId="10218"/>
    <cellStyle name="Финансовый 2 2 37 2 10 4" xfId="32533"/>
    <cellStyle name="Финансовый 2 2 37 2 11" xfId="2043"/>
    <cellStyle name="Финансовый 2 2 37 2 11 2" xfId="16220"/>
    <cellStyle name="Финансовый 2 2 37 2 11 2 2" xfId="38535"/>
    <cellStyle name="Финансовый 2 2 37 2 11 3" xfId="10414"/>
    <cellStyle name="Финансовый 2 2 37 2 11 4" xfId="32729"/>
    <cellStyle name="Финансовый 2 2 37 2 12" xfId="2278"/>
    <cellStyle name="Финансовый 2 2 37 2 12 2" xfId="16413"/>
    <cellStyle name="Финансовый 2 2 37 2 12 2 2" xfId="38728"/>
    <cellStyle name="Финансовый 2 2 37 2 12 3" xfId="10607"/>
    <cellStyle name="Финансовый 2 2 37 2 12 4" xfId="32922"/>
    <cellStyle name="Финансовый 2 2 37 2 13" xfId="2512"/>
    <cellStyle name="Финансовый 2 2 37 2 13 2" xfId="16605"/>
    <cellStyle name="Финансовый 2 2 37 2 13 2 2" xfId="38920"/>
    <cellStyle name="Финансовый 2 2 37 2 13 3" xfId="10799"/>
    <cellStyle name="Финансовый 2 2 37 2 13 4" xfId="33114"/>
    <cellStyle name="Финансовый 2 2 37 2 14" xfId="2739"/>
    <cellStyle name="Финансовый 2 2 37 2 14 2" xfId="16791"/>
    <cellStyle name="Финансовый 2 2 37 2 14 2 2" xfId="39106"/>
    <cellStyle name="Финансовый 2 2 37 2 14 3" xfId="10985"/>
    <cellStyle name="Финансовый 2 2 37 2 14 4" xfId="33300"/>
    <cellStyle name="Финансовый 2 2 37 2 15" xfId="4964"/>
    <cellStyle name="Финансовый 2 2 37 2 15 2" xfId="18285"/>
    <cellStyle name="Финансовый 2 2 37 2 15 2 2" xfId="40600"/>
    <cellStyle name="Финансовый 2 2 37 2 15 3" xfId="12479"/>
    <cellStyle name="Финансовый 2 2 37 2 15 4" xfId="34794"/>
    <cellStyle name="Финансовый 2 2 37 2 16" xfId="5349"/>
    <cellStyle name="Финансовый 2 2 37 2 16 2" xfId="18504"/>
    <cellStyle name="Финансовый 2 2 37 2 16 2 2" xfId="40819"/>
    <cellStyle name="Финансовый 2 2 37 2 16 3" xfId="12698"/>
    <cellStyle name="Финансовый 2 2 37 2 16 4" xfId="35013"/>
    <cellStyle name="Финансовый 2 2 37 2 17" xfId="8345"/>
    <cellStyle name="Финансовый 2 2 37 2 17 2" xfId="20139"/>
    <cellStyle name="Финансовый 2 2 37 2 17 2 2" xfId="42454"/>
    <cellStyle name="Финансовый 2 2 37 2 17 3" xfId="14333"/>
    <cellStyle name="Финансовый 2 2 37 2 17 4" xfId="36648"/>
    <cellStyle name="Финансовый 2 2 37 2 18" xfId="14928"/>
    <cellStyle name="Финансовый 2 2 37 2 18 2" xfId="37243"/>
    <cellStyle name="Финансовый 2 2 37 2 19" xfId="9122"/>
    <cellStyle name="Финансовый 2 2 37 2 2" xfId="744"/>
    <cellStyle name="Финансовый 2 2 37 2 2 2" xfId="15122"/>
    <cellStyle name="Финансовый 2 2 37 2 2 2 2" xfId="37437"/>
    <cellStyle name="Финансовый 2 2 37 2 2 3" xfId="9316"/>
    <cellStyle name="Финансовый 2 2 37 2 2 4" xfId="31639"/>
    <cellStyle name="Финансовый 2 2 37 2 20" xfId="31455"/>
    <cellStyle name="Финансовый 2 2 37 2 3" xfId="1494"/>
    <cellStyle name="Финансовый 2 2 37 2 3 2" xfId="15736"/>
    <cellStyle name="Финансовый 2 2 37 2 3 2 2" xfId="38051"/>
    <cellStyle name="Финансовый 2 2 37 2 3 3" xfId="9930"/>
    <cellStyle name="Финансовый 2 2 37 2 3 4" xfId="32245"/>
    <cellStyle name="Финансовый 2 2 37 2 4" xfId="1581"/>
    <cellStyle name="Финансовый 2 2 37 2 4 2" xfId="15819"/>
    <cellStyle name="Финансовый 2 2 37 2 4 2 2" xfId="38134"/>
    <cellStyle name="Финансовый 2 2 37 2 4 3" xfId="10013"/>
    <cellStyle name="Финансовый 2 2 37 2 4 4" xfId="32328"/>
    <cellStyle name="Финансовый 2 2 37 2 5" xfId="1345"/>
    <cellStyle name="Финансовый 2 2 37 2 5 2" xfId="15598"/>
    <cellStyle name="Финансовый 2 2 37 2 5 2 2" xfId="37913"/>
    <cellStyle name="Финансовый 2 2 37 2 5 3" xfId="9792"/>
    <cellStyle name="Финансовый 2 2 37 2 5 4" xfId="32107"/>
    <cellStyle name="Финансовый 2 2 37 2 6" xfId="1340"/>
    <cellStyle name="Финансовый 2 2 37 2 6 2" xfId="15593"/>
    <cellStyle name="Финансовый 2 2 37 2 6 2 2" xfId="37908"/>
    <cellStyle name="Финансовый 2 2 37 2 6 3" xfId="9787"/>
    <cellStyle name="Финансовый 2 2 37 2 6 4" xfId="32102"/>
    <cellStyle name="Финансовый 2 2 37 2 7" xfId="1705"/>
    <cellStyle name="Финансовый 2 2 37 2 7 2" xfId="15932"/>
    <cellStyle name="Финансовый 2 2 37 2 7 2 2" xfId="38247"/>
    <cellStyle name="Финансовый 2 2 37 2 7 3" xfId="10126"/>
    <cellStyle name="Финансовый 2 2 37 2 7 4" xfId="32441"/>
    <cellStyle name="Финансовый 2 2 37 2 8" xfId="1649"/>
    <cellStyle name="Финансовый 2 2 37 2 8 2" xfId="15880"/>
    <cellStyle name="Финансовый 2 2 37 2 8 2 2" xfId="38195"/>
    <cellStyle name="Финансовый 2 2 37 2 8 3" xfId="10074"/>
    <cellStyle name="Финансовый 2 2 37 2 8 4" xfId="32389"/>
    <cellStyle name="Финансовый 2 2 37 2 9" xfId="1466"/>
    <cellStyle name="Финансовый 2 2 37 2 9 2" xfId="15708"/>
    <cellStyle name="Финансовый 2 2 37 2 9 2 2" xfId="38023"/>
    <cellStyle name="Финансовый 2 2 37 2 9 3" xfId="9902"/>
    <cellStyle name="Финансовый 2 2 37 2 9 4" xfId="32217"/>
    <cellStyle name="Финансовый 2 2 37 20" xfId="5183"/>
    <cellStyle name="Финансовый 2 2 37 20 2" xfId="18411"/>
    <cellStyle name="Финансовый 2 2 37 20 2 2" xfId="40726"/>
    <cellStyle name="Финансовый 2 2 37 20 3" xfId="12605"/>
    <cellStyle name="Финансовый 2 2 37 20 4" xfId="34920"/>
    <cellStyle name="Финансовый 2 2 37 21" xfId="8543"/>
    <cellStyle name="Финансовый 2 2 37 21 2" xfId="20253"/>
    <cellStyle name="Финансовый 2 2 37 21 2 2" xfId="42568"/>
    <cellStyle name="Финансовый 2 2 37 21 3" xfId="14447"/>
    <cellStyle name="Финансовый 2 2 37 21 4" xfId="36762"/>
    <cellStyle name="Финансовый 2 2 37 22" xfId="14667"/>
    <cellStyle name="Финансовый 2 2 37 22 2" xfId="36982"/>
    <cellStyle name="Финансовый 2 2 37 23" xfId="8861"/>
    <cellStyle name="Финансовый 2 2 37 24" xfId="31197"/>
    <cellStyle name="Финансовый 2 2 37 3" xfId="864"/>
    <cellStyle name="Финансовый 2 2 37 3 2" xfId="15204"/>
    <cellStyle name="Финансовый 2 2 37 3 2 2" xfId="37519"/>
    <cellStyle name="Финансовый 2 2 37 3 3" xfId="9398"/>
    <cellStyle name="Финансовый 2 2 37 3 4" xfId="31720"/>
    <cellStyle name="Финансовый 2 2 37 4" xfId="926"/>
    <cellStyle name="Финансовый 2 2 37 4 2" xfId="15254"/>
    <cellStyle name="Финансовый 2 2 37 4 2 2" xfId="37569"/>
    <cellStyle name="Финансовый 2 2 37 4 3" xfId="9448"/>
    <cellStyle name="Финансовый 2 2 37 4 4" xfId="31768"/>
    <cellStyle name="Финансовый 2 2 37 5" xfId="1080"/>
    <cellStyle name="Финансовый 2 2 37 5 2" xfId="15393"/>
    <cellStyle name="Финансовый 2 2 37 5 2 2" xfId="37708"/>
    <cellStyle name="Финансовый 2 2 37 5 3" xfId="9587"/>
    <cellStyle name="Финансовый 2 2 37 5 4" xfId="31906"/>
    <cellStyle name="Финансовый 2 2 37 6" xfId="1142"/>
    <cellStyle name="Финансовый 2 2 37 6 2" xfId="15443"/>
    <cellStyle name="Финансовый 2 2 37 6 2 2" xfId="37758"/>
    <cellStyle name="Финансовый 2 2 37 6 3" xfId="9637"/>
    <cellStyle name="Финансовый 2 2 37 6 4" xfId="31954"/>
    <cellStyle name="Финансовый 2 2 37 7" xfId="1285"/>
    <cellStyle name="Финансовый 2 2 37 7 2" xfId="15543"/>
    <cellStyle name="Финансовый 2 2 37 7 2 2" xfId="37858"/>
    <cellStyle name="Финансовый 2 2 37 7 3" xfId="9737"/>
    <cellStyle name="Финансовый 2 2 37 7 4" xfId="32052"/>
    <cellStyle name="Финансовый 2 2 37 8" xfId="1371"/>
    <cellStyle name="Финансовый 2 2 37 8 2" xfId="15620"/>
    <cellStyle name="Финансовый 2 2 37 8 2 2" xfId="37935"/>
    <cellStyle name="Финансовый 2 2 37 8 3" xfId="9814"/>
    <cellStyle name="Финансовый 2 2 37 8 4" xfId="32129"/>
    <cellStyle name="Финансовый 2 2 37 9" xfId="1307"/>
    <cellStyle name="Финансовый 2 2 37 9 2" xfId="15564"/>
    <cellStyle name="Финансовый 2 2 37 9 2 2" xfId="37879"/>
    <cellStyle name="Финансовый 2 2 37 9 3" xfId="9758"/>
    <cellStyle name="Финансовый 2 2 37 9 4" xfId="32073"/>
    <cellStyle name="Финансовый 2 2 38" xfId="190"/>
    <cellStyle name="Финансовый 2 2 38 10" xfId="1816"/>
    <cellStyle name="Финансовый 2 2 38 10 2" xfId="16034"/>
    <cellStyle name="Финансовый 2 2 38 10 2 2" xfId="38349"/>
    <cellStyle name="Финансовый 2 2 38 10 3" xfId="10228"/>
    <cellStyle name="Финансовый 2 2 38 10 4" xfId="32543"/>
    <cellStyle name="Финансовый 2 2 38 11" xfId="2054"/>
    <cellStyle name="Финансовый 2 2 38 11 2" xfId="16230"/>
    <cellStyle name="Финансовый 2 2 38 11 2 2" xfId="38545"/>
    <cellStyle name="Финансовый 2 2 38 11 3" xfId="10424"/>
    <cellStyle name="Финансовый 2 2 38 11 4" xfId="32739"/>
    <cellStyle name="Финансовый 2 2 38 12" xfId="2289"/>
    <cellStyle name="Финансовый 2 2 38 12 2" xfId="16423"/>
    <cellStyle name="Финансовый 2 2 38 12 2 2" xfId="38738"/>
    <cellStyle name="Финансовый 2 2 38 12 3" xfId="10617"/>
    <cellStyle name="Финансовый 2 2 38 12 4" xfId="32932"/>
    <cellStyle name="Финансовый 2 2 38 13" xfId="2522"/>
    <cellStyle name="Финансовый 2 2 38 13 2" xfId="16614"/>
    <cellStyle name="Финансовый 2 2 38 13 2 2" xfId="38929"/>
    <cellStyle name="Финансовый 2 2 38 13 3" xfId="10808"/>
    <cellStyle name="Финансовый 2 2 38 13 4" xfId="33123"/>
    <cellStyle name="Финансовый 2 2 38 14" xfId="2749"/>
    <cellStyle name="Финансовый 2 2 38 14 2" xfId="16800"/>
    <cellStyle name="Финансовый 2 2 38 14 2 2" xfId="39115"/>
    <cellStyle name="Финансовый 2 2 38 14 3" xfId="10994"/>
    <cellStyle name="Финансовый 2 2 38 14 4" xfId="33309"/>
    <cellStyle name="Финансовый 2 2 38 15" xfId="2967"/>
    <cellStyle name="Финансовый 2 2 38 15 2" xfId="16978"/>
    <cellStyle name="Финансовый 2 2 38 15 2 2" xfId="39293"/>
    <cellStyle name="Финансовый 2 2 38 15 3" xfId="11172"/>
    <cellStyle name="Финансовый 2 2 38 15 4" xfId="33487"/>
    <cellStyle name="Финансовый 2 2 38 16" xfId="3175"/>
    <cellStyle name="Финансовый 2 2 38 16 2" xfId="17147"/>
    <cellStyle name="Финансовый 2 2 38 16 2 2" xfId="39462"/>
    <cellStyle name="Финансовый 2 2 38 16 3" xfId="11341"/>
    <cellStyle name="Финансовый 2 2 38 16 4" xfId="33656"/>
    <cellStyle name="Финансовый 2 2 38 17" xfId="3364"/>
    <cellStyle name="Финансовый 2 2 38 17 2" xfId="17297"/>
    <cellStyle name="Финансовый 2 2 38 17 2 2" xfId="39612"/>
    <cellStyle name="Финансовый 2 2 38 17 3" xfId="11491"/>
    <cellStyle name="Финансовый 2 2 38 17 4" xfId="33806"/>
    <cellStyle name="Финансовый 2 2 38 18" xfId="3546"/>
    <cellStyle name="Финансовый 2 2 38 18 2" xfId="17440"/>
    <cellStyle name="Финансовый 2 2 38 18 2 2" xfId="39755"/>
    <cellStyle name="Финансовый 2 2 38 18 3" xfId="11634"/>
    <cellStyle name="Финансовый 2 2 38 18 4" xfId="33949"/>
    <cellStyle name="Финансовый 2 2 38 19" xfId="6947"/>
    <cellStyle name="Финансовый 2 2 38 19 2" xfId="19358"/>
    <cellStyle name="Финансовый 2 2 38 19 2 2" xfId="41673"/>
    <cellStyle name="Финансовый 2 2 38 19 3" xfId="13552"/>
    <cellStyle name="Финансовый 2 2 38 19 4" xfId="35867"/>
    <cellStyle name="Финансовый 2 2 38 2" xfId="532"/>
    <cellStyle name="Финансовый 2 2 38 2 10" xfId="1416"/>
    <cellStyle name="Финансовый 2 2 38 2 10 2" xfId="15659"/>
    <cellStyle name="Финансовый 2 2 38 2 10 2 2" xfId="37974"/>
    <cellStyle name="Финансовый 2 2 38 2 10 3" xfId="9853"/>
    <cellStyle name="Финансовый 2 2 38 2 10 4" xfId="32168"/>
    <cellStyle name="Финансовый 2 2 38 2 11" xfId="1643"/>
    <cellStyle name="Финансовый 2 2 38 2 11 2" xfId="15876"/>
    <cellStyle name="Финансовый 2 2 38 2 11 2 2" xfId="38191"/>
    <cellStyle name="Финансовый 2 2 38 2 11 3" xfId="10070"/>
    <cellStyle name="Финансовый 2 2 38 2 11 4" xfId="32385"/>
    <cellStyle name="Финансовый 2 2 38 2 12" xfId="1752"/>
    <cellStyle name="Финансовый 2 2 38 2 12 2" xfId="15975"/>
    <cellStyle name="Финансовый 2 2 38 2 12 2 2" xfId="38290"/>
    <cellStyle name="Финансовый 2 2 38 2 12 3" xfId="10169"/>
    <cellStyle name="Финансовый 2 2 38 2 12 4" xfId="32484"/>
    <cellStyle name="Финансовый 2 2 38 2 13" xfId="1990"/>
    <cellStyle name="Финансовый 2 2 38 2 13 2" xfId="16171"/>
    <cellStyle name="Финансовый 2 2 38 2 13 2 2" xfId="38486"/>
    <cellStyle name="Финансовый 2 2 38 2 13 3" xfId="10365"/>
    <cellStyle name="Финансовый 2 2 38 2 13 4" xfId="32680"/>
    <cellStyle name="Финансовый 2 2 38 2 14" xfId="2226"/>
    <cellStyle name="Финансовый 2 2 38 2 14 2" xfId="16365"/>
    <cellStyle name="Финансовый 2 2 38 2 14 2 2" xfId="38680"/>
    <cellStyle name="Финансовый 2 2 38 2 14 3" xfId="10559"/>
    <cellStyle name="Финансовый 2 2 38 2 14 4" xfId="32874"/>
    <cellStyle name="Финансовый 2 2 38 2 15" xfId="4971"/>
    <cellStyle name="Финансовый 2 2 38 2 15 2" xfId="18290"/>
    <cellStyle name="Финансовый 2 2 38 2 15 2 2" xfId="40605"/>
    <cellStyle name="Финансовый 2 2 38 2 15 3" xfId="12484"/>
    <cellStyle name="Финансовый 2 2 38 2 15 4" xfId="34799"/>
    <cellStyle name="Финансовый 2 2 38 2 16" xfId="8334"/>
    <cellStyle name="Финансовый 2 2 38 2 16 2" xfId="20130"/>
    <cellStyle name="Финансовый 2 2 38 2 16 2 2" xfId="42445"/>
    <cellStyle name="Финансовый 2 2 38 2 16 3" xfId="14324"/>
    <cellStyle name="Финансовый 2 2 38 2 16 4" xfId="36639"/>
    <cellStyle name="Финансовый 2 2 38 2 17" xfId="5086"/>
    <cellStyle name="Финансовый 2 2 38 2 17 2" xfId="18356"/>
    <cellStyle name="Финансовый 2 2 38 2 17 2 2" xfId="40671"/>
    <cellStyle name="Финансовый 2 2 38 2 17 3" xfId="12550"/>
    <cellStyle name="Финансовый 2 2 38 2 17 4" xfId="34865"/>
    <cellStyle name="Финансовый 2 2 38 2 18" xfId="14933"/>
    <cellStyle name="Финансовый 2 2 38 2 18 2" xfId="37248"/>
    <cellStyle name="Финансовый 2 2 38 2 19" xfId="9127"/>
    <cellStyle name="Финансовый 2 2 38 2 2" xfId="748"/>
    <cellStyle name="Финансовый 2 2 38 2 2 2" xfId="15126"/>
    <cellStyle name="Финансовый 2 2 38 2 2 2 2" xfId="37441"/>
    <cellStyle name="Финансовый 2 2 38 2 2 3" xfId="9320"/>
    <cellStyle name="Финансовый 2 2 38 2 2 4" xfId="31643"/>
    <cellStyle name="Финансовый 2 2 38 2 20" xfId="31460"/>
    <cellStyle name="Финансовый 2 2 38 2 3" xfId="1498"/>
    <cellStyle name="Финансовый 2 2 38 2 3 2" xfId="15740"/>
    <cellStyle name="Финансовый 2 2 38 2 3 2 2" xfId="38055"/>
    <cellStyle name="Финансовый 2 2 38 2 3 3" xfId="9934"/>
    <cellStyle name="Финансовый 2 2 38 2 3 4" xfId="32249"/>
    <cellStyle name="Финансовый 2 2 38 2 4" xfId="1578"/>
    <cellStyle name="Финансовый 2 2 38 2 4 2" xfId="15816"/>
    <cellStyle name="Финансовый 2 2 38 2 4 2 2" xfId="38131"/>
    <cellStyle name="Финансовый 2 2 38 2 4 3" xfId="10010"/>
    <cellStyle name="Финансовый 2 2 38 2 4 4" xfId="32325"/>
    <cellStyle name="Финансовый 2 2 38 2 5" xfId="1321"/>
    <cellStyle name="Финансовый 2 2 38 2 5 2" xfId="15576"/>
    <cellStyle name="Финансовый 2 2 38 2 5 2 2" xfId="37891"/>
    <cellStyle name="Финансовый 2 2 38 2 5 3" xfId="9770"/>
    <cellStyle name="Финансовый 2 2 38 2 5 4" xfId="32085"/>
    <cellStyle name="Финансовый 2 2 38 2 6" xfId="1594"/>
    <cellStyle name="Финансовый 2 2 38 2 6 2" xfId="15831"/>
    <cellStyle name="Финансовый 2 2 38 2 6 2 2" xfId="38146"/>
    <cellStyle name="Финансовый 2 2 38 2 6 3" xfId="10025"/>
    <cellStyle name="Финансовый 2 2 38 2 6 4" xfId="32340"/>
    <cellStyle name="Финансовый 2 2 38 2 7" xfId="1630"/>
    <cellStyle name="Финансовый 2 2 38 2 7 2" xfId="15864"/>
    <cellStyle name="Финансовый 2 2 38 2 7 2 2" xfId="38179"/>
    <cellStyle name="Финансовый 2 2 38 2 7 3" xfId="10058"/>
    <cellStyle name="Финансовый 2 2 38 2 7 4" xfId="32373"/>
    <cellStyle name="Финансовый 2 2 38 2 8" xfId="1420"/>
    <cellStyle name="Финансовый 2 2 38 2 8 2" xfId="15663"/>
    <cellStyle name="Финансовый 2 2 38 2 8 2 2" xfId="37978"/>
    <cellStyle name="Финансовый 2 2 38 2 8 3" xfId="9857"/>
    <cellStyle name="Финансовый 2 2 38 2 8 4" xfId="32172"/>
    <cellStyle name="Финансовый 2 2 38 2 9" xfId="1322"/>
    <cellStyle name="Финансовый 2 2 38 2 9 2" xfId="15577"/>
    <cellStyle name="Финансовый 2 2 38 2 9 2 2" xfId="37892"/>
    <cellStyle name="Финансовый 2 2 38 2 9 3" xfId="9771"/>
    <cellStyle name="Финансовый 2 2 38 2 9 4" xfId="32086"/>
    <cellStyle name="Финансовый 2 2 38 20" xfId="7875"/>
    <cellStyle name="Финансовый 2 2 38 20 2" xfId="19867"/>
    <cellStyle name="Финансовый 2 2 38 20 2 2" xfId="42182"/>
    <cellStyle name="Финансовый 2 2 38 20 3" xfId="14061"/>
    <cellStyle name="Финансовый 2 2 38 20 4" xfId="36376"/>
    <cellStyle name="Финансовый 2 2 38 21" xfId="6914"/>
    <cellStyle name="Финансовый 2 2 38 21 2" xfId="19342"/>
    <cellStyle name="Финансовый 2 2 38 21 2 2" xfId="41657"/>
    <cellStyle name="Финансовый 2 2 38 21 3" xfId="13536"/>
    <cellStyle name="Финансовый 2 2 38 21 4" xfId="35851"/>
    <cellStyle name="Финансовый 2 2 38 22" xfId="14669"/>
    <cellStyle name="Финансовый 2 2 38 22 2" xfId="36984"/>
    <cellStyle name="Финансовый 2 2 38 23" xfId="8863"/>
    <cellStyle name="Финансовый 2 2 38 24" xfId="31199"/>
    <cellStyle name="Финансовый 2 2 38 3" xfId="869"/>
    <cellStyle name="Финансовый 2 2 38 3 2" xfId="15209"/>
    <cellStyle name="Финансовый 2 2 38 3 2 2" xfId="37524"/>
    <cellStyle name="Финансовый 2 2 38 3 3" xfId="9403"/>
    <cellStyle name="Финансовый 2 2 38 3 4" xfId="31725"/>
    <cellStyle name="Финансовый 2 2 38 4" xfId="928"/>
    <cellStyle name="Финансовый 2 2 38 4 2" xfId="15256"/>
    <cellStyle name="Финансовый 2 2 38 4 2 2" xfId="37571"/>
    <cellStyle name="Финансовый 2 2 38 4 3" xfId="9450"/>
    <cellStyle name="Финансовый 2 2 38 4 4" xfId="31770"/>
    <cellStyle name="Финансовый 2 2 38 5" xfId="1085"/>
    <cellStyle name="Финансовый 2 2 38 5 2" xfId="15398"/>
    <cellStyle name="Финансовый 2 2 38 5 2 2" xfId="37713"/>
    <cellStyle name="Финансовый 2 2 38 5 3" xfId="9592"/>
    <cellStyle name="Финансовый 2 2 38 5 4" xfId="31911"/>
    <cellStyle name="Финансовый 2 2 38 6" xfId="1144"/>
    <cellStyle name="Финансовый 2 2 38 6 2" xfId="15445"/>
    <cellStyle name="Финансовый 2 2 38 6 2 2" xfId="37760"/>
    <cellStyle name="Финансовый 2 2 38 6 3" xfId="9639"/>
    <cellStyle name="Финансовый 2 2 38 6 4" xfId="31956"/>
    <cellStyle name="Финансовый 2 2 38 7" xfId="1290"/>
    <cellStyle name="Финансовый 2 2 38 7 2" xfId="15547"/>
    <cellStyle name="Финансовый 2 2 38 7 2 2" xfId="37862"/>
    <cellStyle name="Финансовый 2 2 38 7 3" xfId="9741"/>
    <cellStyle name="Финансовый 2 2 38 7 4" xfId="32056"/>
    <cellStyle name="Финансовый 2 2 38 8" xfId="1591"/>
    <cellStyle name="Финансовый 2 2 38 8 2" xfId="15828"/>
    <cellStyle name="Финансовый 2 2 38 8 2 2" xfId="38143"/>
    <cellStyle name="Финансовый 2 2 38 8 3" xfId="10022"/>
    <cellStyle name="Финансовый 2 2 38 8 4" xfId="32337"/>
    <cellStyle name="Финансовый 2 2 38 9" xfId="1654"/>
    <cellStyle name="Финансовый 2 2 38 9 2" xfId="15884"/>
    <cellStyle name="Финансовый 2 2 38 9 2 2" xfId="38199"/>
    <cellStyle name="Финансовый 2 2 38 9 3" xfId="10078"/>
    <cellStyle name="Финансовый 2 2 38 9 4" xfId="32393"/>
    <cellStyle name="Финансовый 2 2 39" xfId="194"/>
    <cellStyle name="Финансовый 2 2 39 10" xfId="2140"/>
    <cellStyle name="Финансовый 2 2 39 10 2" xfId="16311"/>
    <cellStyle name="Финансовый 2 2 39 10 2 2" xfId="38626"/>
    <cellStyle name="Финансовый 2 2 39 10 3" xfId="10505"/>
    <cellStyle name="Финансовый 2 2 39 10 4" xfId="32820"/>
    <cellStyle name="Финансовый 2 2 39 11" xfId="2375"/>
    <cellStyle name="Финансовый 2 2 39 11 2" xfId="16504"/>
    <cellStyle name="Финансовый 2 2 39 11 2 2" xfId="38819"/>
    <cellStyle name="Финансовый 2 2 39 11 3" xfId="10698"/>
    <cellStyle name="Финансовый 2 2 39 11 4" xfId="33013"/>
    <cellStyle name="Финансовый 2 2 39 12" xfId="2607"/>
    <cellStyle name="Финансовый 2 2 39 12 2" xfId="16694"/>
    <cellStyle name="Финансовый 2 2 39 12 2 2" xfId="39009"/>
    <cellStyle name="Финансовый 2 2 39 12 3" xfId="10888"/>
    <cellStyle name="Финансовый 2 2 39 12 4" xfId="33203"/>
    <cellStyle name="Финансовый 2 2 39 13" xfId="2829"/>
    <cellStyle name="Финансовый 2 2 39 13 2" xfId="16876"/>
    <cellStyle name="Финансовый 2 2 39 13 2 2" xfId="39191"/>
    <cellStyle name="Финансовый 2 2 39 13 3" xfId="11070"/>
    <cellStyle name="Финансовый 2 2 39 13 4" xfId="33385"/>
    <cellStyle name="Финансовый 2 2 39 14" xfId="3042"/>
    <cellStyle name="Финансовый 2 2 39 14 2" xfId="17049"/>
    <cellStyle name="Финансовый 2 2 39 14 2 2" xfId="39364"/>
    <cellStyle name="Финансовый 2 2 39 14 3" xfId="11243"/>
    <cellStyle name="Финансовый 2 2 39 14 4" xfId="33558"/>
    <cellStyle name="Финансовый 2 2 39 15" xfId="3242"/>
    <cellStyle name="Финансовый 2 2 39 15 2" xfId="17210"/>
    <cellStyle name="Финансовый 2 2 39 15 2 2" xfId="39525"/>
    <cellStyle name="Финансовый 2 2 39 15 3" xfId="11404"/>
    <cellStyle name="Финансовый 2 2 39 15 4" xfId="33719"/>
    <cellStyle name="Финансовый 2 2 39 16" xfId="3429"/>
    <cellStyle name="Финансовый 2 2 39 16 2" xfId="17358"/>
    <cellStyle name="Финансовый 2 2 39 16 2 2" xfId="39673"/>
    <cellStyle name="Финансовый 2 2 39 16 3" xfId="11552"/>
    <cellStyle name="Финансовый 2 2 39 16 4" xfId="33867"/>
    <cellStyle name="Финансовый 2 2 39 17" xfId="3601"/>
    <cellStyle name="Финансовый 2 2 39 17 2" xfId="17492"/>
    <cellStyle name="Финансовый 2 2 39 17 2 2" xfId="39807"/>
    <cellStyle name="Финансовый 2 2 39 17 3" xfId="11686"/>
    <cellStyle name="Финансовый 2 2 39 17 4" xfId="34001"/>
    <cellStyle name="Финансовый 2 2 39 18" xfId="3756"/>
    <cellStyle name="Финансовый 2 2 39 18 2" xfId="17609"/>
    <cellStyle name="Финансовый 2 2 39 18 2 2" xfId="39924"/>
    <cellStyle name="Финансовый 2 2 39 18 3" xfId="11803"/>
    <cellStyle name="Финансовый 2 2 39 18 4" xfId="34118"/>
    <cellStyle name="Финансовый 2 2 39 19" xfId="5607"/>
    <cellStyle name="Финансовый 2 2 39 19 2" xfId="18642"/>
    <cellStyle name="Финансовый 2 2 39 19 2 2" xfId="40957"/>
    <cellStyle name="Финансовый 2 2 39 19 3" xfId="12836"/>
    <cellStyle name="Финансовый 2 2 39 19 4" xfId="35151"/>
    <cellStyle name="Финансовый 2 2 39 2" xfId="536"/>
    <cellStyle name="Финансовый 2 2 39 2 10" xfId="396"/>
    <cellStyle name="Финансовый 2 2 39 2 10 2" xfId="14799"/>
    <cellStyle name="Финансовый 2 2 39 2 10 2 2" xfId="37114"/>
    <cellStyle name="Финансовый 2 2 39 2 10 3" xfId="8993"/>
    <cellStyle name="Финансовый 2 2 39 2 10 4" xfId="31326"/>
    <cellStyle name="Финансовый 2 2 39 2 11" xfId="1833"/>
    <cellStyle name="Финансовый 2 2 39 2 11 2" xfId="16050"/>
    <cellStyle name="Финансовый 2 2 39 2 11 2 2" xfId="38365"/>
    <cellStyle name="Финансовый 2 2 39 2 11 3" xfId="10244"/>
    <cellStyle name="Финансовый 2 2 39 2 11 4" xfId="32559"/>
    <cellStyle name="Финансовый 2 2 39 2 12" xfId="2071"/>
    <cellStyle name="Финансовый 2 2 39 2 12 2" xfId="16246"/>
    <cellStyle name="Финансовый 2 2 39 2 12 2 2" xfId="38561"/>
    <cellStyle name="Финансовый 2 2 39 2 12 3" xfId="10440"/>
    <cellStyle name="Финансовый 2 2 39 2 12 4" xfId="32755"/>
    <cellStyle name="Финансовый 2 2 39 2 13" xfId="2306"/>
    <cellStyle name="Финансовый 2 2 39 2 13 2" xfId="16439"/>
    <cellStyle name="Финансовый 2 2 39 2 13 2 2" xfId="38754"/>
    <cellStyle name="Финансовый 2 2 39 2 13 3" xfId="10633"/>
    <cellStyle name="Финансовый 2 2 39 2 13 4" xfId="32948"/>
    <cellStyle name="Финансовый 2 2 39 2 14" xfId="2538"/>
    <cellStyle name="Финансовый 2 2 39 2 14 2" xfId="16629"/>
    <cellStyle name="Финансовый 2 2 39 2 14 2 2" xfId="38944"/>
    <cellStyle name="Финансовый 2 2 39 2 14 3" xfId="10823"/>
    <cellStyle name="Финансовый 2 2 39 2 14 4" xfId="33138"/>
    <cellStyle name="Финансовый 2 2 39 2 15" xfId="5123"/>
    <cellStyle name="Финансовый 2 2 39 2 15 2" xfId="18381"/>
    <cellStyle name="Финансовый 2 2 39 2 15 2 2" xfId="40696"/>
    <cellStyle name="Финансовый 2 2 39 2 15 3" xfId="12575"/>
    <cellStyle name="Финансовый 2 2 39 2 15 4" xfId="34890"/>
    <cellStyle name="Финансовый 2 2 39 2 16" xfId="7172"/>
    <cellStyle name="Финансовый 2 2 39 2 16 2" xfId="19483"/>
    <cellStyle name="Финансовый 2 2 39 2 16 2 2" xfId="41798"/>
    <cellStyle name="Финансовый 2 2 39 2 16 3" xfId="13677"/>
    <cellStyle name="Финансовый 2 2 39 2 16 4" xfId="35992"/>
    <cellStyle name="Финансовый 2 2 39 2 17" xfId="4491"/>
    <cellStyle name="Финансовый 2 2 39 2 17 2" xfId="18033"/>
    <cellStyle name="Финансовый 2 2 39 2 17 2 2" xfId="40348"/>
    <cellStyle name="Финансовый 2 2 39 2 17 3" xfId="12227"/>
    <cellStyle name="Финансовый 2 2 39 2 17 4" xfId="34542"/>
    <cellStyle name="Финансовый 2 2 39 2 18" xfId="14937"/>
    <cellStyle name="Финансовый 2 2 39 2 18 2" xfId="37252"/>
    <cellStyle name="Финансовый 2 2 39 2 19" xfId="9131"/>
    <cellStyle name="Финансовый 2 2 39 2 2" xfId="752"/>
    <cellStyle name="Финансовый 2 2 39 2 2 2" xfId="15130"/>
    <cellStyle name="Финансовый 2 2 39 2 2 2 2" xfId="37445"/>
    <cellStyle name="Финансовый 2 2 39 2 2 3" xfId="9324"/>
    <cellStyle name="Финансовый 2 2 39 2 2 4" xfId="31647"/>
    <cellStyle name="Финансовый 2 2 39 2 20" xfId="31464"/>
    <cellStyle name="Финансовый 2 2 39 2 3" xfId="1502"/>
    <cellStyle name="Финансовый 2 2 39 2 3 2" xfId="15744"/>
    <cellStyle name="Финансовый 2 2 39 2 3 2 2" xfId="38059"/>
    <cellStyle name="Финансовый 2 2 39 2 3 3" xfId="9938"/>
    <cellStyle name="Финансовый 2 2 39 2 3 4" xfId="32253"/>
    <cellStyle name="Финансовый 2 2 39 2 4" xfId="1363"/>
    <cellStyle name="Финансовый 2 2 39 2 4 2" xfId="15613"/>
    <cellStyle name="Финансовый 2 2 39 2 4 2 2" xfId="37928"/>
    <cellStyle name="Финансовый 2 2 39 2 4 3" xfId="9807"/>
    <cellStyle name="Финансовый 2 2 39 2 4 4" xfId="32122"/>
    <cellStyle name="Финансовый 2 2 39 2 5" xfId="1570"/>
    <cellStyle name="Финансовый 2 2 39 2 5 2" xfId="15809"/>
    <cellStyle name="Финансовый 2 2 39 2 5 2 2" xfId="38124"/>
    <cellStyle name="Финансовый 2 2 39 2 5 3" xfId="10003"/>
    <cellStyle name="Финансовый 2 2 39 2 5 4" xfId="32318"/>
    <cellStyle name="Финансовый 2 2 39 2 6" xfId="403"/>
    <cellStyle name="Финансовый 2 2 39 2 6 2" xfId="14806"/>
    <cellStyle name="Финансовый 2 2 39 2 6 2 2" xfId="37121"/>
    <cellStyle name="Финансовый 2 2 39 2 6 3" xfId="9000"/>
    <cellStyle name="Финансовый 2 2 39 2 6 4" xfId="31333"/>
    <cellStyle name="Финансовый 2 2 39 2 7" xfId="1715"/>
    <cellStyle name="Финансовый 2 2 39 2 7 2" xfId="15941"/>
    <cellStyle name="Финансовый 2 2 39 2 7 2 2" xfId="38256"/>
    <cellStyle name="Финансовый 2 2 39 2 7 3" xfId="10135"/>
    <cellStyle name="Финансовый 2 2 39 2 7 4" xfId="32450"/>
    <cellStyle name="Финансовый 2 2 39 2 8" xfId="388"/>
    <cellStyle name="Финансовый 2 2 39 2 8 2" xfId="14791"/>
    <cellStyle name="Финансовый 2 2 39 2 8 2 2" xfId="37106"/>
    <cellStyle name="Финансовый 2 2 39 2 8 3" xfId="8985"/>
    <cellStyle name="Финансовый 2 2 39 2 8 4" xfId="31318"/>
    <cellStyle name="Финансовый 2 2 39 2 9" xfId="1625"/>
    <cellStyle name="Финансовый 2 2 39 2 9 2" xfId="15859"/>
    <cellStyle name="Финансовый 2 2 39 2 9 2 2" xfId="38174"/>
    <cellStyle name="Финансовый 2 2 39 2 9 3" xfId="10053"/>
    <cellStyle name="Финансовый 2 2 39 2 9 4" xfId="32368"/>
    <cellStyle name="Финансовый 2 2 39 20" xfId="7270"/>
    <cellStyle name="Финансовый 2 2 39 20 2" xfId="19536"/>
    <cellStyle name="Финансовый 2 2 39 20 2 2" xfId="41851"/>
    <cellStyle name="Финансовый 2 2 39 20 3" xfId="13730"/>
    <cellStyle name="Финансовый 2 2 39 20 4" xfId="36045"/>
    <cellStyle name="Финансовый 2 2 39 21" xfId="8421"/>
    <cellStyle name="Финансовый 2 2 39 21 2" xfId="20183"/>
    <cellStyle name="Финансовый 2 2 39 21 2 2" xfId="42498"/>
    <cellStyle name="Финансовый 2 2 39 21 3" xfId="14377"/>
    <cellStyle name="Финансовый 2 2 39 21 4" xfId="36692"/>
    <cellStyle name="Финансовый 2 2 39 22" xfId="14671"/>
    <cellStyle name="Финансовый 2 2 39 22 2" xfId="36986"/>
    <cellStyle name="Финансовый 2 2 39 23" xfId="8865"/>
    <cellStyle name="Финансовый 2 2 39 24" xfId="31201"/>
    <cellStyle name="Финансовый 2 2 39 3" xfId="871"/>
    <cellStyle name="Финансовый 2 2 39 3 2" xfId="15211"/>
    <cellStyle name="Финансовый 2 2 39 3 2 2" xfId="37526"/>
    <cellStyle name="Финансовый 2 2 39 3 3" xfId="9405"/>
    <cellStyle name="Финансовый 2 2 39 3 4" xfId="31727"/>
    <cellStyle name="Финансовый 2 2 39 4" xfId="930"/>
    <cellStyle name="Финансовый 2 2 39 4 2" xfId="15258"/>
    <cellStyle name="Финансовый 2 2 39 4 2 2" xfId="37573"/>
    <cellStyle name="Финансовый 2 2 39 4 3" xfId="9452"/>
    <cellStyle name="Финансовый 2 2 39 4 4" xfId="31772"/>
    <cellStyle name="Финансовый 2 2 39 5" xfId="1087"/>
    <cellStyle name="Финансовый 2 2 39 5 2" xfId="15400"/>
    <cellStyle name="Финансовый 2 2 39 5 2 2" xfId="37715"/>
    <cellStyle name="Финансовый 2 2 39 5 3" xfId="9594"/>
    <cellStyle name="Финансовый 2 2 39 5 4" xfId="31913"/>
    <cellStyle name="Финансовый 2 2 39 6" xfId="1146"/>
    <cellStyle name="Финансовый 2 2 39 6 2" xfId="15447"/>
    <cellStyle name="Финансовый 2 2 39 6 2 2" xfId="37762"/>
    <cellStyle name="Финансовый 2 2 39 6 3" xfId="9641"/>
    <cellStyle name="Финансовый 2 2 39 6 4" xfId="31958"/>
    <cellStyle name="Финансовый 2 2 39 7" xfId="1294"/>
    <cellStyle name="Финансовый 2 2 39 7 2" xfId="15551"/>
    <cellStyle name="Финансовый 2 2 39 7 2 2" xfId="37866"/>
    <cellStyle name="Финансовый 2 2 39 7 3" xfId="9745"/>
    <cellStyle name="Финансовый 2 2 39 7 4" xfId="32060"/>
    <cellStyle name="Финансовый 2 2 39 8" xfId="1589"/>
    <cellStyle name="Финансовый 2 2 39 8 2" xfId="15826"/>
    <cellStyle name="Финансовый 2 2 39 8 2 2" xfId="38141"/>
    <cellStyle name="Финансовый 2 2 39 8 3" xfId="10020"/>
    <cellStyle name="Финансовый 2 2 39 8 4" xfId="32335"/>
    <cellStyle name="Финансовый 2 2 39 9" xfId="1903"/>
    <cellStyle name="Финансовый 2 2 39 9 2" xfId="16116"/>
    <cellStyle name="Финансовый 2 2 39 9 2 2" xfId="38431"/>
    <cellStyle name="Финансовый 2 2 39 9 3" xfId="10310"/>
    <cellStyle name="Финансовый 2 2 39 9 4" xfId="32625"/>
    <cellStyle name="Финансовый 2 2 4" xfId="17"/>
    <cellStyle name="Финансовый 2 2 4 10" xfId="2075"/>
    <cellStyle name="Финансовый 2 2 4 10 2" xfId="16250"/>
    <cellStyle name="Финансовый 2 2 4 10 2 2" xfId="38565"/>
    <cellStyle name="Финансовый 2 2 4 10 3" xfId="10444"/>
    <cellStyle name="Финансовый 2 2 4 10 4" xfId="32759"/>
    <cellStyle name="Финансовый 2 2 4 11" xfId="2310"/>
    <cellStyle name="Финансовый 2 2 4 11 2" xfId="16443"/>
    <cellStyle name="Финансовый 2 2 4 11 2 2" xfId="38758"/>
    <cellStyle name="Финансовый 2 2 4 11 3" xfId="10637"/>
    <cellStyle name="Финансовый 2 2 4 11 4" xfId="32952"/>
    <cellStyle name="Финансовый 2 2 4 12" xfId="2542"/>
    <cellStyle name="Финансовый 2 2 4 12 2" xfId="16633"/>
    <cellStyle name="Финансовый 2 2 4 12 2 2" xfId="38948"/>
    <cellStyle name="Финансовый 2 2 4 12 3" xfId="10827"/>
    <cellStyle name="Финансовый 2 2 4 12 4" xfId="33142"/>
    <cellStyle name="Финансовый 2 2 4 13" xfId="2767"/>
    <cellStyle name="Финансовый 2 2 4 13 2" xfId="16817"/>
    <cellStyle name="Финансовый 2 2 4 13 2 2" xfId="39132"/>
    <cellStyle name="Финансовый 2 2 4 13 3" xfId="11011"/>
    <cellStyle name="Финансовый 2 2 4 13 4" xfId="33326"/>
    <cellStyle name="Финансовый 2 2 4 14" xfId="2984"/>
    <cellStyle name="Финансовый 2 2 4 14 2" xfId="16994"/>
    <cellStyle name="Финансовый 2 2 4 14 2 2" xfId="39309"/>
    <cellStyle name="Финансовый 2 2 4 14 3" xfId="11188"/>
    <cellStyle name="Финансовый 2 2 4 14 4" xfId="33503"/>
    <cellStyle name="Финансовый 2 2 4 15" xfId="3190"/>
    <cellStyle name="Финансовый 2 2 4 15 2" xfId="17161"/>
    <cellStyle name="Финансовый 2 2 4 15 2 2" xfId="39476"/>
    <cellStyle name="Финансовый 2 2 4 15 3" xfId="11355"/>
    <cellStyle name="Финансовый 2 2 4 15 4" xfId="33670"/>
    <cellStyle name="Финансовый 2 2 4 16" xfId="3378"/>
    <cellStyle name="Финансовый 2 2 4 16 2" xfId="17310"/>
    <cellStyle name="Финансовый 2 2 4 16 2 2" xfId="39625"/>
    <cellStyle name="Финансовый 2 2 4 16 3" xfId="11504"/>
    <cellStyle name="Финансовый 2 2 4 16 4" xfId="33819"/>
    <cellStyle name="Финансовый 2 2 4 17" xfId="3557"/>
    <cellStyle name="Финансовый 2 2 4 17 2" xfId="17451"/>
    <cellStyle name="Финансовый 2 2 4 17 2 2" xfId="39766"/>
    <cellStyle name="Финансовый 2 2 4 17 3" xfId="11645"/>
    <cellStyle name="Финансовый 2 2 4 17 4" xfId="33960"/>
    <cellStyle name="Финансовый 2 2 4 18" xfId="3717"/>
    <cellStyle name="Финансовый 2 2 4 18 2" xfId="17573"/>
    <cellStyle name="Финансовый 2 2 4 18 2 2" xfId="39888"/>
    <cellStyle name="Финансовый 2 2 4 18 3" xfId="11767"/>
    <cellStyle name="Финансовый 2 2 4 18 4" xfId="34082"/>
    <cellStyle name="Финансовый 2 2 4 19" xfId="4712"/>
    <cellStyle name="Финансовый 2 2 4 19 2" xfId="18153"/>
    <cellStyle name="Финансовый 2 2 4 19 2 2" xfId="40468"/>
    <cellStyle name="Финансовый 2 2 4 19 3" xfId="12347"/>
    <cellStyle name="Финансовый 2 2 4 19 4" xfId="34662"/>
    <cellStyle name="Финансовый 2 2 4 2" xfId="363"/>
    <cellStyle name="Финансовый 2 2 4 2 10" xfId="2565"/>
    <cellStyle name="Финансовый 2 2 4 2 10 2" xfId="16653"/>
    <cellStyle name="Финансовый 2 2 4 2 10 2 2" xfId="38968"/>
    <cellStyle name="Финансовый 2 2 4 2 10 3" xfId="10847"/>
    <cellStyle name="Финансовый 2 2 4 2 10 4" xfId="33162"/>
    <cellStyle name="Финансовый 2 2 4 2 11" xfId="2788"/>
    <cellStyle name="Финансовый 2 2 4 2 11 2" xfId="16836"/>
    <cellStyle name="Финансовый 2 2 4 2 11 2 2" xfId="39151"/>
    <cellStyle name="Финансовый 2 2 4 2 11 3" xfId="11030"/>
    <cellStyle name="Финансовый 2 2 4 2 11 4" xfId="33345"/>
    <cellStyle name="Финансовый 2 2 4 2 12" xfId="3004"/>
    <cellStyle name="Финансовый 2 2 4 2 12 2" xfId="17012"/>
    <cellStyle name="Финансовый 2 2 4 2 12 2 2" xfId="39327"/>
    <cellStyle name="Финансовый 2 2 4 2 12 3" xfId="11206"/>
    <cellStyle name="Финансовый 2 2 4 2 12 4" xfId="33521"/>
    <cellStyle name="Финансовый 2 2 4 2 13" xfId="3209"/>
    <cellStyle name="Финансовый 2 2 4 2 13 2" xfId="17178"/>
    <cellStyle name="Финансовый 2 2 4 2 13 2 2" xfId="39493"/>
    <cellStyle name="Финансовый 2 2 4 2 13 3" xfId="11372"/>
    <cellStyle name="Финансовый 2 2 4 2 13 4" xfId="33687"/>
    <cellStyle name="Финансовый 2 2 4 2 14" xfId="3397"/>
    <cellStyle name="Финансовый 2 2 4 2 14 2" xfId="17327"/>
    <cellStyle name="Финансовый 2 2 4 2 14 2 2" xfId="39642"/>
    <cellStyle name="Финансовый 2 2 4 2 14 3" xfId="11521"/>
    <cellStyle name="Финансовый 2 2 4 2 14 4" xfId="33836"/>
    <cellStyle name="Финансовый 2 2 4 2 15" xfId="6946"/>
    <cellStyle name="Финансовый 2 2 4 2 15 2" xfId="19357"/>
    <cellStyle name="Финансовый 2 2 4 2 15 2 2" xfId="41672"/>
    <cellStyle name="Финансовый 2 2 4 2 15 3" xfId="13551"/>
    <cellStyle name="Финансовый 2 2 4 2 15 4" xfId="35866"/>
    <cellStyle name="Финансовый 2 2 4 2 16" xfId="5295"/>
    <cellStyle name="Финансовый 2 2 4 2 16 2" xfId="18469"/>
    <cellStyle name="Финансовый 2 2 4 2 16 2 2" xfId="40784"/>
    <cellStyle name="Финансовый 2 2 4 2 16 3" xfId="12663"/>
    <cellStyle name="Финансовый 2 2 4 2 16 4" xfId="34978"/>
    <cellStyle name="Финансовый 2 2 4 2 17" xfId="4623"/>
    <cellStyle name="Финансовый 2 2 4 2 17 2" xfId="18099"/>
    <cellStyle name="Финансовый 2 2 4 2 17 2 2" xfId="40414"/>
    <cellStyle name="Финансовый 2 2 4 2 17 3" xfId="12293"/>
    <cellStyle name="Финансовый 2 2 4 2 17 4" xfId="34608"/>
    <cellStyle name="Финансовый 2 2 4 2 18" xfId="14766"/>
    <cellStyle name="Финансовый 2 2 4 2 18 2" xfId="37081"/>
    <cellStyle name="Финансовый 2 2 4 2 19" xfId="8960"/>
    <cellStyle name="Финансовый 2 2 4 2 2" xfId="614"/>
    <cellStyle name="Финансовый 2 2 4 2 2 2" xfId="14994"/>
    <cellStyle name="Финансовый 2 2 4 2 2 2 2" xfId="37309"/>
    <cellStyle name="Финансовый 2 2 4 2 2 3" xfId="9188"/>
    <cellStyle name="Финансовый 2 2 4 2 2 4" xfId="31513"/>
    <cellStyle name="Финансовый 2 2 4 2 20" xfId="31293"/>
    <cellStyle name="Финансовый 2 2 4 2 3" xfId="1372"/>
    <cellStyle name="Финансовый 2 2 4 2 3 2" xfId="15621"/>
    <cellStyle name="Финансовый 2 2 4 2 3 2 2" xfId="37936"/>
    <cellStyle name="Финансовый 2 2 4 2 3 3" xfId="9815"/>
    <cellStyle name="Финансовый 2 2 4 2 3 4" xfId="32130"/>
    <cellStyle name="Финансовый 2 2 4 2 4" xfId="1299"/>
    <cellStyle name="Финансовый 2 2 4 2 4 2" xfId="15556"/>
    <cellStyle name="Финансовый 2 2 4 2 4 2 2" xfId="37871"/>
    <cellStyle name="Финансовый 2 2 4 2 4 3" xfId="9750"/>
    <cellStyle name="Финансовый 2 2 4 2 4 4" xfId="32065"/>
    <cellStyle name="Финансовый 2 2 4 2 5" xfId="1586"/>
    <cellStyle name="Финансовый 2 2 4 2 5 2" xfId="15824"/>
    <cellStyle name="Финансовый 2 2 4 2 5 2 2" xfId="38139"/>
    <cellStyle name="Финансовый 2 2 4 2 5 3" xfId="10018"/>
    <cellStyle name="Финансовый 2 2 4 2 5 4" xfId="32333"/>
    <cellStyle name="Финансовый 2 2 4 2 6" xfId="1658"/>
    <cellStyle name="Финансовый 2 2 4 2 6 2" xfId="15888"/>
    <cellStyle name="Финансовый 2 2 4 2 6 2 2" xfId="38203"/>
    <cellStyle name="Финансовый 2 2 4 2 6 3" xfId="10082"/>
    <cellStyle name="Финансовый 2 2 4 2 6 4" xfId="32397"/>
    <cellStyle name="Финансовый 2 2 4 2 7" xfId="1860"/>
    <cellStyle name="Финансовый 2 2 4 2 7 2" xfId="16074"/>
    <cellStyle name="Финансовый 2 2 4 2 7 2 2" xfId="38389"/>
    <cellStyle name="Финансовый 2 2 4 2 7 3" xfId="10268"/>
    <cellStyle name="Финансовый 2 2 4 2 7 4" xfId="32583"/>
    <cellStyle name="Финансовый 2 2 4 2 8" xfId="2098"/>
    <cellStyle name="Финансовый 2 2 4 2 8 2" xfId="16270"/>
    <cellStyle name="Финансовый 2 2 4 2 8 2 2" xfId="38585"/>
    <cellStyle name="Финансовый 2 2 4 2 8 3" xfId="10464"/>
    <cellStyle name="Финансовый 2 2 4 2 8 4" xfId="32779"/>
    <cellStyle name="Финансовый 2 2 4 2 9" xfId="2333"/>
    <cellStyle name="Финансовый 2 2 4 2 9 2" xfId="16463"/>
    <cellStyle name="Финансовый 2 2 4 2 9 2 2" xfId="38778"/>
    <cellStyle name="Финансовый 2 2 4 2 9 3" xfId="10657"/>
    <cellStyle name="Финансовый 2 2 4 2 9 4" xfId="32972"/>
    <cellStyle name="Финансовый 2 2 4 20" xfId="6390"/>
    <cellStyle name="Финансовый 2 2 4 20 2" xfId="19059"/>
    <cellStyle name="Финансовый 2 2 4 20 2 2" xfId="41374"/>
    <cellStyle name="Финансовый 2 2 4 20 3" xfId="13253"/>
    <cellStyle name="Финансовый 2 2 4 20 4" xfId="35568"/>
    <cellStyle name="Финансовый 2 2 4 21" xfId="8438"/>
    <cellStyle name="Финансовый 2 2 4 21 2" xfId="20193"/>
    <cellStyle name="Финансовый 2 2 4 21 2 2" xfId="42508"/>
    <cellStyle name="Финансовый 2 2 4 21 3" xfId="14387"/>
    <cellStyle name="Финансовый 2 2 4 21 4" xfId="36702"/>
    <cellStyle name="Финансовый 2 2 4 22" xfId="14568"/>
    <cellStyle name="Финансовый 2 2 4 22 2" xfId="36883"/>
    <cellStyle name="Финансовый 2 2 4 23" xfId="8762"/>
    <cellStyle name="Финансовый 2 2 4 24" xfId="31131"/>
    <cellStyle name="Финансовый 2 2 4 3" xfId="706"/>
    <cellStyle name="Финансовый 2 2 4 3 2" xfId="15085"/>
    <cellStyle name="Финансовый 2 2 4 3 2 2" xfId="37400"/>
    <cellStyle name="Финансовый 2 2 4 3 3" xfId="9279"/>
    <cellStyle name="Финансовый 2 2 4 3 4" xfId="31602"/>
    <cellStyle name="Финансовый 2 2 4 4" xfId="899"/>
    <cellStyle name="Финансовый 2 2 4 4 2" xfId="15230"/>
    <cellStyle name="Финансовый 2 2 4 4 2 2" xfId="37545"/>
    <cellStyle name="Финансовый 2 2 4 4 3" xfId="9424"/>
    <cellStyle name="Финансовый 2 2 4 4 4" xfId="31744"/>
    <cellStyle name="Финансовый 2 2 4 5" xfId="972"/>
    <cellStyle name="Финансовый 2 2 4 5 2" xfId="15286"/>
    <cellStyle name="Финансовый 2 2 4 5 2 2" xfId="37601"/>
    <cellStyle name="Финансовый 2 2 4 5 3" xfId="9480"/>
    <cellStyle name="Финансовый 2 2 4 5 4" xfId="31800"/>
    <cellStyle name="Финансовый 2 2 4 6" xfId="1115"/>
    <cellStyle name="Финансовый 2 2 4 6 2" xfId="15419"/>
    <cellStyle name="Финансовый 2 2 4 6 2 2" xfId="37734"/>
    <cellStyle name="Финансовый 2 2 4 6 3" xfId="9613"/>
    <cellStyle name="Финансовый 2 2 4 6 4" xfId="31930"/>
    <cellStyle name="Финансовый 2 2 4 7" xfId="513"/>
    <cellStyle name="Финансовый 2 2 4 7 2" xfId="14915"/>
    <cellStyle name="Финансовый 2 2 4 7 2 2" xfId="37230"/>
    <cellStyle name="Финансовый 2 2 4 7 3" xfId="9109"/>
    <cellStyle name="Финансовый 2 2 4 7 4" xfId="31442"/>
    <cellStyle name="Финансовый 2 2 4 8" xfId="1546"/>
    <cellStyle name="Финансовый 2 2 4 8 2" xfId="15786"/>
    <cellStyle name="Финансовый 2 2 4 8 2 2" xfId="38101"/>
    <cellStyle name="Финансовый 2 2 4 8 3" xfId="9980"/>
    <cellStyle name="Финансовый 2 2 4 8 4" xfId="32295"/>
    <cellStyle name="Финансовый 2 2 4 9" xfId="1837"/>
    <cellStyle name="Финансовый 2 2 4 9 2" xfId="16054"/>
    <cellStyle name="Финансовый 2 2 4 9 2 2" xfId="38369"/>
    <cellStyle name="Финансовый 2 2 4 9 3" xfId="10248"/>
    <cellStyle name="Финансовый 2 2 4 9 4" xfId="32563"/>
    <cellStyle name="Финансовый 2 2 40" xfId="198"/>
    <cellStyle name="Финансовый 2 2 40 10" xfId="1739"/>
    <cellStyle name="Финансовый 2 2 40 10 2" xfId="15962"/>
    <cellStyle name="Финансовый 2 2 40 10 2 2" xfId="38277"/>
    <cellStyle name="Финансовый 2 2 40 10 3" xfId="10156"/>
    <cellStyle name="Финансовый 2 2 40 10 4" xfId="32471"/>
    <cellStyle name="Финансовый 2 2 40 11" xfId="1977"/>
    <cellStyle name="Финансовый 2 2 40 11 2" xfId="16158"/>
    <cellStyle name="Финансовый 2 2 40 11 2 2" xfId="38473"/>
    <cellStyle name="Финансовый 2 2 40 11 3" xfId="10352"/>
    <cellStyle name="Финансовый 2 2 40 11 4" xfId="32667"/>
    <cellStyle name="Финансовый 2 2 40 12" xfId="2214"/>
    <cellStyle name="Финансовый 2 2 40 12 2" xfId="16353"/>
    <cellStyle name="Финансовый 2 2 40 12 2 2" xfId="38668"/>
    <cellStyle name="Финансовый 2 2 40 12 3" xfId="10547"/>
    <cellStyle name="Финансовый 2 2 40 12 4" xfId="32862"/>
    <cellStyle name="Финансовый 2 2 40 13" xfId="2449"/>
    <cellStyle name="Финансовый 2 2 40 13 2" xfId="16546"/>
    <cellStyle name="Финансовый 2 2 40 13 2 2" xfId="38861"/>
    <cellStyle name="Финансовый 2 2 40 13 3" xfId="10740"/>
    <cellStyle name="Финансовый 2 2 40 13 4" xfId="33055"/>
    <cellStyle name="Финансовый 2 2 40 14" xfId="2681"/>
    <cellStyle name="Финансовый 2 2 40 14 2" xfId="16736"/>
    <cellStyle name="Финансовый 2 2 40 14 2 2" xfId="39051"/>
    <cellStyle name="Финансовый 2 2 40 14 3" xfId="10930"/>
    <cellStyle name="Финансовый 2 2 40 14 4" xfId="33245"/>
    <cellStyle name="Финансовый 2 2 40 15" xfId="2902"/>
    <cellStyle name="Финансовый 2 2 40 15 2" xfId="16917"/>
    <cellStyle name="Финансовый 2 2 40 15 2 2" xfId="39232"/>
    <cellStyle name="Финансовый 2 2 40 15 3" xfId="11111"/>
    <cellStyle name="Финансовый 2 2 40 15 4" xfId="33426"/>
    <cellStyle name="Финансовый 2 2 40 16" xfId="3113"/>
    <cellStyle name="Финансовый 2 2 40 16 2" xfId="17089"/>
    <cellStyle name="Финансовый 2 2 40 16 2 2" xfId="39404"/>
    <cellStyle name="Финансовый 2 2 40 16 3" xfId="11283"/>
    <cellStyle name="Финансовый 2 2 40 16 4" xfId="33598"/>
    <cellStyle name="Финансовый 2 2 40 17" xfId="3312"/>
    <cellStyle name="Финансовый 2 2 40 17 2" xfId="17249"/>
    <cellStyle name="Финансовый 2 2 40 17 2 2" xfId="39564"/>
    <cellStyle name="Финансовый 2 2 40 17 3" xfId="11443"/>
    <cellStyle name="Финансовый 2 2 40 17 4" xfId="33758"/>
    <cellStyle name="Финансовый 2 2 40 18" xfId="3499"/>
    <cellStyle name="Финансовый 2 2 40 18 2" xfId="17397"/>
    <cellStyle name="Финансовый 2 2 40 18 2 2" xfId="39712"/>
    <cellStyle name="Финансовый 2 2 40 18 3" xfId="11591"/>
    <cellStyle name="Финансовый 2 2 40 18 4" xfId="33906"/>
    <cellStyle name="Финансовый 2 2 40 19" xfId="6013"/>
    <cellStyle name="Финансовый 2 2 40 19 2" xfId="18856"/>
    <cellStyle name="Финансовый 2 2 40 19 2 2" xfId="41171"/>
    <cellStyle name="Финансовый 2 2 40 19 3" xfId="13050"/>
    <cellStyle name="Финансовый 2 2 40 19 4" xfId="35365"/>
    <cellStyle name="Финансовый 2 2 40 2" xfId="539"/>
    <cellStyle name="Финансовый 2 2 40 2 10" xfId="2528"/>
    <cellStyle name="Финансовый 2 2 40 2 10 2" xfId="16619"/>
    <cellStyle name="Финансовый 2 2 40 2 10 2 2" xfId="38934"/>
    <cellStyle name="Финансовый 2 2 40 2 10 3" xfId="10813"/>
    <cellStyle name="Финансовый 2 2 40 2 10 4" xfId="33128"/>
    <cellStyle name="Финансовый 2 2 40 2 11" xfId="2754"/>
    <cellStyle name="Финансовый 2 2 40 2 11 2" xfId="16804"/>
    <cellStyle name="Финансовый 2 2 40 2 11 2 2" xfId="39119"/>
    <cellStyle name="Финансовый 2 2 40 2 11 3" xfId="10998"/>
    <cellStyle name="Финансовый 2 2 40 2 11 4" xfId="33313"/>
    <cellStyle name="Финансовый 2 2 40 2 12" xfId="2972"/>
    <cellStyle name="Финансовый 2 2 40 2 12 2" xfId="16982"/>
    <cellStyle name="Финансовый 2 2 40 2 12 2 2" xfId="39297"/>
    <cellStyle name="Финансовый 2 2 40 2 12 3" xfId="11176"/>
    <cellStyle name="Финансовый 2 2 40 2 12 4" xfId="33491"/>
    <cellStyle name="Финансовый 2 2 40 2 13" xfId="3180"/>
    <cellStyle name="Финансовый 2 2 40 2 13 2" xfId="17151"/>
    <cellStyle name="Финансовый 2 2 40 2 13 2 2" xfId="39466"/>
    <cellStyle name="Финансовый 2 2 40 2 13 3" xfId="11345"/>
    <cellStyle name="Финансовый 2 2 40 2 13 4" xfId="33660"/>
    <cellStyle name="Финансовый 2 2 40 2 14" xfId="3369"/>
    <cellStyle name="Финансовый 2 2 40 2 14 2" xfId="17301"/>
    <cellStyle name="Финансовый 2 2 40 2 14 2 2" xfId="39616"/>
    <cellStyle name="Финансовый 2 2 40 2 14 3" xfId="11495"/>
    <cellStyle name="Финансовый 2 2 40 2 14 4" xfId="33810"/>
    <cellStyle name="Финансовый 2 2 40 2 15" xfId="4240"/>
    <cellStyle name="Финансовый 2 2 40 2 15 2" xfId="17890"/>
    <cellStyle name="Финансовый 2 2 40 2 15 2 2" xfId="40205"/>
    <cellStyle name="Финансовый 2 2 40 2 15 3" xfId="12084"/>
    <cellStyle name="Финансовый 2 2 40 2 15 4" xfId="34399"/>
    <cellStyle name="Финансовый 2 2 40 2 16" xfId="6138"/>
    <cellStyle name="Финансовый 2 2 40 2 16 2" xfId="18925"/>
    <cellStyle name="Финансовый 2 2 40 2 16 2 2" xfId="41240"/>
    <cellStyle name="Финансовый 2 2 40 2 16 3" xfId="13119"/>
    <cellStyle name="Финансовый 2 2 40 2 16 4" xfId="35434"/>
    <cellStyle name="Финансовый 2 2 40 2 17" xfId="5850"/>
    <cellStyle name="Финансовый 2 2 40 2 17 2" xfId="18771"/>
    <cellStyle name="Финансовый 2 2 40 2 17 2 2" xfId="41086"/>
    <cellStyle name="Финансовый 2 2 40 2 17 3" xfId="12965"/>
    <cellStyle name="Финансовый 2 2 40 2 17 4" xfId="35280"/>
    <cellStyle name="Финансовый 2 2 40 2 18" xfId="14940"/>
    <cellStyle name="Финансовый 2 2 40 2 18 2" xfId="37255"/>
    <cellStyle name="Финансовый 2 2 40 2 19" xfId="9134"/>
    <cellStyle name="Финансовый 2 2 40 2 2" xfId="755"/>
    <cellStyle name="Финансовый 2 2 40 2 2 2" xfId="15133"/>
    <cellStyle name="Финансовый 2 2 40 2 2 2 2" xfId="37448"/>
    <cellStyle name="Финансовый 2 2 40 2 2 3" xfId="9327"/>
    <cellStyle name="Финансовый 2 2 40 2 2 4" xfId="31650"/>
    <cellStyle name="Финансовый 2 2 40 2 20" xfId="31467"/>
    <cellStyle name="Финансовый 2 2 40 2 3" xfId="1505"/>
    <cellStyle name="Финансовый 2 2 40 2 3 2" xfId="15747"/>
    <cellStyle name="Финансовый 2 2 40 2 3 2 2" xfId="38062"/>
    <cellStyle name="Финансовый 2 2 40 2 3 3" xfId="9941"/>
    <cellStyle name="Финансовый 2 2 40 2 3 4" xfId="32256"/>
    <cellStyle name="Финансовый 2 2 40 2 4" xfId="1405"/>
    <cellStyle name="Финансовый 2 2 40 2 4 2" xfId="15650"/>
    <cellStyle name="Финансовый 2 2 40 2 4 2 2" xfId="37965"/>
    <cellStyle name="Финансовый 2 2 40 2 4 3" xfId="9844"/>
    <cellStyle name="Финансовый 2 2 40 2 4 4" xfId="32159"/>
    <cellStyle name="Финансовый 2 2 40 2 5" xfId="1485"/>
    <cellStyle name="Финансовый 2 2 40 2 5 2" xfId="15727"/>
    <cellStyle name="Финансовый 2 2 40 2 5 2 2" xfId="38042"/>
    <cellStyle name="Финансовый 2 2 40 2 5 3" xfId="9921"/>
    <cellStyle name="Финансовый 2 2 40 2 5 4" xfId="32236"/>
    <cellStyle name="Финансовый 2 2 40 2 6" xfId="1444"/>
    <cellStyle name="Финансовый 2 2 40 2 6 2" xfId="15687"/>
    <cellStyle name="Финансовый 2 2 40 2 6 2 2" xfId="38002"/>
    <cellStyle name="Финансовый 2 2 40 2 6 3" xfId="9881"/>
    <cellStyle name="Финансовый 2 2 40 2 6 4" xfId="32196"/>
    <cellStyle name="Финансовый 2 2 40 2 7" xfId="1822"/>
    <cellStyle name="Финансовый 2 2 40 2 7 2" xfId="16039"/>
    <cellStyle name="Финансовый 2 2 40 2 7 2 2" xfId="38354"/>
    <cellStyle name="Финансовый 2 2 40 2 7 3" xfId="10233"/>
    <cellStyle name="Финансовый 2 2 40 2 7 4" xfId="32548"/>
    <cellStyle name="Финансовый 2 2 40 2 8" xfId="2060"/>
    <cellStyle name="Финансовый 2 2 40 2 8 2" xfId="16235"/>
    <cellStyle name="Финансовый 2 2 40 2 8 2 2" xfId="38550"/>
    <cellStyle name="Финансовый 2 2 40 2 8 3" xfId="10429"/>
    <cellStyle name="Финансовый 2 2 40 2 8 4" xfId="32744"/>
    <cellStyle name="Финансовый 2 2 40 2 9" xfId="2295"/>
    <cellStyle name="Финансовый 2 2 40 2 9 2" xfId="16428"/>
    <cellStyle name="Финансовый 2 2 40 2 9 2 2" xfId="38743"/>
    <cellStyle name="Финансовый 2 2 40 2 9 3" xfId="10622"/>
    <cellStyle name="Финансовый 2 2 40 2 9 4" xfId="32937"/>
    <cellStyle name="Финансовый 2 2 40 20" xfId="5303"/>
    <cellStyle name="Финансовый 2 2 40 20 2" xfId="18473"/>
    <cellStyle name="Финансовый 2 2 40 20 2 2" xfId="40788"/>
    <cellStyle name="Финансовый 2 2 40 20 3" xfId="12667"/>
    <cellStyle name="Финансовый 2 2 40 20 4" xfId="34982"/>
    <cellStyle name="Финансовый 2 2 40 21" xfId="8431"/>
    <cellStyle name="Финансовый 2 2 40 21 2" xfId="20188"/>
    <cellStyle name="Финансовый 2 2 40 21 2 2" xfId="42503"/>
    <cellStyle name="Финансовый 2 2 40 21 3" xfId="14382"/>
    <cellStyle name="Финансовый 2 2 40 21 4" xfId="36697"/>
    <cellStyle name="Финансовый 2 2 40 22" xfId="14673"/>
    <cellStyle name="Финансовый 2 2 40 22 2" xfId="36988"/>
    <cellStyle name="Финансовый 2 2 40 23" xfId="8867"/>
    <cellStyle name="Финансовый 2 2 40 24" xfId="31203"/>
    <cellStyle name="Финансовый 2 2 40 3" xfId="873"/>
    <cellStyle name="Финансовый 2 2 40 3 2" xfId="15213"/>
    <cellStyle name="Финансовый 2 2 40 3 2 2" xfId="37528"/>
    <cellStyle name="Финансовый 2 2 40 3 3" xfId="9407"/>
    <cellStyle name="Финансовый 2 2 40 3 4" xfId="31729"/>
    <cellStyle name="Финансовый 2 2 40 4" xfId="932"/>
    <cellStyle name="Финансовый 2 2 40 4 2" xfId="15260"/>
    <cellStyle name="Финансовый 2 2 40 4 2 2" xfId="37575"/>
    <cellStyle name="Финансовый 2 2 40 4 3" xfId="9454"/>
    <cellStyle name="Финансовый 2 2 40 4 4" xfId="31774"/>
    <cellStyle name="Финансовый 2 2 40 5" xfId="1089"/>
    <cellStyle name="Финансовый 2 2 40 5 2" xfId="15402"/>
    <cellStyle name="Финансовый 2 2 40 5 2 2" xfId="37717"/>
    <cellStyle name="Финансовый 2 2 40 5 3" xfId="9596"/>
    <cellStyle name="Финансовый 2 2 40 5 4" xfId="31915"/>
    <cellStyle name="Финансовый 2 2 40 6" xfId="1148"/>
    <cellStyle name="Финансовый 2 2 40 6 2" xfId="15449"/>
    <cellStyle name="Финансовый 2 2 40 6 2 2" xfId="37764"/>
    <cellStyle name="Финансовый 2 2 40 6 3" xfId="9643"/>
    <cellStyle name="Финансовый 2 2 40 6 4" xfId="31960"/>
    <cellStyle name="Финансовый 2 2 40 7" xfId="1298"/>
    <cellStyle name="Финансовый 2 2 40 7 2" xfId="15555"/>
    <cellStyle name="Финансовый 2 2 40 7 2 2" xfId="37870"/>
    <cellStyle name="Финансовый 2 2 40 7 3" xfId="9749"/>
    <cellStyle name="Финансовый 2 2 40 7 4" xfId="32064"/>
    <cellStyle name="Финансовый 2 2 40 8" xfId="1501"/>
    <cellStyle name="Финансовый 2 2 40 8 2" xfId="15743"/>
    <cellStyle name="Финансовый 2 2 40 8 2 2" xfId="38058"/>
    <cellStyle name="Финансовый 2 2 40 8 3" xfId="9937"/>
    <cellStyle name="Финансовый 2 2 40 8 4" xfId="32252"/>
    <cellStyle name="Финансовый 2 2 40 9" xfId="1659"/>
    <cellStyle name="Финансовый 2 2 40 9 2" xfId="15889"/>
    <cellStyle name="Финансовый 2 2 40 9 2 2" xfId="38204"/>
    <cellStyle name="Финансовый 2 2 40 9 3" xfId="10083"/>
    <cellStyle name="Финансовый 2 2 40 9 4" xfId="32398"/>
    <cellStyle name="Финансовый 2 2 41" xfId="202"/>
    <cellStyle name="Финансовый 2 2 41 10" xfId="499"/>
    <cellStyle name="Финансовый 2 2 41 10 2" xfId="14901"/>
    <cellStyle name="Финансовый 2 2 41 10 2 2" xfId="37216"/>
    <cellStyle name="Финансовый 2 2 41 10 3" xfId="9095"/>
    <cellStyle name="Финансовый 2 2 41 10 4" xfId="31428"/>
    <cellStyle name="Финансовый 2 2 41 11" xfId="1318"/>
    <cellStyle name="Финансовый 2 2 41 11 2" xfId="15573"/>
    <cellStyle name="Финансовый 2 2 41 11 2 2" xfId="37888"/>
    <cellStyle name="Финансовый 2 2 41 11 3" xfId="9767"/>
    <cellStyle name="Финансовый 2 2 41 11 4" xfId="32082"/>
    <cellStyle name="Финансовый 2 2 41 12" xfId="1401"/>
    <cellStyle name="Финансовый 2 2 41 12 2" xfId="15647"/>
    <cellStyle name="Финансовый 2 2 41 12 2 2" xfId="37962"/>
    <cellStyle name="Финансовый 2 2 41 12 3" xfId="9841"/>
    <cellStyle name="Финансовый 2 2 41 12 4" xfId="32156"/>
    <cellStyle name="Финансовый 2 2 41 13" xfId="1409"/>
    <cellStyle name="Финансовый 2 2 41 13 2" xfId="15653"/>
    <cellStyle name="Финансовый 2 2 41 13 2 2" xfId="37968"/>
    <cellStyle name="Финансовый 2 2 41 13 3" xfId="9847"/>
    <cellStyle name="Финансовый 2 2 41 13 4" xfId="32162"/>
    <cellStyle name="Финансовый 2 2 41 14" xfId="1495"/>
    <cellStyle name="Финансовый 2 2 41 14 2" xfId="15737"/>
    <cellStyle name="Финансовый 2 2 41 14 2 2" xfId="38052"/>
    <cellStyle name="Финансовый 2 2 41 14 3" xfId="9931"/>
    <cellStyle name="Финансовый 2 2 41 14 4" xfId="32246"/>
    <cellStyle name="Финансовый 2 2 41 15" xfId="1755"/>
    <cellStyle name="Финансовый 2 2 41 15 2" xfId="15978"/>
    <cellStyle name="Финансовый 2 2 41 15 2 2" xfId="38293"/>
    <cellStyle name="Финансовый 2 2 41 15 3" xfId="10172"/>
    <cellStyle name="Финансовый 2 2 41 15 4" xfId="32487"/>
    <cellStyle name="Финансовый 2 2 41 16" xfId="1993"/>
    <cellStyle name="Финансовый 2 2 41 16 2" xfId="16174"/>
    <cellStyle name="Финансовый 2 2 41 16 2 2" xfId="38489"/>
    <cellStyle name="Финансовый 2 2 41 16 3" xfId="10368"/>
    <cellStyle name="Финансовый 2 2 41 16 4" xfId="32683"/>
    <cellStyle name="Финансовый 2 2 41 17" xfId="2229"/>
    <cellStyle name="Финансовый 2 2 41 17 2" xfId="16368"/>
    <cellStyle name="Финансовый 2 2 41 17 2 2" xfId="38683"/>
    <cellStyle name="Финансовый 2 2 41 17 3" xfId="10562"/>
    <cellStyle name="Финансовый 2 2 41 17 4" xfId="32877"/>
    <cellStyle name="Финансовый 2 2 41 18" xfId="2463"/>
    <cellStyle name="Финансовый 2 2 41 18 2" xfId="16560"/>
    <cellStyle name="Финансовый 2 2 41 18 2 2" xfId="38875"/>
    <cellStyle name="Финансовый 2 2 41 18 3" xfId="10754"/>
    <cellStyle name="Финансовый 2 2 41 18 4" xfId="33069"/>
    <cellStyle name="Финансовый 2 2 41 19" xfId="7763"/>
    <cellStyle name="Финансовый 2 2 41 19 2" xfId="19801"/>
    <cellStyle name="Финансовый 2 2 41 19 2 2" xfId="42116"/>
    <cellStyle name="Финансовый 2 2 41 19 3" xfId="13995"/>
    <cellStyle name="Финансовый 2 2 41 19 4" xfId="36310"/>
    <cellStyle name="Финансовый 2 2 41 2" xfId="543"/>
    <cellStyle name="Финансовый 2 2 41 2 10" xfId="2683"/>
    <cellStyle name="Финансовый 2 2 41 2 10 2" xfId="16738"/>
    <cellStyle name="Финансовый 2 2 41 2 10 2 2" xfId="39053"/>
    <cellStyle name="Финансовый 2 2 41 2 10 3" xfId="10932"/>
    <cellStyle name="Финансовый 2 2 41 2 10 4" xfId="33247"/>
    <cellStyle name="Финансовый 2 2 41 2 11" xfId="2904"/>
    <cellStyle name="Финансовый 2 2 41 2 11 2" xfId="16919"/>
    <cellStyle name="Финансовый 2 2 41 2 11 2 2" xfId="39234"/>
    <cellStyle name="Финансовый 2 2 41 2 11 3" xfId="11113"/>
    <cellStyle name="Финансовый 2 2 41 2 11 4" xfId="33428"/>
    <cellStyle name="Финансовый 2 2 41 2 12" xfId="3115"/>
    <cellStyle name="Финансовый 2 2 41 2 12 2" xfId="17091"/>
    <cellStyle name="Финансовый 2 2 41 2 12 2 2" xfId="39406"/>
    <cellStyle name="Финансовый 2 2 41 2 12 3" xfId="11285"/>
    <cellStyle name="Финансовый 2 2 41 2 12 4" xfId="33600"/>
    <cellStyle name="Финансовый 2 2 41 2 13" xfId="3314"/>
    <cellStyle name="Финансовый 2 2 41 2 13 2" xfId="17251"/>
    <cellStyle name="Финансовый 2 2 41 2 13 2 2" xfId="39566"/>
    <cellStyle name="Финансовый 2 2 41 2 13 3" xfId="11445"/>
    <cellStyle name="Финансовый 2 2 41 2 13 4" xfId="33760"/>
    <cellStyle name="Финансовый 2 2 41 2 14" xfId="3500"/>
    <cellStyle name="Финансовый 2 2 41 2 14 2" xfId="17398"/>
    <cellStyle name="Финансовый 2 2 41 2 14 2 2" xfId="39713"/>
    <cellStyle name="Финансовый 2 2 41 2 14 3" xfId="11592"/>
    <cellStyle name="Финансовый 2 2 41 2 14 4" xfId="33907"/>
    <cellStyle name="Финансовый 2 2 41 2 15" xfId="5082"/>
    <cellStyle name="Финансовый 2 2 41 2 15 2" xfId="18355"/>
    <cellStyle name="Финансовый 2 2 41 2 15 2 2" xfId="40670"/>
    <cellStyle name="Финансовый 2 2 41 2 15 3" xfId="12549"/>
    <cellStyle name="Финансовый 2 2 41 2 15 4" xfId="34864"/>
    <cellStyle name="Финансовый 2 2 41 2 16" xfId="6149"/>
    <cellStyle name="Финансовый 2 2 41 2 16 2" xfId="18931"/>
    <cellStyle name="Финансовый 2 2 41 2 16 2 2" xfId="41246"/>
    <cellStyle name="Финансовый 2 2 41 2 16 3" xfId="13125"/>
    <cellStyle name="Финансовый 2 2 41 2 16 4" xfId="35440"/>
    <cellStyle name="Финансовый 2 2 41 2 17" xfId="4820"/>
    <cellStyle name="Финансовый 2 2 41 2 17 2" xfId="18212"/>
    <cellStyle name="Финансовый 2 2 41 2 17 2 2" xfId="40527"/>
    <cellStyle name="Финансовый 2 2 41 2 17 3" xfId="12406"/>
    <cellStyle name="Финансовый 2 2 41 2 17 4" xfId="34721"/>
    <cellStyle name="Финансовый 2 2 41 2 18" xfId="14944"/>
    <cellStyle name="Финансовый 2 2 41 2 18 2" xfId="37259"/>
    <cellStyle name="Финансовый 2 2 41 2 19" xfId="9138"/>
    <cellStyle name="Финансовый 2 2 41 2 2" xfId="759"/>
    <cellStyle name="Финансовый 2 2 41 2 2 2" xfId="15137"/>
    <cellStyle name="Финансовый 2 2 41 2 2 2 2" xfId="37452"/>
    <cellStyle name="Финансовый 2 2 41 2 2 3" xfId="9331"/>
    <cellStyle name="Финансовый 2 2 41 2 2 4" xfId="31654"/>
    <cellStyle name="Финансовый 2 2 41 2 20" xfId="31471"/>
    <cellStyle name="Финансовый 2 2 41 2 3" xfId="1509"/>
    <cellStyle name="Финансовый 2 2 41 2 3 2" xfId="15751"/>
    <cellStyle name="Финансовый 2 2 41 2 3 2 2" xfId="38066"/>
    <cellStyle name="Финансовый 2 2 41 2 3 3" xfId="9945"/>
    <cellStyle name="Финансовый 2 2 41 2 3 4" xfId="32260"/>
    <cellStyle name="Финансовый 2 2 41 2 4" xfId="1585"/>
    <cellStyle name="Финансовый 2 2 41 2 4 2" xfId="15823"/>
    <cellStyle name="Финансовый 2 2 41 2 4 2 2" xfId="38138"/>
    <cellStyle name="Финансовый 2 2 41 2 4 3" xfId="10017"/>
    <cellStyle name="Финансовый 2 2 41 2 4 4" xfId="32332"/>
    <cellStyle name="Финансовый 2 2 41 2 5" xfId="1696"/>
    <cellStyle name="Финансовый 2 2 41 2 5 2" xfId="15925"/>
    <cellStyle name="Финансовый 2 2 41 2 5 2 2" xfId="38240"/>
    <cellStyle name="Финансовый 2 2 41 2 5 3" xfId="10119"/>
    <cellStyle name="Финансовый 2 2 41 2 5 4" xfId="32434"/>
    <cellStyle name="Финансовый 2 2 41 2 6" xfId="1741"/>
    <cellStyle name="Финансовый 2 2 41 2 6 2" xfId="15964"/>
    <cellStyle name="Финансовый 2 2 41 2 6 2 2" xfId="38279"/>
    <cellStyle name="Финансовый 2 2 41 2 6 3" xfId="10158"/>
    <cellStyle name="Финансовый 2 2 41 2 6 4" xfId="32473"/>
    <cellStyle name="Финансовый 2 2 41 2 7" xfId="1979"/>
    <cellStyle name="Финансовый 2 2 41 2 7 2" xfId="16160"/>
    <cellStyle name="Финансовый 2 2 41 2 7 2 2" xfId="38475"/>
    <cellStyle name="Финансовый 2 2 41 2 7 3" xfId="10354"/>
    <cellStyle name="Финансовый 2 2 41 2 7 4" xfId="32669"/>
    <cellStyle name="Финансовый 2 2 41 2 8" xfId="2216"/>
    <cellStyle name="Финансовый 2 2 41 2 8 2" xfId="16355"/>
    <cellStyle name="Финансовый 2 2 41 2 8 2 2" xfId="38670"/>
    <cellStyle name="Финансовый 2 2 41 2 8 3" xfId="10549"/>
    <cellStyle name="Финансовый 2 2 41 2 8 4" xfId="32864"/>
    <cellStyle name="Финансовый 2 2 41 2 9" xfId="2451"/>
    <cellStyle name="Финансовый 2 2 41 2 9 2" xfId="16548"/>
    <cellStyle name="Финансовый 2 2 41 2 9 2 2" xfId="38863"/>
    <cellStyle name="Финансовый 2 2 41 2 9 3" xfId="10742"/>
    <cellStyle name="Финансовый 2 2 41 2 9 4" xfId="33057"/>
    <cellStyle name="Финансовый 2 2 41 20" xfId="4164"/>
    <cellStyle name="Финансовый 2 2 41 20 2" xfId="17844"/>
    <cellStyle name="Финансовый 2 2 41 20 2 2" xfId="40159"/>
    <cellStyle name="Финансовый 2 2 41 20 3" xfId="12038"/>
    <cellStyle name="Финансовый 2 2 41 20 4" xfId="34353"/>
    <cellStyle name="Финансовый 2 2 41 21" xfId="8220"/>
    <cellStyle name="Финансовый 2 2 41 21 2" xfId="20065"/>
    <cellStyle name="Финансовый 2 2 41 21 2 2" xfId="42380"/>
    <cellStyle name="Финансовый 2 2 41 21 3" xfId="14259"/>
    <cellStyle name="Финансовый 2 2 41 21 4" xfId="36574"/>
    <cellStyle name="Финансовый 2 2 41 22" xfId="14675"/>
    <cellStyle name="Финансовый 2 2 41 22 2" xfId="36990"/>
    <cellStyle name="Финансовый 2 2 41 23" xfId="8869"/>
    <cellStyle name="Финансовый 2 2 41 24" xfId="31205"/>
    <cellStyle name="Финансовый 2 2 41 3" xfId="876"/>
    <cellStyle name="Финансовый 2 2 41 3 2" xfId="15216"/>
    <cellStyle name="Финансовый 2 2 41 3 2 2" xfId="37531"/>
    <cellStyle name="Финансовый 2 2 41 3 3" xfId="9410"/>
    <cellStyle name="Финансовый 2 2 41 3 4" xfId="31732"/>
    <cellStyle name="Финансовый 2 2 41 4" xfId="934"/>
    <cellStyle name="Финансовый 2 2 41 4 2" xfId="15262"/>
    <cellStyle name="Финансовый 2 2 41 4 2 2" xfId="37577"/>
    <cellStyle name="Финансовый 2 2 41 4 3" xfId="9456"/>
    <cellStyle name="Финансовый 2 2 41 4 4" xfId="31776"/>
    <cellStyle name="Финансовый 2 2 41 5" xfId="1092"/>
    <cellStyle name="Финансовый 2 2 41 5 2" xfId="15405"/>
    <cellStyle name="Финансовый 2 2 41 5 2 2" xfId="37720"/>
    <cellStyle name="Финансовый 2 2 41 5 3" xfId="9599"/>
    <cellStyle name="Финансовый 2 2 41 5 4" xfId="31918"/>
    <cellStyle name="Финансовый 2 2 41 6" xfId="1150"/>
    <cellStyle name="Финансовый 2 2 41 6 2" xfId="15451"/>
    <cellStyle name="Финансовый 2 2 41 6 2 2" xfId="37766"/>
    <cellStyle name="Финансовый 2 2 41 6 3" xfId="9645"/>
    <cellStyle name="Финансовый 2 2 41 6 4" xfId="31962"/>
    <cellStyle name="Финансовый 2 2 41 7" xfId="1302"/>
    <cellStyle name="Финансовый 2 2 41 7 2" xfId="15559"/>
    <cellStyle name="Финансовый 2 2 41 7 2 2" xfId="37874"/>
    <cellStyle name="Финансовый 2 2 41 7 3" xfId="9753"/>
    <cellStyle name="Финансовый 2 2 41 7 4" xfId="32068"/>
    <cellStyle name="Финансовый 2 2 41 8" xfId="1434"/>
    <cellStyle name="Финансовый 2 2 41 8 2" xfId="15677"/>
    <cellStyle name="Финансовый 2 2 41 8 2 2" xfId="37992"/>
    <cellStyle name="Финансовый 2 2 41 8 3" xfId="9871"/>
    <cellStyle name="Финансовый 2 2 41 8 4" xfId="32186"/>
    <cellStyle name="Финансовый 2 2 41 9" xfId="1719"/>
    <cellStyle name="Финансовый 2 2 41 9 2" xfId="15945"/>
    <cellStyle name="Финансовый 2 2 41 9 2 2" xfId="38260"/>
    <cellStyle name="Финансовый 2 2 41 9 3" xfId="10139"/>
    <cellStyle name="Финансовый 2 2 41 9 4" xfId="32454"/>
    <cellStyle name="Финансовый 2 2 42" xfId="206"/>
    <cellStyle name="Финансовый 2 2 42 10" xfId="1462"/>
    <cellStyle name="Финансовый 2 2 42 10 2" xfId="15704"/>
    <cellStyle name="Финансовый 2 2 42 10 2 2" xfId="38019"/>
    <cellStyle name="Финансовый 2 2 42 10 3" xfId="9898"/>
    <cellStyle name="Финансовый 2 2 42 10 4" xfId="32213"/>
    <cellStyle name="Финансовый 2 2 42 11" xfId="1870"/>
    <cellStyle name="Финансовый 2 2 42 11 2" xfId="16083"/>
    <cellStyle name="Финансовый 2 2 42 11 2 2" xfId="38398"/>
    <cellStyle name="Финансовый 2 2 42 11 3" xfId="10277"/>
    <cellStyle name="Финансовый 2 2 42 11 4" xfId="32592"/>
    <cellStyle name="Финансовый 2 2 42 12" xfId="2108"/>
    <cellStyle name="Финансовый 2 2 42 12 2" xfId="16279"/>
    <cellStyle name="Финансовый 2 2 42 12 2 2" xfId="38594"/>
    <cellStyle name="Финансовый 2 2 42 12 3" xfId="10473"/>
    <cellStyle name="Финансовый 2 2 42 12 4" xfId="32788"/>
    <cellStyle name="Финансовый 2 2 42 13" xfId="2343"/>
    <cellStyle name="Финансовый 2 2 42 13 2" xfId="16472"/>
    <cellStyle name="Финансовый 2 2 42 13 2 2" xfId="38787"/>
    <cellStyle name="Финансовый 2 2 42 13 3" xfId="10666"/>
    <cellStyle name="Финансовый 2 2 42 13 4" xfId="32981"/>
    <cellStyle name="Финансовый 2 2 42 14" xfId="2575"/>
    <cellStyle name="Финансовый 2 2 42 14 2" xfId="16662"/>
    <cellStyle name="Финансовый 2 2 42 14 2 2" xfId="38977"/>
    <cellStyle name="Финансовый 2 2 42 14 3" xfId="10856"/>
    <cellStyle name="Финансовый 2 2 42 14 4" xfId="33171"/>
    <cellStyle name="Финансовый 2 2 42 15" xfId="2798"/>
    <cellStyle name="Финансовый 2 2 42 15 2" xfId="16845"/>
    <cellStyle name="Финансовый 2 2 42 15 2 2" xfId="39160"/>
    <cellStyle name="Финансовый 2 2 42 15 3" xfId="11039"/>
    <cellStyle name="Финансовый 2 2 42 15 4" xfId="33354"/>
    <cellStyle name="Финансовый 2 2 42 16" xfId="3013"/>
    <cellStyle name="Финансовый 2 2 42 16 2" xfId="17020"/>
    <cellStyle name="Финансовый 2 2 42 16 2 2" xfId="39335"/>
    <cellStyle name="Финансовый 2 2 42 16 3" xfId="11214"/>
    <cellStyle name="Финансовый 2 2 42 16 4" xfId="33529"/>
    <cellStyle name="Финансовый 2 2 42 17" xfId="3217"/>
    <cellStyle name="Финансовый 2 2 42 17 2" xfId="17185"/>
    <cellStyle name="Финансовый 2 2 42 17 2 2" xfId="39500"/>
    <cellStyle name="Финансовый 2 2 42 17 3" xfId="11379"/>
    <cellStyle name="Финансовый 2 2 42 17 4" xfId="33694"/>
    <cellStyle name="Финансовый 2 2 42 18" xfId="3405"/>
    <cellStyle name="Финансовый 2 2 42 18 2" xfId="17334"/>
    <cellStyle name="Финансовый 2 2 42 18 2 2" xfId="39649"/>
    <cellStyle name="Финансовый 2 2 42 18 3" xfId="11528"/>
    <cellStyle name="Финансовый 2 2 42 18 4" xfId="33843"/>
    <cellStyle name="Финансовый 2 2 42 19" xfId="3579"/>
    <cellStyle name="Финансовый 2 2 42 19 2" xfId="17470"/>
    <cellStyle name="Финансовый 2 2 42 19 2 2" xfId="39785"/>
    <cellStyle name="Финансовый 2 2 42 19 3" xfId="11664"/>
    <cellStyle name="Финансовый 2 2 42 19 4" xfId="33979"/>
    <cellStyle name="Финансовый 2 2 42 2" xfId="547"/>
    <cellStyle name="Финансовый 2 2 42 2 10" xfId="1448"/>
    <cellStyle name="Финансовый 2 2 42 2 11" xfId="1820"/>
    <cellStyle name="Финансовый 2 2 42 2 12" xfId="2058"/>
    <cellStyle name="Финансовый 2 2 42 2 13" xfId="2293"/>
    <cellStyle name="Финансовый 2 2 42 2 14" xfId="2526"/>
    <cellStyle name="Финансовый 2 2 42 2 15" xfId="2752"/>
    <cellStyle name="Финансовый 2 2 42 2 16" xfId="2970"/>
    <cellStyle name="Финансовый 2 2 42 2 17" xfId="3178"/>
    <cellStyle name="Финансовый 2 2 42 2 18" xfId="3367"/>
    <cellStyle name="Финансовый 2 2 42 2 19" xfId="8122"/>
    <cellStyle name="Финансовый 2 2 42 2 2" xfId="764"/>
    <cellStyle name="Финансовый 2 2 42 2 2 10" xfId="3203"/>
    <cellStyle name="Финансовый 2 2 42 2 2 10 2" xfId="17173"/>
    <cellStyle name="Финансовый 2 2 42 2 2 10 2 2" xfId="39488"/>
    <cellStyle name="Финансовый 2 2 42 2 2 10 3" xfId="11367"/>
    <cellStyle name="Финансовый 2 2 42 2 2 10 4" xfId="33682"/>
    <cellStyle name="Финансовый 2 2 42 2 2 11" xfId="3391"/>
    <cellStyle name="Финансовый 2 2 42 2 2 11 2" xfId="17322"/>
    <cellStyle name="Финансовый 2 2 42 2 2 11 2 2" xfId="39637"/>
    <cellStyle name="Финансовый 2 2 42 2 2 11 3" xfId="11516"/>
    <cellStyle name="Финансовый 2 2 42 2 2 11 4" xfId="33831"/>
    <cellStyle name="Финансовый 2 2 42 2 2 12" xfId="3568"/>
    <cellStyle name="Финансовый 2 2 42 2 2 12 2" xfId="17461"/>
    <cellStyle name="Финансовый 2 2 42 2 2 12 2 2" xfId="39776"/>
    <cellStyle name="Финансовый 2 2 42 2 2 12 3" xfId="11655"/>
    <cellStyle name="Финансовый 2 2 42 2 2 12 4" xfId="33970"/>
    <cellStyle name="Финансовый 2 2 42 2 2 13" xfId="3727"/>
    <cellStyle name="Финансовый 2 2 42 2 2 13 2" xfId="17582"/>
    <cellStyle name="Финансовый 2 2 42 2 2 13 2 2" xfId="39897"/>
    <cellStyle name="Финансовый 2 2 42 2 2 13 3" xfId="11776"/>
    <cellStyle name="Финансовый 2 2 42 2 2 13 4" xfId="34091"/>
    <cellStyle name="Финансовый 2 2 42 2 2 14" xfId="3857"/>
    <cellStyle name="Финансовый 2 2 42 2 2 14 2" xfId="17679"/>
    <cellStyle name="Финансовый 2 2 42 2 2 14 2 2" xfId="39994"/>
    <cellStyle name="Финансовый 2 2 42 2 2 14 3" xfId="11873"/>
    <cellStyle name="Финансовый 2 2 42 2 2 14 4" xfId="34188"/>
    <cellStyle name="Финансовый 2 2 42 2 2 15" xfId="8441"/>
    <cellStyle name="Финансовый 2 2 42 2 2 15 2" xfId="20196"/>
    <cellStyle name="Финансовый 2 2 42 2 2 15 2 2" xfId="42511"/>
    <cellStyle name="Финансовый 2 2 42 2 2 15 3" xfId="14390"/>
    <cellStyle name="Финансовый 2 2 42 2 2 15 4" xfId="36705"/>
    <cellStyle name="Финансовый 2 2 42 2 2 16" xfId="7429"/>
    <cellStyle name="Финансовый 2 2 42 2 2 16 2" xfId="19619"/>
    <cellStyle name="Финансовый 2 2 42 2 2 16 2 2" xfId="41934"/>
    <cellStyle name="Финансовый 2 2 42 2 2 16 3" xfId="13813"/>
    <cellStyle name="Финансовый 2 2 42 2 2 16 4" xfId="36128"/>
    <cellStyle name="Финансовый 2 2 42 2 2 17" xfId="306"/>
    <cellStyle name="Финансовый 2 2 42 2 2 17 2" xfId="14727"/>
    <cellStyle name="Финансовый 2 2 42 2 2 17 2 2" xfId="37042"/>
    <cellStyle name="Финансовый 2 2 42 2 2 17 3" xfId="8921"/>
    <cellStyle name="Финансовый 2 2 42 2 2 17 4" xfId="31256"/>
    <cellStyle name="Финансовый 2 2 42 2 2 2" xfId="769"/>
    <cellStyle name="Финансовый 2 2 42 2 2 2 2" xfId="15144"/>
    <cellStyle name="Финансовый 2 2 42 2 2 2 2 2" xfId="37459"/>
    <cellStyle name="Финансовый 2 2 42 2 2 2 3" xfId="9338"/>
    <cellStyle name="Финансовый 2 2 42 2 2 2 4" xfId="31661"/>
    <cellStyle name="Финансовый 2 2 42 2 2 3" xfId="1518"/>
    <cellStyle name="Финансовый 2 2 42 2 2 3 2" xfId="15758"/>
    <cellStyle name="Финансовый 2 2 42 2 2 3 2 2" xfId="38073"/>
    <cellStyle name="Финансовый 2 2 42 2 2 3 3" xfId="9952"/>
    <cellStyle name="Финансовый 2 2 42 2 2 3 4" xfId="32267"/>
    <cellStyle name="Финансовый 2 2 42 2 2 4" xfId="1851"/>
    <cellStyle name="Финансовый 2 2 42 2 2 4 2" xfId="16067"/>
    <cellStyle name="Финансовый 2 2 42 2 2 4 2 2" xfId="38382"/>
    <cellStyle name="Финансовый 2 2 42 2 2 4 3" xfId="10261"/>
    <cellStyle name="Финансовый 2 2 42 2 2 4 4" xfId="32576"/>
    <cellStyle name="Финансовый 2 2 42 2 2 5" xfId="2089"/>
    <cellStyle name="Финансовый 2 2 42 2 2 5 2" xfId="16263"/>
    <cellStyle name="Финансовый 2 2 42 2 2 5 2 2" xfId="38578"/>
    <cellStyle name="Финансовый 2 2 42 2 2 5 3" xfId="10457"/>
    <cellStyle name="Финансовый 2 2 42 2 2 5 4" xfId="32772"/>
    <cellStyle name="Финансовый 2 2 42 2 2 6" xfId="2324"/>
    <cellStyle name="Финансовый 2 2 42 2 2 6 2" xfId="16456"/>
    <cellStyle name="Финансовый 2 2 42 2 2 6 2 2" xfId="38771"/>
    <cellStyle name="Финансовый 2 2 42 2 2 6 3" xfId="10650"/>
    <cellStyle name="Финансовый 2 2 42 2 2 6 4" xfId="32965"/>
    <cellStyle name="Финансовый 2 2 42 2 2 7" xfId="2556"/>
    <cellStyle name="Финансовый 2 2 42 2 2 7 2" xfId="16646"/>
    <cellStyle name="Финансовый 2 2 42 2 2 7 2 2" xfId="38961"/>
    <cellStyle name="Финансовый 2 2 42 2 2 7 3" xfId="10840"/>
    <cellStyle name="Финансовый 2 2 42 2 2 7 4" xfId="33155"/>
    <cellStyle name="Финансовый 2 2 42 2 2 8" xfId="2781"/>
    <cellStyle name="Финансовый 2 2 42 2 2 8 2" xfId="16830"/>
    <cellStyle name="Финансовый 2 2 42 2 2 8 2 2" xfId="39145"/>
    <cellStyle name="Финансовый 2 2 42 2 2 8 3" xfId="11024"/>
    <cellStyle name="Финансовый 2 2 42 2 2 8 4" xfId="33339"/>
    <cellStyle name="Финансовый 2 2 42 2 2 9" xfId="2997"/>
    <cellStyle name="Финансовый 2 2 42 2 2 9 2" xfId="17006"/>
    <cellStyle name="Финансовый 2 2 42 2 2 9 2 2" xfId="39321"/>
    <cellStyle name="Финансовый 2 2 42 2 2 9 3" xfId="11200"/>
    <cellStyle name="Финансовый 2 2 42 2 2 9 4" xfId="33515"/>
    <cellStyle name="Финансовый 2 2 42 2 20" xfId="6920"/>
    <cellStyle name="Финансовый 2 2 42 2 21" xfId="5348"/>
    <cellStyle name="Финансовый 2 2 42 2 22" xfId="14948"/>
    <cellStyle name="Финансовый 2 2 42 2 22 2" xfId="37263"/>
    <cellStyle name="Финансовый 2 2 42 2 23" xfId="9142"/>
    <cellStyle name="Финансовый 2 2 42 2 24" xfId="31475"/>
    <cellStyle name="Финансовый 2 2 42 2 3" xfId="884"/>
    <cellStyle name="Финансовый 2 2 42 2 3 2" xfId="15221"/>
    <cellStyle name="Финансовый 2 2 42 2 3 2 2" xfId="37536"/>
    <cellStyle name="Финансовый 2 2 42 2 3 3" xfId="9415"/>
    <cellStyle name="Финансовый 2 2 42 2 3 4" xfId="31737"/>
    <cellStyle name="Финансовый 2 2 42 2 4" xfId="942"/>
    <cellStyle name="Финансовый 2 2 42 2 4 2" xfId="15267"/>
    <cellStyle name="Финансовый 2 2 42 2 4 2 2" xfId="37582"/>
    <cellStyle name="Финансовый 2 2 42 2 4 3" xfId="9461"/>
    <cellStyle name="Финансовый 2 2 42 2 4 4" xfId="31781"/>
    <cellStyle name="Финансовый 2 2 42 2 5" xfId="1100"/>
    <cellStyle name="Финансовый 2 2 42 2 5 2" xfId="15410"/>
    <cellStyle name="Финансовый 2 2 42 2 5 2 2" xfId="37725"/>
    <cellStyle name="Финансовый 2 2 42 2 5 3" xfId="9604"/>
    <cellStyle name="Финансовый 2 2 42 2 5 4" xfId="31923"/>
    <cellStyle name="Финансовый 2 2 42 2 6" xfId="1158"/>
    <cellStyle name="Финансовый 2 2 42 2 6 2" xfId="15456"/>
    <cellStyle name="Финансовый 2 2 42 2 6 2 2" xfId="37771"/>
    <cellStyle name="Финансовый 2 2 42 2 6 3" xfId="9650"/>
    <cellStyle name="Финансовый 2 2 42 2 6 4" xfId="31967"/>
    <cellStyle name="Финансовый 2 2 42 2 7" xfId="1514"/>
    <cellStyle name="Финансовый 2 2 42 2 8" xfId="1403"/>
    <cellStyle name="Финансовый 2 2 42 2 9" xfId="1706"/>
    <cellStyle name="Финансовый 2 2 42 20" xfId="3737"/>
    <cellStyle name="Финансовый 2 2 42 20 2" xfId="17590"/>
    <cellStyle name="Финансовый 2 2 42 20 2 2" xfId="39905"/>
    <cellStyle name="Финансовый 2 2 42 20 3" xfId="11784"/>
    <cellStyle name="Финансовый 2 2 42 20 4" xfId="34099"/>
    <cellStyle name="Финансовый 2 2 42 21" xfId="4420"/>
    <cellStyle name="Финансовый 2 2 42 21 2" xfId="17993"/>
    <cellStyle name="Финансовый 2 2 42 21 2 2" xfId="40308"/>
    <cellStyle name="Финансовый 2 2 42 21 3" xfId="12187"/>
    <cellStyle name="Финансовый 2 2 42 21 4" xfId="34502"/>
    <cellStyle name="Финансовый 2 2 42 22" xfId="6107"/>
    <cellStyle name="Финансовый 2 2 42 22 2" xfId="18904"/>
    <cellStyle name="Финансовый 2 2 42 22 2 2" xfId="41219"/>
    <cellStyle name="Финансовый 2 2 42 22 3" xfId="13098"/>
    <cellStyle name="Финансовый 2 2 42 22 4" xfId="35413"/>
    <cellStyle name="Финансовый 2 2 42 23" xfId="8331"/>
    <cellStyle name="Финансовый 2 2 42 23 2" xfId="20128"/>
    <cellStyle name="Финансовый 2 2 42 23 2 2" xfId="42443"/>
    <cellStyle name="Финансовый 2 2 42 23 3" xfId="14322"/>
    <cellStyle name="Финансовый 2 2 42 23 4" xfId="36637"/>
    <cellStyle name="Финансовый 2 2 42 24" xfId="14677"/>
    <cellStyle name="Финансовый 2 2 42 24 2" xfId="36992"/>
    <cellStyle name="Финансовый 2 2 42 25" xfId="8871"/>
    <cellStyle name="Финансовый 2 2 42 26" xfId="31207"/>
    <cellStyle name="Финансовый 2 2 42 3" xfId="810"/>
    <cellStyle name="Финансовый 2 2 42 3 2" xfId="15157"/>
    <cellStyle name="Финансовый 2 2 42 3 2 2" xfId="37472"/>
    <cellStyle name="Финансовый 2 2 42 3 3" xfId="9351"/>
    <cellStyle name="Финансовый 2 2 42 3 4" xfId="31673"/>
    <cellStyle name="Финансовый 2 2 42 4" xfId="821"/>
    <cellStyle name="Финансовый 2 2 42 4 2" xfId="15164"/>
    <cellStyle name="Финансовый 2 2 42 4 2 2" xfId="37479"/>
    <cellStyle name="Финансовый 2 2 42 4 3" xfId="9358"/>
    <cellStyle name="Финансовый 2 2 42 4 4" xfId="31680"/>
    <cellStyle name="Финансовый 2 2 42 5" xfId="879"/>
    <cellStyle name="Финансовый 2 2 42 6" xfId="937"/>
    <cellStyle name="Финансовый 2 2 42 7" xfId="1095"/>
    <cellStyle name="Финансовый 2 2 42 8" xfId="1153"/>
    <cellStyle name="Финансовый 2 2 42 9" xfId="1306"/>
    <cellStyle name="Финансовый 2 2 42 9 2" xfId="15563"/>
    <cellStyle name="Финансовый 2 2 42 9 2 2" xfId="37878"/>
    <cellStyle name="Финансовый 2 2 42 9 3" xfId="9757"/>
    <cellStyle name="Финансовый 2 2 42 9 4" xfId="32072"/>
    <cellStyle name="Финансовый 2 2 43" xfId="554"/>
    <cellStyle name="Финансовый 2 2 44" xfId="561"/>
    <cellStyle name="Финансовый 2 2 45" xfId="566"/>
    <cellStyle name="Финансовый 2 2 46" xfId="579"/>
    <cellStyle name="Финансовый 2 2 46 2" xfId="14972"/>
    <cellStyle name="Финансовый 2 2 46 2 2" xfId="37287"/>
    <cellStyle name="Финансовый 2 2 46 3" xfId="9166"/>
    <cellStyle name="Финансовый 2 2 46 4" xfId="31494"/>
    <cellStyle name="Финансовый 2 2 47" xfId="595"/>
    <cellStyle name="Финансовый 2 2 47 2" xfId="14981"/>
    <cellStyle name="Финансовый 2 2 47 2 2" xfId="37296"/>
    <cellStyle name="Финансовый 2 2 47 3" xfId="9175"/>
    <cellStyle name="Финансовый 2 2 47 4" xfId="31501"/>
    <cellStyle name="Финансовый 2 2 48" xfId="603"/>
    <cellStyle name="Финансовый 2 2 48 2" xfId="14987"/>
    <cellStyle name="Финансовый 2 2 48 2 2" xfId="37302"/>
    <cellStyle name="Финансовый 2 2 48 3" xfId="9181"/>
    <cellStyle name="Финансовый 2 2 48 4" xfId="31506"/>
    <cellStyle name="Финансовый 2 2 49" xfId="616"/>
    <cellStyle name="Финансовый 2 2 49 2" xfId="14996"/>
    <cellStyle name="Финансовый 2 2 49 2 2" xfId="37311"/>
    <cellStyle name="Финансовый 2 2 49 3" xfId="9190"/>
    <cellStyle name="Финансовый 2 2 49 4" xfId="31515"/>
    <cellStyle name="Финансовый 2 2 5" xfId="25"/>
    <cellStyle name="Финансовый 2 2 5 10" xfId="1770"/>
    <cellStyle name="Финансовый 2 2 5 10 2" xfId="15991"/>
    <cellStyle name="Финансовый 2 2 5 10 2 2" xfId="38306"/>
    <cellStyle name="Финансовый 2 2 5 10 3" xfId="10185"/>
    <cellStyle name="Финансовый 2 2 5 10 4" xfId="32500"/>
    <cellStyle name="Финансовый 2 2 5 11" xfId="2008"/>
    <cellStyle name="Финансовый 2 2 5 11 2" xfId="16187"/>
    <cellStyle name="Финансовый 2 2 5 11 2 2" xfId="38502"/>
    <cellStyle name="Финансовый 2 2 5 11 3" xfId="10381"/>
    <cellStyle name="Финансовый 2 2 5 11 4" xfId="32696"/>
    <cellStyle name="Финансовый 2 2 5 12" xfId="2244"/>
    <cellStyle name="Финансовый 2 2 5 12 2" xfId="16381"/>
    <cellStyle name="Финансовый 2 2 5 12 2 2" xfId="38696"/>
    <cellStyle name="Финансовый 2 2 5 12 3" xfId="10575"/>
    <cellStyle name="Финансовый 2 2 5 12 4" xfId="32890"/>
    <cellStyle name="Финансовый 2 2 5 13" xfId="2478"/>
    <cellStyle name="Финансовый 2 2 5 13 2" xfId="16573"/>
    <cellStyle name="Финансовый 2 2 5 13 2 2" xfId="38888"/>
    <cellStyle name="Финансовый 2 2 5 13 3" xfId="10767"/>
    <cellStyle name="Финансовый 2 2 5 13 4" xfId="33082"/>
    <cellStyle name="Финансовый 2 2 5 14" xfId="2707"/>
    <cellStyle name="Финансовый 2 2 5 14 2" xfId="16761"/>
    <cellStyle name="Финансовый 2 2 5 14 2 2" xfId="39076"/>
    <cellStyle name="Финансовый 2 2 5 14 3" xfId="10955"/>
    <cellStyle name="Финансовый 2 2 5 14 4" xfId="33270"/>
    <cellStyle name="Финансовый 2 2 5 15" xfId="2927"/>
    <cellStyle name="Финансовый 2 2 5 15 2" xfId="16941"/>
    <cellStyle name="Финансовый 2 2 5 15 2 2" xfId="39256"/>
    <cellStyle name="Финансовый 2 2 5 15 3" xfId="11135"/>
    <cellStyle name="Финансовый 2 2 5 15 4" xfId="33450"/>
    <cellStyle name="Финансовый 2 2 5 16" xfId="3138"/>
    <cellStyle name="Финансовый 2 2 5 16 2" xfId="17113"/>
    <cellStyle name="Финансовый 2 2 5 16 2 2" xfId="39428"/>
    <cellStyle name="Финансовый 2 2 5 16 3" xfId="11307"/>
    <cellStyle name="Финансовый 2 2 5 16 4" xfId="33622"/>
    <cellStyle name="Финансовый 2 2 5 17" xfId="3333"/>
    <cellStyle name="Финансовый 2 2 5 17 2" xfId="17269"/>
    <cellStyle name="Финансовый 2 2 5 17 2 2" xfId="39584"/>
    <cellStyle name="Финансовый 2 2 5 17 3" xfId="11463"/>
    <cellStyle name="Финансовый 2 2 5 17 4" xfId="33778"/>
    <cellStyle name="Финансовый 2 2 5 18" xfId="3517"/>
    <cellStyle name="Финансовый 2 2 5 18 2" xfId="17414"/>
    <cellStyle name="Финансовый 2 2 5 18 2 2" xfId="39729"/>
    <cellStyle name="Финансовый 2 2 5 18 3" xfId="11608"/>
    <cellStyle name="Финансовый 2 2 5 18 4" xfId="33923"/>
    <cellStyle name="Финансовый 2 2 5 19" xfId="7028"/>
    <cellStyle name="Финансовый 2 2 5 19 2" xfId="19404"/>
    <cellStyle name="Финансовый 2 2 5 19 2 2" xfId="41719"/>
    <cellStyle name="Финансовый 2 2 5 19 3" xfId="13598"/>
    <cellStyle name="Финансовый 2 2 5 19 4" xfId="35913"/>
    <cellStyle name="Финансовый 2 2 5 2" xfId="370"/>
    <cellStyle name="Финансовый 2 2 5 2 10" xfId="2130"/>
    <cellStyle name="Финансовый 2 2 5 2 10 2" xfId="16301"/>
    <cellStyle name="Финансовый 2 2 5 2 10 2 2" xfId="38616"/>
    <cellStyle name="Финансовый 2 2 5 2 10 3" xfId="10495"/>
    <cellStyle name="Финансовый 2 2 5 2 10 4" xfId="32810"/>
    <cellStyle name="Финансовый 2 2 5 2 11" xfId="2365"/>
    <cellStyle name="Финансовый 2 2 5 2 11 2" xfId="16494"/>
    <cellStyle name="Финансовый 2 2 5 2 11 2 2" xfId="38809"/>
    <cellStyle name="Финансовый 2 2 5 2 11 3" xfId="10688"/>
    <cellStyle name="Финансовый 2 2 5 2 11 4" xfId="33003"/>
    <cellStyle name="Финансовый 2 2 5 2 12" xfId="2597"/>
    <cellStyle name="Финансовый 2 2 5 2 12 2" xfId="16684"/>
    <cellStyle name="Финансовый 2 2 5 2 12 2 2" xfId="38999"/>
    <cellStyle name="Финансовый 2 2 5 2 12 3" xfId="10878"/>
    <cellStyle name="Финансовый 2 2 5 2 12 4" xfId="33193"/>
    <cellStyle name="Финансовый 2 2 5 2 13" xfId="2819"/>
    <cellStyle name="Финансовый 2 2 5 2 13 2" xfId="16866"/>
    <cellStyle name="Финансовый 2 2 5 2 13 2 2" xfId="39181"/>
    <cellStyle name="Финансовый 2 2 5 2 13 3" xfId="11060"/>
    <cellStyle name="Финансовый 2 2 5 2 13 4" xfId="33375"/>
    <cellStyle name="Финансовый 2 2 5 2 14" xfId="3032"/>
    <cellStyle name="Финансовый 2 2 5 2 14 2" xfId="17039"/>
    <cellStyle name="Финансовый 2 2 5 2 14 2 2" xfId="39354"/>
    <cellStyle name="Финансовый 2 2 5 2 14 3" xfId="11233"/>
    <cellStyle name="Финансовый 2 2 5 2 14 4" xfId="33548"/>
    <cellStyle name="Финансовый 2 2 5 2 15" xfId="8214"/>
    <cellStyle name="Финансовый 2 2 5 2 15 2" xfId="20062"/>
    <cellStyle name="Финансовый 2 2 5 2 15 2 2" xfId="42377"/>
    <cellStyle name="Финансовый 2 2 5 2 15 3" xfId="14256"/>
    <cellStyle name="Финансовый 2 2 5 2 15 4" xfId="36571"/>
    <cellStyle name="Финансовый 2 2 5 2 16" xfId="5813"/>
    <cellStyle name="Финансовый 2 2 5 2 16 2" xfId="18750"/>
    <cellStyle name="Финансовый 2 2 5 2 16 2 2" xfId="41065"/>
    <cellStyle name="Финансовый 2 2 5 2 16 3" xfId="12944"/>
    <cellStyle name="Финансовый 2 2 5 2 16 4" xfId="35259"/>
    <cellStyle name="Финансовый 2 2 5 2 17" xfId="8219"/>
    <cellStyle name="Финансовый 2 2 5 2 17 2" xfId="20064"/>
    <cellStyle name="Финансовый 2 2 5 2 17 2 2" xfId="42379"/>
    <cellStyle name="Финансовый 2 2 5 2 17 3" xfId="14258"/>
    <cellStyle name="Финансовый 2 2 5 2 17 4" xfId="36573"/>
    <cellStyle name="Финансовый 2 2 5 2 18" xfId="14773"/>
    <cellStyle name="Финансовый 2 2 5 2 18 2" xfId="37088"/>
    <cellStyle name="Финансовый 2 2 5 2 19" xfId="8967"/>
    <cellStyle name="Финансовый 2 2 5 2 2" xfId="620"/>
    <cellStyle name="Финансовый 2 2 5 2 2 2" xfId="15000"/>
    <cellStyle name="Финансовый 2 2 5 2 2 2 2" xfId="37315"/>
    <cellStyle name="Финансовый 2 2 5 2 2 3" xfId="9194"/>
    <cellStyle name="Финансовый 2 2 5 2 2 4" xfId="31518"/>
    <cellStyle name="Финансовый 2 2 5 2 20" xfId="31300"/>
    <cellStyle name="Финансовый 2 2 5 2 3" xfId="1378"/>
    <cellStyle name="Финансовый 2 2 5 2 3 2" xfId="15626"/>
    <cellStyle name="Финансовый 2 2 5 2 3 2 2" xfId="37941"/>
    <cellStyle name="Финансовый 2 2 5 2 3 3" xfId="9820"/>
    <cellStyle name="Финансовый 2 2 5 2 3 4" xfId="32135"/>
    <cellStyle name="Финансовый 2 2 5 2 4" xfId="1277"/>
    <cellStyle name="Финансовый 2 2 5 2 4 2" xfId="15535"/>
    <cellStyle name="Финансовый 2 2 5 2 4 2 2" xfId="37850"/>
    <cellStyle name="Финансовый 2 2 5 2 4 3" xfId="9729"/>
    <cellStyle name="Финансовый 2 2 5 2 4 4" xfId="32044"/>
    <cellStyle name="Финансовый 2 2 5 2 5" xfId="1661"/>
    <cellStyle name="Финансовый 2 2 5 2 5 2" xfId="15890"/>
    <cellStyle name="Финансовый 2 2 5 2 5 2 2" xfId="38205"/>
    <cellStyle name="Финансовый 2 2 5 2 5 3" xfId="10084"/>
    <cellStyle name="Финансовый 2 2 5 2 5 4" xfId="32399"/>
    <cellStyle name="Финансовый 2 2 5 2 6" xfId="1384"/>
    <cellStyle name="Финансовый 2 2 5 2 6 2" xfId="15631"/>
    <cellStyle name="Финансовый 2 2 5 2 6 2 2" xfId="37946"/>
    <cellStyle name="Финансовый 2 2 5 2 6 3" xfId="9825"/>
    <cellStyle name="Финансовый 2 2 5 2 6 4" xfId="32140"/>
    <cellStyle name="Финансовый 2 2 5 2 7" xfId="508"/>
    <cellStyle name="Финансовый 2 2 5 2 7 2" xfId="14910"/>
    <cellStyle name="Финансовый 2 2 5 2 7 2 2" xfId="37225"/>
    <cellStyle name="Финансовый 2 2 5 2 7 3" xfId="9104"/>
    <cellStyle name="Финансовый 2 2 5 2 7 4" xfId="31437"/>
    <cellStyle name="Финансовый 2 2 5 2 8" xfId="1545"/>
    <cellStyle name="Финансовый 2 2 5 2 8 2" xfId="15785"/>
    <cellStyle name="Финансовый 2 2 5 2 8 2 2" xfId="38100"/>
    <cellStyle name="Финансовый 2 2 5 2 8 3" xfId="9979"/>
    <cellStyle name="Финансовый 2 2 5 2 8 4" xfId="32294"/>
    <cellStyle name="Финансовый 2 2 5 2 9" xfId="1892"/>
    <cellStyle name="Финансовый 2 2 5 2 9 2" xfId="16105"/>
    <cellStyle name="Финансовый 2 2 5 2 9 2 2" xfId="38420"/>
    <cellStyle name="Финансовый 2 2 5 2 9 3" xfId="10299"/>
    <cellStyle name="Финансовый 2 2 5 2 9 4" xfId="32614"/>
    <cellStyle name="Финансовый 2 2 5 20" xfId="5137"/>
    <cellStyle name="Финансовый 2 2 5 20 2" xfId="18387"/>
    <cellStyle name="Финансовый 2 2 5 20 2 2" xfId="40702"/>
    <cellStyle name="Финансовый 2 2 5 20 3" xfId="12581"/>
    <cellStyle name="Финансовый 2 2 5 20 4" xfId="34896"/>
    <cellStyle name="Финансовый 2 2 5 21" xfId="7161"/>
    <cellStyle name="Финансовый 2 2 5 21 2" xfId="19474"/>
    <cellStyle name="Финансовый 2 2 5 21 2 2" xfId="41789"/>
    <cellStyle name="Финансовый 2 2 5 21 3" xfId="13668"/>
    <cellStyle name="Финансовый 2 2 5 21 4" xfId="35983"/>
    <cellStyle name="Финансовый 2 2 5 22" xfId="14571"/>
    <cellStyle name="Финансовый 2 2 5 22 2" xfId="36886"/>
    <cellStyle name="Финансовый 2 2 5 23" xfId="8765"/>
    <cellStyle name="Финансовый 2 2 5 24" xfId="31133"/>
    <cellStyle name="Финансовый 2 2 5 3" xfId="680"/>
    <cellStyle name="Финансовый 2 2 5 3 2" xfId="15059"/>
    <cellStyle name="Финансовый 2 2 5 3 2 2" xfId="37374"/>
    <cellStyle name="Финансовый 2 2 5 3 3" xfId="9253"/>
    <cellStyle name="Финансовый 2 2 5 3 4" xfId="31577"/>
    <cellStyle name="Финансовый 2 2 5 4" xfId="897"/>
    <cellStyle name="Финансовый 2 2 5 4 2" xfId="15228"/>
    <cellStyle name="Финансовый 2 2 5 4 2 2" xfId="37543"/>
    <cellStyle name="Финансовый 2 2 5 4 3" xfId="9422"/>
    <cellStyle name="Финансовый 2 2 5 4 4" xfId="31742"/>
    <cellStyle name="Финансовый 2 2 5 5" xfId="977"/>
    <cellStyle name="Финансовый 2 2 5 5 2" xfId="15290"/>
    <cellStyle name="Финансовый 2 2 5 5 2 2" xfId="37605"/>
    <cellStyle name="Финансовый 2 2 5 5 3" xfId="9484"/>
    <cellStyle name="Финансовый 2 2 5 5 4" xfId="31803"/>
    <cellStyle name="Финансовый 2 2 5 6" xfId="1113"/>
    <cellStyle name="Финансовый 2 2 5 6 2" xfId="15417"/>
    <cellStyle name="Финансовый 2 2 5 6 2 2" xfId="37732"/>
    <cellStyle name="Финансовый 2 2 5 6 3" xfId="9611"/>
    <cellStyle name="Финансовый 2 2 5 6 4" xfId="31928"/>
    <cellStyle name="Финансовый 2 2 5 7" xfId="473"/>
    <cellStyle name="Финансовый 2 2 5 7 2" xfId="14876"/>
    <cellStyle name="Финансовый 2 2 5 7 2 2" xfId="37191"/>
    <cellStyle name="Финансовый 2 2 5 7 3" xfId="9070"/>
    <cellStyle name="Финансовый 2 2 5 7 4" xfId="31403"/>
    <cellStyle name="Финансовый 2 2 5 8" xfId="1538"/>
    <cellStyle name="Финансовый 2 2 5 8 2" xfId="15778"/>
    <cellStyle name="Финансовый 2 2 5 8 2 2" xfId="38093"/>
    <cellStyle name="Финансовый 2 2 5 8 3" xfId="9972"/>
    <cellStyle name="Финансовый 2 2 5 8 4" xfId="32287"/>
    <cellStyle name="Финансовый 2 2 5 9" xfId="1320"/>
    <cellStyle name="Финансовый 2 2 5 9 2" xfId="15575"/>
    <cellStyle name="Финансовый 2 2 5 9 2 2" xfId="37890"/>
    <cellStyle name="Финансовый 2 2 5 9 3" xfId="9769"/>
    <cellStyle name="Финансовый 2 2 5 9 4" xfId="32084"/>
    <cellStyle name="Финансовый 2 2 50" xfId="675"/>
    <cellStyle name="Финансовый 2 2 50 2" xfId="15054"/>
    <cellStyle name="Финансовый 2 2 50 2 2" xfId="37369"/>
    <cellStyle name="Финансовый 2 2 50 3" xfId="9248"/>
    <cellStyle name="Финансовый 2 2 50 4" xfId="31572"/>
    <cellStyle name="Финансовый 2 2 51" xfId="965"/>
    <cellStyle name="Финансовый 2 2 51 2" xfId="15281"/>
    <cellStyle name="Финансовый 2 2 51 2 2" xfId="37596"/>
    <cellStyle name="Финансовый 2 2 51 3" xfId="9475"/>
    <cellStyle name="Финансовый 2 2 51 4" xfId="31795"/>
    <cellStyle name="Финансовый 2 2 52" xfId="978"/>
    <cellStyle name="Финансовый 2 2 52 2" xfId="15291"/>
    <cellStyle name="Финансовый 2 2 52 2 2" xfId="37606"/>
    <cellStyle name="Финансовый 2 2 52 3" xfId="9485"/>
    <cellStyle name="Финансовый 2 2 52 4" xfId="31804"/>
    <cellStyle name="Финансовый 2 2 6" xfId="30"/>
    <cellStyle name="Финансовый 2 2 6 10" xfId="2096"/>
    <cellStyle name="Финансовый 2 2 6 10 2" xfId="16269"/>
    <cellStyle name="Финансовый 2 2 6 10 2 2" xfId="38584"/>
    <cellStyle name="Финансовый 2 2 6 10 3" xfId="10463"/>
    <cellStyle name="Финансовый 2 2 6 10 4" xfId="32778"/>
    <cellStyle name="Финансовый 2 2 6 11" xfId="2331"/>
    <cellStyle name="Финансовый 2 2 6 11 2" xfId="16462"/>
    <cellStyle name="Финансовый 2 2 6 11 2 2" xfId="38777"/>
    <cellStyle name="Финансовый 2 2 6 11 3" xfId="10656"/>
    <cellStyle name="Финансовый 2 2 6 11 4" xfId="32971"/>
    <cellStyle name="Финансовый 2 2 6 12" xfId="2563"/>
    <cellStyle name="Финансовый 2 2 6 12 2" xfId="16652"/>
    <cellStyle name="Финансовый 2 2 6 12 2 2" xfId="38967"/>
    <cellStyle name="Финансовый 2 2 6 12 3" xfId="10846"/>
    <cellStyle name="Финансовый 2 2 6 12 4" xfId="33161"/>
    <cellStyle name="Финансовый 2 2 6 13" xfId="2787"/>
    <cellStyle name="Финансовый 2 2 6 13 2" xfId="16835"/>
    <cellStyle name="Финансовый 2 2 6 13 2 2" xfId="39150"/>
    <cellStyle name="Финансовый 2 2 6 13 3" xfId="11029"/>
    <cellStyle name="Финансовый 2 2 6 13 4" xfId="33344"/>
    <cellStyle name="Финансовый 2 2 6 14" xfId="3003"/>
    <cellStyle name="Финансовый 2 2 6 14 2" xfId="17011"/>
    <cellStyle name="Финансовый 2 2 6 14 2 2" xfId="39326"/>
    <cellStyle name="Финансовый 2 2 6 14 3" xfId="11205"/>
    <cellStyle name="Финансовый 2 2 6 14 4" xfId="33520"/>
    <cellStyle name="Финансовый 2 2 6 15" xfId="3208"/>
    <cellStyle name="Финансовый 2 2 6 15 2" xfId="17177"/>
    <cellStyle name="Финансовый 2 2 6 15 2 2" xfId="39492"/>
    <cellStyle name="Финансовый 2 2 6 15 3" xfId="11371"/>
    <cellStyle name="Финансовый 2 2 6 15 4" xfId="33686"/>
    <cellStyle name="Финансовый 2 2 6 16" xfId="3396"/>
    <cellStyle name="Финансовый 2 2 6 16 2" xfId="17326"/>
    <cellStyle name="Финансовый 2 2 6 16 2 2" xfId="39641"/>
    <cellStyle name="Финансовый 2 2 6 16 3" xfId="11520"/>
    <cellStyle name="Финансовый 2 2 6 16 4" xfId="33835"/>
    <cellStyle name="Финансовый 2 2 6 17" xfId="3572"/>
    <cellStyle name="Финансовый 2 2 6 17 2" xfId="17464"/>
    <cellStyle name="Финансовый 2 2 6 17 2 2" xfId="39779"/>
    <cellStyle name="Финансовый 2 2 6 17 3" xfId="11658"/>
    <cellStyle name="Финансовый 2 2 6 17 4" xfId="33973"/>
    <cellStyle name="Финансовый 2 2 6 18" xfId="3731"/>
    <cellStyle name="Финансовый 2 2 6 18 2" xfId="17585"/>
    <cellStyle name="Финансовый 2 2 6 18 2 2" xfId="39900"/>
    <cellStyle name="Финансовый 2 2 6 18 3" xfId="11779"/>
    <cellStyle name="Финансовый 2 2 6 18 4" xfId="34094"/>
    <cellStyle name="Финансовый 2 2 6 19" xfId="6493"/>
    <cellStyle name="Финансовый 2 2 6 19 2" xfId="19116"/>
    <cellStyle name="Финансовый 2 2 6 19 2 2" xfId="41431"/>
    <cellStyle name="Финансовый 2 2 6 19 3" xfId="13310"/>
    <cellStyle name="Финансовый 2 2 6 19 4" xfId="35625"/>
    <cellStyle name="Финансовый 2 2 6 2" xfId="375"/>
    <cellStyle name="Финансовый 2 2 6 2 10" xfId="2303"/>
    <cellStyle name="Финансовый 2 2 6 2 10 2" xfId="16436"/>
    <cellStyle name="Финансовый 2 2 6 2 10 2 2" xfId="38751"/>
    <cellStyle name="Финансовый 2 2 6 2 10 3" xfId="10630"/>
    <cellStyle name="Финансовый 2 2 6 2 10 4" xfId="32945"/>
    <cellStyle name="Финансовый 2 2 6 2 11" xfId="2536"/>
    <cellStyle name="Финансовый 2 2 6 2 11 2" xfId="16627"/>
    <cellStyle name="Финансовый 2 2 6 2 11 2 2" xfId="38942"/>
    <cellStyle name="Финансовый 2 2 6 2 11 3" xfId="10821"/>
    <cellStyle name="Финансовый 2 2 6 2 11 4" xfId="33136"/>
    <cellStyle name="Финансовый 2 2 6 2 12" xfId="2762"/>
    <cellStyle name="Финансовый 2 2 6 2 12 2" xfId="16812"/>
    <cellStyle name="Финансовый 2 2 6 2 12 2 2" xfId="39127"/>
    <cellStyle name="Финансовый 2 2 6 2 12 3" xfId="11006"/>
    <cellStyle name="Финансовый 2 2 6 2 12 4" xfId="33321"/>
    <cellStyle name="Финансовый 2 2 6 2 13" xfId="2980"/>
    <cellStyle name="Финансовый 2 2 6 2 13 2" xfId="16990"/>
    <cellStyle name="Финансовый 2 2 6 2 13 2 2" xfId="39305"/>
    <cellStyle name="Финансовый 2 2 6 2 13 3" xfId="11184"/>
    <cellStyle name="Финансовый 2 2 6 2 13 4" xfId="33499"/>
    <cellStyle name="Финансовый 2 2 6 2 14" xfId="3187"/>
    <cellStyle name="Финансовый 2 2 6 2 14 2" xfId="17158"/>
    <cellStyle name="Финансовый 2 2 6 2 14 2 2" xfId="39473"/>
    <cellStyle name="Финансовый 2 2 6 2 14 3" xfId="11352"/>
    <cellStyle name="Финансовый 2 2 6 2 14 4" xfId="33667"/>
    <cellStyle name="Финансовый 2 2 6 2 15" xfId="7775"/>
    <cellStyle name="Финансовый 2 2 6 2 15 2" xfId="19808"/>
    <cellStyle name="Финансовый 2 2 6 2 15 2 2" xfId="42123"/>
    <cellStyle name="Финансовый 2 2 6 2 15 3" xfId="14002"/>
    <cellStyle name="Финансовый 2 2 6 2 15 4" xfId="36317"/>
    <cellStyle name="Финансовый 2 2 6 2 16" xfId="4022"/>
    <cellStyle name="Финансовый 2 2 6 2 16 2" xfId="17773"/>
    <cellStyle name="Финансовый 2 2 6 2 16 2 2" xfId="40088"/>
    <cellStyle name="Финансовый 2 2 6 2 16 3" xfId="11967"/>
    <cellStyle name="Финансовый 2 2 6 2 16 4" xfId="34282"/>
    <cellStyle name="Финансовый 2 2 6 2 17" xfId="7518"/>
    <cellStyle name="Финансовый 2 2 6 2 17 2" xfId="19666"/>
    <cellStyle name="Финансовый 2 2 6 2 17 2 2" xfId="41981"/>
    <cellStyle name="Финансовый 2 2 6 2 17 3" xfId="13860"/>
    <cellStyle name="Финансовый 2 2 6 2 17 4" xfId="36175"/>
    <cellStyle name="Финансовый 2 2 6 2 18" xfId="14778"/>
    <cellStyle name="Финансовый 2 2 6 2 18 2" xfId="37093"/>
    <cellStyle name="Финансовый 2 2 6 2 19" xfId="8972"/>
    <cellStyle name="Финансовый 2 2 6 2 2" xfId="623"/>
    <cellStyle name="Финансовый 2 2 6 2 2 2" xfId="15002"/>
    <cellStyle name="Финансовый 2 2 6 2 2 2 2" xfId="37317"/>
    <cellStyle name="Финансовый 2 2 6 2 2 3" xfId="9196"/>
    <cellStyle name="Финансовый 2 2 6 2 2 4" xfId="31520"/>
    <cellStyle name="Финансовый 2 2 6 2 20" xfId="31305"/>
    <cellStyle name="Финансовый 2 2 6 2 3" xfId="1381"/>
    <cellStyle name="Финансовый 2 2 6 2 3 2" xfId="15628"/>
    <cellStyle name="Финансовый 2 2 6 2 3 2 2" xfId="37943"/>
    <cellStyle name="Финансовый 2 2 6 2 3 3" xfId="9822"/>
    <cellStyle name="Финансовый 2 2 6 2 3 4" xfId="32137"/>
    <cellStyle name="Финансовый 2 2 6 2 4" xfId="1262"/>
    <cellStyle name="Финансовый 2 2 6 2 4 2" xfId="15522"/>
    <cellStyle name="Финансовый 2 2 6 2 4 2 2" xfId="37837"/>
    <cellStyle name="Финансовый 2 2 6 2 4 3" xfId="9716"/>
    <cellStyle name="Финансовый 2 2 6 2 4 4" xfId="32031"/>
    <cellStyle name="Финансовый 2 2 6 2 5" xfId="1613"/>
    <cellStyle name="Финансовый 2 2 6 2 5 2" xfId="15847"/>
    <cellStyle name="Финансовый 2 2 6 2 5 2 2" xfId="38162"/>
    <cellStyle name="Финансовый 2 2 6 2 5 3" xfId="10041"/>
    <cellStyle name="Финансовый 2 2 6 2 5 4" xfId="32356"/>
    <cellStyle name="Финансовый 2 2 6 2 6" xfId="1713"/>
    <cellStyle name="Финансовый 2 2 6 2 6 2" xfId="15939"/>
    <cellStyle name="Финансовый 2 2 6 2 6 2 2" xfId="38254"/>
    <cellStyle name="Финансовый 2 2 6 2 6 3" xfId="10133"/>
    <cellStyle name="Финансовый 2 2 6 2 6 4" xfId="32448"/>
    <cellStyle name="Финансовый 2 2 6 2 7" xfId="1360"/>
    <cellStyle name="Финансовый 2 2 6 2 7 2" xfId="15610"/>
    <cellStyle name="Финансовый 2 2 6 2 7 2 2" xfId="37925"/>
    <cellStyle name="Финансовый 2 2 6 2 7 3" xfId="9804"/>
    <cellStyle name="Финансовый 2 2 6 2 7 4" xfId="32119"/>
    <cellStyle name="Финансовый 2 2 6 2 8" xfId="1830"/>
    <cellStyle name="Финансовый 2 2 6 2 8 2" xfId="16047"/>
    <cellStyle name="Финансовый 2 2 6 2 8 2 2" xfId="38362"/>
    <cellStyle name="Финансовый 2 2 6 2 8 3" xfId="10241"/>
    <cellStyle name="Финансовый 2 2 6 2 8 4" xfId="32556"/>
    <cellStyle name="Финансовый 2 2 6 2 9" xfId="2068"/>
    <cellStyle name="Финансовый 2 2 6 2 9 2" xfId="16243"/>
    <cellStyle name="Финансовый 2 2 6 2 9 2 2" xfId="38558"/>
    <cellStyle name="Финансовый 2 2 6 2 9 3" xfId="10437"/>
    <cellStyle name="Финансовый 2 2 6 2 9 4" xfId="32752"/>
    <cellStyle name="Финансовый 2 2 6 20" xfId="7766"/>
    <cellStyle name="Финансовый 2 2 6 20 2" xfId="19803"/>
    <cellStyle name="Финансовый 2 2 6 20 2 2" xfId="42118"/>
    <cellStyle name="Финансовый 2 2 6 20 3" xfId="13997"/>
    <cellStyle name="Финансовый 2 2 6 20 4" xfId="36312"/>
    <cellStyle name="Финансовый 2 2 6 21" xfId="4025"/>
    <cellStyle name="Финансовый 2 2 6 21 2" xfId="17774"/>
    <cellStyle name="Финансовый 2 2 6 21 2 2" xfId="40089"/>
    <cellStyle name="Финансовый 2 2 6 21 3" xfId="11968"/>
    <cellStyle name="Финансовый 2 2 6 21 4" xfId="34283"/>
    <cellStyle name="Финансовый 2 2 6 22" xfId="14573"/>
    <cellStyle name="Финансовый 2 2 6 22 2" xfId="36888"/>
    <cellStyle name="Финансовый 2 2 6 23" xfId="8767"/>
    <cellStyle name="Финансовый 2 2 6 24" xfId="31135"/>
    <cellStyle name="Финансовый 2 2 6 3" xfId="805"/>
    <cellStyle name="Финансовый 2 2 6 3 2" xfId="15153"/>
    <cellStyle name="Финансовый 2 2 6 3 2 2" xfId="37468"/>
    <cellStyle name="Финансовый 2 2 6 3 3" xfId="9347"/>
    <cellStyle name="Финансовый 2 2 6 3 4" xfId="31669"/>
    <cellStyle name="Финансовый 2 2 6 4" xfId="890"/>
    <cellStyle name="Финансовый 2 2 6 4 2" xfId="15225"/>
    <cellStyle name="Финансовый 2 2 6 4 2 2" xfId="37540"/>
    <cellStyle name="Финансовый 2 2 6 4 3" xfId="9419"/>
    <cellStyle name="Финансовый 2 2 6 4 4" xfId="31740"/>
    <cellStyle name="Финансовый 2 2 6 5" xfId="980"/>
    <cellStyle name="Финансовый 2 2 6 5 2" xfId="15293"/>
    <cellStyle name="Финансовый 2 2 6 5 2 2" xfId="37608"/>
    <cellStyle name="Финансовый 2 2 6 5 3" xfId="9487"/>
    <cellStyle name="Финансовый 2 2 6 5 4" xfId="31806"/>
    <cellStyle name="Финансовый 2 2 6 6" xfId="1106"/>
    <cellStyle name="Финансовый 2 2 6 6 2" xfId="15414"/>
    <cellStyle name="Финансовый 2 2 6 6 2 2" xfId="37729"/>
    <cellStyle name="Финансовый 2 2 6 6 3" xfId="9608"/>
    <cellStyle name="Финансовый 2 2 6 6 4" xfId="31926"/>
    <cellStyle name="Финансовый 2 2 6 7" xfId="454"/>
    <cellStyle name="Финансовый 2 2 6 7 2" xfId="14857"/>
    <cellStyle name="Финансовый 2 2 6 7 2 2" xfId="37172"/>
    <cellStyle name="Финансовый 2 2 6 7 3" xfId="9051"/>
    <cellStyle name="Финансовый 2 2 6 7 4" xfId="31384"/>
    <cellStyle name="Финансовый 2 2 6 8" xfId="1534"/>
    <cellStyle name="Финансовый 2 2 6 8 2" xfId="15774"/>
    <cellStyle name="Финансовый 2 2 6 8 2 2" xfId="38089"/>
    <cellStyle name="Финансовый 2 2 6 8 3" xfId="9968"/>
    <cellStyle name="Финансовый 2 2 6 8 4" xfId="32283"/>
    <cellStyle name="Финансовый 2 2 6 9" xfId="1858"/>
    <cellStyle name="Финансовый 2 2 6 9 2" xfId="16073"/>
    <cellStyle name="Финансовый 2 2 6 9 2 2" xfId="38388"/>
    <cellStyle name="Финансовый 2 2 6 9 3" xfId="10267"/>
    <cellStyle name="Финансовый 2 2 6 9 4" xfId="32582"/>
    <cellStyle name="Финансовый 2 2 7" xfId="35"/>
    <cellStyle name="Финансовый 2 2 7 10" xfId="1450"/>
    <cellStyle name="Финансовый 2 2 7 10 2" xfId="15692"/>
    <cellStyle name="Финансовый 2 2 7 10 2 2" xfId="38007"/>
    <cellStyle name="Финансовый 2 2 7 10 3" xfId="9886"/>
    <cellStyle name="Финансовый 2 2 7 10 4" xfId="32201"/>
    <cellStyle name="Финансовый 2 2 7 11" xfId="1614"/>
    <cellStyle name="Финансовый 2 2 7 11 2" xfId="15848"/>
    <cellStyle name="Финансовый 2 2 7 11 2 2" xfId="38163"/>
    <cellStyle name="Финансовый 2 2 7 11 3" xfId="10042"/>
    <cellStyle name="Финансовый 2 2 7 11 4" xfId="32357"/>
    <cellStyle name="Финансовый 2 2 7 12" xfId="1637"/>
    <cellStyle name="Финансовый 2 2 7 12 2" xfId="15870"/>
    <cellStyle name="Финансовый 2 2 7 12 2 2" xfId="38185"/>
    <cellStyle name="Финансовый 2 2 7 12 3" xfId="10064"/>
    <cellStyle name="Финансовый 2 2 7 12 4" xfId="32379"/>
    <cellStyle name="Финансовый 2 2 7 13" xfId="1429"/>
    <cellStyle name="Финансовый 2 2 7 13 2" xfId="15672"/>
    <cellStyle name="Финансовый 2 2 7 13 2 2" xfId="37987"/>
    <cellStyle name="Финансовый 2 2 7 13 3" xfId="9866"/>
    <cellStyle name="Финансовый 2 2 7 13 4" xfId="32181"/>
    <cellStyle name="Финансовый 2 2 7 14" xfId="1891"/>
    <cellStyle name="Финансовый 2 2 7 14 2" xfId="16104"/>
    <cellStyle name="Финансовый 2 2 7 14 2 2" xfId="38419"/>
    <cellStyle name="Финансовый 2 2 7 14 3" xfId="10298"/>
    <cellStyle name="Финансовый 2 2 7 14 4" xfId="32613"/>
    <cellStyle name="Финансовый 2 2 7 15" xfId="2129"/>
    <cellStyle name="Финансовый 2 2 7 15 2" xfId="16300"/>
    <cellStyle name="Финансовый 2 2 7 15 2 2" xfId="38615"/>
    <cellStyle name="Финансовый 2 2 7 15 3" xfId="10494"/>
    <cellStyle name="Финансовый 2 2 7 15 4" xfId="32809"/>
    <cellStyle name="Финансовый 2 2 7 16" xfId="2364"/>
    <cellStyle name="Финансовый 2 2 7 16 2" xfId="16493"/>
    <cellStyle name="Финансовый 2 2 7 16 2 2" xfId="38808"/>
    <cellStyle name="Финансовый 2 2 7 16 3" xfId="10687"/>
    <cellStyle name="Финансовый 2 2 7 16 4" xfId="33002"/>
    <cellStyle name="Финансовый 2 2 7 17" xfId="2596"/>
    <cellStyle name="Финансовый 2 2 7 17 2" xfId="16683"/>
    <cellStyle name="Финансовый 2 2 7 17 2 2" xfId="38998"/>
    <cellStyle name="Финансовый 2 2 7 17 3" xfId="10877"/>
    <cellStyle name="Финансовый 2 2 7 17 4" xfId="33192"/>
    <cellStyle name="Финансовый 2 2 7 18" xfId="2818"/>
    <cellStyle name="Финансовый 2 2 7 18 2" xfId="16865"/>
    <cellStyle name="Финансовый 2 2 7 18 2 2" xfId="39180"/>
    <cellStyle name="Финансовый 2 2 7 18 3" xfId="11059"/>
    <cellStyle name="Финансовый 2 2 7 18 4" xfId="33374"/>
    <cellStyle name="Финансовый 2 2 7 19" xfId="5298"/>
    <cellStyle name="Финансовый 2 2 7 19 2" xfId="18470"/>
    <cellStyle name="Финансовый 2 2 7 19 2 2" xfId="40785"/>
    <cellStyle name="Финансовый 2 2 7 19 3" xfId="12664"/>
    <cellStyle name="Финансовый 2 2 7 19 4" xfId="34979"/>
    <cellStyle name="Финансовый 2 2 7 2" xfId="380"/>
    <cellStyle name="Финансовый 2 2 7 2 10" xfId="3023"/>
    <cellStyle name="Финансовый 2 2 7 2 10 2" xfId="17030"/>
    <cellStyle name="Финансовый 2 2 7 2 10 2 2" xfId="39345"/>
    <cellStyle name="Финансовый 2 2 7 2 10 3" xfId="11224"/>
    <cellStyle name="Финансовый 2 2 7 2 10 4" xfId="33539"/>
    <cellStyle name="Финансовый 2 2 7 2 11" xfId="3227"/>
    <cellStyle name="Финансовый 2 2 7 2 11 2" xfId="17195"/>
    <cellStyle name="Финансовый 2 2 7 2 11 2 2" xfId="39510"/>
    <cellStyle name="Финансовый 2 2 7 2 11 3" xfId="11389"/>
    <cellStyle name="Финансовый 2 2 7 2 11 4" xfId="33704"/>
    <cellStyle name="Финансовый 2 2 7 2 12" xfId="3414"/>
    <cellStyle name="Финансовый 2 2 7 2 12 2" xfId="17343"/>
    <cellStyle name="Финансовый 2 2 7 2 12 2 2" xfId="39658"/>
    <cellStyle name="Финансовый 2 2 7 2 12 3" xfId="11537"/>
    <cellStyle name="Финансовый 2 2 7 2 12 4" xfId="33852"/>
    <cellStyle name="Финансовый 2 2 7 2 13" xfId="3587"/>
    <cellStyle name="Финансовый 2 2 7 2 13 2" xfId="17478"/>
    <cellStyle name="Финансовый 2 2 7 2 13 2 2" xfId="39793"/>
    <cellStyle name="Финансовый 2 2 7 2 13 3" xfId="11672"/>
    <cellStyle name="Финансовый 2 2 7 2 13 4" xfId="33987"/>
    <cellStyle name="Финансовый 2 2 7 2 14" xfId="3744"/>
    <cellStyle name="Финансовый 2 2 7 2 14 2" xfId="17597"/>
    <cellStyle name="Финансовый 2 2 7 2 14 2 2" xfId="39912"/>
    <cellStyle name="Финансовый 2 2 7 2 14 3" xfId="11791"/>
    <cellStyle name="Финансовый 2 2 7 2 14 4" xfId="34106"/>
    <cellStyle name="Финансовый 2 2 7 2 15" xfId="6234"/>
    <cellStyle name="Финансовый 2 2 7 2 15 2" xfId="18978"/>
    <cellStyle name="Финансовый 2 2 7 2 15 2 2" xfId="41293"/>
    <cellStyle name="Финансовый 2 2 7 2 15 3" xfId="13172"/>
    <cellStyle name="Финансовый 2 2 7 2 15 4" xfId="35487"/>
    <cellStyle name="Финансовый 2 2 7 2 16" xfId="8135"/>
    <cellStyle name="Финансовый 2 2 7 2 16 2" xfId="20018"/>
    <cellStyle name="Финансовый 2 2 7 2 16 2 2" xfId="42333"/>
    <cellStyle name="Финансовый 2 2 7 2 16 3" xfId="14212"/>
    <cellStyle name="Финансовый 2 2 7 2 16 4" xfId="36527"/>
    <cellStyle name="Финансовый 2 2 7 2 17" xfId="5105"/>
    <cellStyle name="Финансовый 2 2 7 2 17 2" xfId="18369"/>
    <cellStyle name="Финансовый 2 2 7 2 17 2 2" xfId="40684"/>
    <cellStyle name="Финансовый 2 2 7 2 17 3" xfId="12563"/>
    <cellStyle name="Финансовый 2 2 7 2 17 4" xfId="34878"/>
    <cellStyle name="Финансовый 2 2 7 2 18" xfId="14783"/>
    <cellStyle name="Финансовый 2 2 7 2 18 2" xfId="37098"/>
    <cellStyle name="Финансовый 2 2 7 2 19" xfId="8977"/>
    <cellStyle name="Финансовый 2 2 7 2 2" xfId="627"/>
    <cellStyle name="Финансовый 2 2 7 2 2 2" xfId="15006"/>
    <cellStyle name="Финансовый 2 2 7 2 2 2 2" xfId="37321"/>
    <cellStyle name="Финансовый 2 2 7 2 2 3" xfId="9200"/>
    <cellStyle name="Финансовый 2 2 7 2 2 4" xfId="31524"/>
    <cellStyle name="Финансовый 2 2 7 2 20" xfId="31310"/>
    <cellStyle name="Финансовый 2 2 7 2 3" xfId="1385"/>
    <cellStyle name="Финансовый 2 2 7 2 3 2" xfId="15632"/>
    <cellStyle name="Финансовый 2 2 7 2 3 2 2" xfId="37947"/>
    <cellStyle name="Финансовый 2 2 7 2 3 3" xfId="9826"/>
    <cellStyle name="Финансовый 2 2 7 2 3 4" xfId="32141"/>
    <cellStyle name="Финансовый 2 2 7 2 4" xfId="1247"/>
    <cellStyle name="Финансовый 2 2 7 2 4 2" xfId="15507"/>
    <cellStyle name="Финансовый 2 2 7 2 4 2 2" xfId="37822"/>
    <cellStyle name="Финансовый 2 2 7 2 4 3" xfId="9701"/>
    <cellStyle name="Финансовый 2 2 7 2 4 4" xfId="32016"/>
    <cellStyle name="Финансовый 2 2 7 2 5" xfId="1881"/>
    <cellStyle name="Финансовый 2 2 7 2 5 2" xfId="16094"/>
    <cellStyle name="Финансовый 2 2 7 2 5 2 2" xfId="38409"/>
    <cellStyle name="Финансовый 2 2 7 2 5 3" xfId="10288"/>
    <cellStyle name="Финансовый 2 2 7 2 5 4" xfId="32603"/>
    <cellStyle name="Финансовый 2 2 7 2 6" xfId="2119"/>
    <cellStyle name="Финансовый 2 2 7 2 6 2" xfId="16290"/>
    <cellStyle name="Финансовый 2 2 7 2 6 2 2" xfId="38605"/>
    <cellStyle name="Финансовый 2 2 7 2 6 3" xfId="10484"/>
    <cellStyle name="Финансовый 2 2 7 2 6 4" xfId="32799"/>
    <cellStyle name="Финансовый 2 2 7 2 7" xfId="2354"/>
    <cellStyle name="Финансовый 2 2 7 2 7 2" xfId="16483"/>
    <cellStyle name="Финансовый 2 2 7 2 7 2 2" xfId="38798"/>
    <cellStyle name="Финансовый 2 2 7 2 7 3" xfId="10677"/>
    <cellStyle name="Финансовый 2 2 7 2 7 4" xfId="32992"/>
    <cellStyle name="Финансовый 2 2 7 2 8" xfId="2586"/>
    <cellStyle name="Финансовый 2 2 7 2 8 2" xfId="16673"/>
    <cellStyle name="Финансовый 2 2 7 2 8 2 2" xfId="38988"/>
    <cellStyle name="Финансовый 2 2 7 2 8 3" xfId="10867"/>
    <cellStyle name="Финансовый 2 2 7 2 8 4" xfId="33182"/>
    <cellStyle name="Финансовый 2 2 7 2 9" xfId="2809"/>
    <cellStyle name="Финансовый 2 2 7 2 9 2" xfId="16856"/>
    <cellStyle name="Финансовый 2 2 7 2 9 2 2" xfId="39171"/>
    <cellStyle name="Финансовый 2 2 7 2 9 3" xfId="11050"/>
    <cellStyle name="Финансовый 2 2 7 2 9 4" xfId="33365"/>
    <cellStyle name="Финансовый 2 2 7 20" xfId="6754"/>
    <cellStyle name="Финансовый 2 2 7 20 2" xfId="19254"/>
    <cellStyle name="Финансовый 2 2 7 20 2 2" xfId="41569"/>
    <cellStyle name="Финансовый 2 2 7 20 3" xfId="13448"/>
    <cellStyle name="Финансовый 2 2 7 20 4" xfId="35763"/>
    <cellStyle name="Финансовый 2 2 7 21" xfId="5953"/>
    <cellStyle name="Финансовый 2 2 7 21 2" xfId="18827"/>
    <cellStyle name="Финансовый 2 2 7 21 2 2" xfId="41142"/>
    <cellStyle name="Финансовый 2 2 7 21 3" xfId="13021"/>
    <cellStyle name="Финансовый 2 2 7 21 4" xfId="35336"/>
    <cellStyle name="Финансовый 2 2 7 22" xfId="14576"/>
    <cellStyle name="Финансовый 2 2 7 22 2" xfId="36891"/>
    <cellStyle name="Финансовый 2 2 7 23" xfId="8770"/>
    <cellStyle name="Финансовый 2 2 7 24" xfId="31137"/>
    <cellStyle name="Финансовый 2 2 7 3" xfId="629"/>
    <cellStyle name="Финансовый 2 2 7 3 2" xfId="15008"/>
    <cellStyle name="Финансовый 2 2 7 3 2 2" xfId="37323"/>
    <cellStyle name="Финансовый 2 2 7 3 3" xfId="9202"/>
    <cellStyle name="Финансовый 2 2 7 3 4" xfId="31526"/>
    <cellStyle name="Финансовый 2 2 7 4" xfId="711"/>
    <cellStyle name="Финансовый 2 2 7 4 2" xfId="15090"/>
    <cellStyle name="Финансовый 2 2 7 4 2 2" xfId="37405"/>
    <cellStyle name="Финансовый 2 2 7 4 3" xfId="9284"/>
    <cellStyle name="Финансовый 2 2 7 4 4" xfId="31607"/>
    <cellStyle name="Финансовый 2 2 7 5" xfId="984"/>
    <cellStyle name="Финансовый 2 2 7 5 2" xfId="15297"/>
    <cellStyle name="Финансовый 2 2 7 5 2 2" xfId="37612"/>
    <cellStyle name="Финансовый 2 2 7 5 3" xfId="9491"/>
    <cellStyle name="Финансовый 2 2 7 5 4" xfId="31810"/>
    <cellStyle name="Финансовый 2 2 7 6" xfId="971"/>
    <cellStyle name="Финансовый 2 2 7 6 2" xfId="15285"/>
    <cellStyle name="Финансовый 2 2 7 6 2 2" xfId="37600"/>
    <cellStyle name="Финансовый 2 2 7 6 3" xfId="9479"/>
    <cellStyle name="Финансовый 2 2 7 6 4" xfId="31799"/>
    <cellStyle name="Финансовый 2 2 7 7" xfId="431"/>
    <cellStyle name="Финансовый 2 2 7 7 2" xfId="14834"/>
    <cellStyle name="Финансовый 2 2 7 7 2 2" xfId="37149"/>
    <cellStyle name="Финансовый 2 2 7 7 3" xfId="9028"/>
    <cellStyle name="Финансовый 2 2 7 7 4" xfId="31361"/>
    <cellStyle name="Финансовый 2 2 7 8" xfId="1530"/>
    <cellStyle name="Финансовый 2 2 7 8 2" xfId="15770"/>
    <cellStyle name="Финансовый 2 2 7 8 2 2" xfId="38085"/>
    <cellStyle name="Финансовый 2 2 7 8 3" xfId="9964"/>
    <cellStyle name="Финансовый 2 2 7 8 4" xfId="32279"/>
    <cellStyle name="Финансовый 2 2 7 9" xfId="1645"/>
    <cellStyle name="Финансовый 2 2 7 9 2" xfId="15877"/>
    <cellStyle name="Финансовый 2 2 7 9 2 2" xfId="38192"/>
    <cellStyle name="Финансовый 2 2 7 9 3" xfId="10071"/>
    <cellStyle name="Финансовый 2 2 7 9 4" xfId="32386"/>
    <cellStyle name="Финансовый 2 2 8" xfId="40"/>
    <cellStyle name="Финансовый 2 2 8 10" xfId="1997"/>
    <cellStyle name="Финансовый 2 2 8 10 2" xfId="16177"/>
    <cellStyle name="Финансовый 2 2 8 10 2 2" xfId="38492"/>
    <cellStyle name="Финансовый 2 2 8 10 3" xfId="10371"/>
    <cellStyle name="Финансовый 2 2 8 10 4" xfId="32686"/>
    <cellStyle name="Финансовый 2 2 8 11" xfId="2233"/>
    <cellStyle name="Финансовый 2 2 8 11 2" xfId="16371"/>
    <cellStyle name="Финансовый 2 2 8 11 2 2" xfId="38686"/>
    <cellStyle name="Финансовый 2 2 8 11 3" xfId="10565"/>
    <cellStyle name="Финансовый 2 2 8 11 4" xfId="32880"/>
    <cellStyle name="Финансовый 2 2 8 12" xfId="2467"/>
    <cellStyle name="Финансовый 2 2 8 12 2" xfId="16563"/>
    <cellStyle name="Финансовый 2 2 8 12 2 2" xfId="38878"/>
    <cellStyle name="Финансовый 2 2 8 12 3" xfId="10757"/>
    <cellStyle name="Финансовый 2 2 8 12 4" xfId="33072"/>
    <cellStyle name="Финансовый 2 2 8 13" xfId="2697"/>
    <cellStyle name="Финансовый 2 2 8 13 2" xfId="16751"/>
    <cellStyle name="Финансовый 2 2 8 13 2 2" xfId="39066"/>
    <cellStyle name="Финансовый 2 2 8 13 3" xfId="10945"/>
    <cellStyle name="Финансовый 2 2 8 13 4" xfId="33260"/>
    <cellStyle name="Финансовый 2 2 8 14" xfId="2918"/>
    <cellStyle name="Финансовый 2 2 8 14 2" xfId="16932"/>
    <cellStyle name="Финансовый 2 2 8 14 2 2" xfId="39247"/>
    <cellStyle name="Финансовый 2 2 8 14 3" xfId="11126"/>
    <cellStyle name="Финансовый 2 2 8 14 4" xfId="33441"/>
    <cellStyle name="Финансовый 2 2 8 15" xfId="3129"/>
    <cellStyle name="Финансовый 2 2 8 15 2" xfId="17104"/>
    <cellStyle name="Финансовый 2 2 8 15 2 2" xfId="39419"/>
    <cellStyle name="Финансовый 2 2 8 15 3" xfId="11298"/>
    <cellStyle name="Финансовый 2 2 8 15 4" xfId="33613"/>
    <cellStyle name="Финансовый 2 2 8 16" xfId="3326"/>
    <cellStyle name="Финансовый 2 2 8 16 2" xfId="17262"/>
    <cellStyle name="Финансовый 2 2 8 16 2 2" xfId="39577"/>
    <cellStyle name="Финансовый 2 2 8 16 3" xfId="11456"/>
    <cellStyle name="Финансовый 2 2 8 16 4" xfId="33771"/>
    <cellStyle name="Финансовый 2 2 8 17" xfId="3510"/>
    <cellStyle name="Финансовый 2 2 8 17 2" xfId="17407"/>
    <cellStyle name="Финансовый 2 2 8 17 2 2" xfId="39722"/>
    <cellStyle name="Финансовый 2 2 8 17 3" xfId="11601"/>
    <cellStyle name="Финансовый 2 2 8 17 4" xfId="33916"/>
    <cellStyle name="Финансовый 2 2 8 18" xfId="3677"/>
    <cellStyle name="Финансовый 2 2 8 18 2" xfId="17536"/>
    <cellStyle name="Финансовый 2 2 8 18 2 2" xfId="39851"/>
    <cellStyle name="Финансовый 2 2 8 18 3" xfId="11730"/>
    <cellStyle name="Финансовый 2 2 8 18 4" xfId="34045"/>
    <cellStyle name="Финансовый 2 2 8 19" xfId="7185"/>
    <cellStyle name="Финансовый 2 2 8 19 2" xfId="19489"/>
    <cellStyle name="Финансовый 2 2 8 19 2 2" xfId="41804"/>
    <cellStyle name="Финансовый 2 2 8 19 3" xfId="13683"/>
    <cellStyle name="Финансовый 2 2 8 19 4" xfId="35998"/>
    <cellStyle name="Финансовый 2 2 8 2" xfId="385"/>
    <cellStyle name="Финансовый 2 2 8 2 10" xfId="1974"/>
    <cellStyle name="Финансовый 2 2 8 2 10 2" xfId="16156"/>
    <cellStyle name="Финансовый 2 2 8 2 10 2 2" xfId="38471"/>
    <cellStyle name="Финансовый 2 2 8 2 10 3" xfId="10350"/>
    <cellStyle name="Финансовый 2 2 8 2 10 4" xfId="32665"/>
    <cellStyle name="Финансовый 2 2 8 2 11" xfId="2211"/>
    <cellStyle name="Финансовый 2 2 8 2 11 2" xfId="16351"/>
    <cellStyle name="Финансовый 2 2 8 2 11 2 2" xfId="38666"/>
    <cellStyle name="Финансовый 2 2 8 2 11 3" xfId="10545"/>
    <cellStyle name="Финансовый 2 2 8 2 11 4" xfId="32860"/>
    <cellStyle name="Финансовый 2 2 8 2 12" xfId="2446"/>
    <cellStyle name="Финансовый 2 2 8 2 12 2" xfId="16544"/>
    <cellStyle name="Финансовый 2 2 8 2 12 2 2" xfId="38859"/>
    <cellStyle name="Финансовый 2 2 8 2 12 3" xfId="10738"/>
    <cellStyle name="Финансовый 2 2 8 2 12 4" xfId="33053"/>
    <cellStyle name="Финансовый 2 2 8 2 13" xfId="2678"/>
    <cellStyle name="Финансовый 2 2 8 2 13 2" xfId="16734"/>
    <cellStyle name="Финансовый 2 2 8 2 13 2 2" xfId="39049"/>
    <cellStyle name="Финансовый 2 2 8 2 13 3" xfId="10928"/>
    <cellStyle name="Финансовый 2 2 8 2 13 4" xfId="33243"/>
    <cellStyle name="Финансовый 2 2 8 2 14" xfId="2899"/>
    <cellStyle name="Финансовый 2 2 8 2 14 2" xfId="16915"/>
    <cellStyle name="Финансовый 2 2 8 2 14 2 2" xfId="39230"/>
    <cellStyle name="Финансовый 2 2 8 2 14 3" xfId="11109"/>
    <cellStyle name="Финансовый 2 2 8 2 14 4" xfId="33424"/>
    <cellStyle name="Финансовый 2 2 8 2 15" xfId="6674"/>
    <cellStyle name="Финансовый 2 2 8 2 15 2" xfId="19212"/>
    <cellStyle name="Финансовый 2 2 8 2 15 2 2" xfId="41527"/>
    <cellStyle name="Финансовый 2 2 8 2 15 3" xfId="13406"/>
    <cellStyle name="Финансовый 2 2 8 2 15 4" xfId="35721"/>
    <cellStyle name="Финансовый 2 2 8 2 16" xfId="259"/>
    <cellStyle name="Финансовый 2 2 8 2 16 2" xfId="14701"/>
    <cellStyle name="Финансовый 2 2 8 2 16 2 2" xfId="37016"/>
    <cellStyle name="Финансовый 2 2 8 2 16 3" xfId="8895"/>
    <cellStyle name="Финансовый 2 2 8 2 16 4" xfId="31230"/>
    <cellStyle name="Финансовый 2 2 8 2 17" xfId="7649"/>
    <cellStyle name="Финансовый 2 2 8 2 17 2" xfId="19740"/>
    <cellStyle name="Финансовый 2 2 8 2 17 2 2" xfId="42055"/>
    <cellStyle name="Финансовый 2 2 8 2 17 3" xfId="13934"/>
    <cellStyle name="Финансовый 2 2 8 2 17 4" xfId="36249"/>
    <cellStyle name="Финансовый 2 2 8 2 18" xfId="14788"/>
    <cellStyle name="Финансовый 2 2 8 2 18 2" xfId="37103"/>
    <cellStyle name="Финансовый 2 2 8 2 19" xfId="8982"/>
    <cellStyle name="Финансовый 2 2 8 2 2" xfId="631"/>
    <cellStyle name="Финансовый 2 2 8 2 2 2" xfId="15010"/>
    <cellStyle name="Финансовый 2 2 8 2 2 2 2" xfId="37325"/>
    <cellStyle name="Финансовый 2 2 8 2 2 3" xfId="9204"/>
    <cellStyle name="Финансовый 2 2 8 2 2 4" xfId="31528"/>
    <cellStyle name="Финансовый 2 2 8 2 20" xfId="31315"/>
    <cellStyle name="Финансовый 2 2 8 2 3" xfId="1389"/>
    <cellStyle name="Финансовый 2 2 8 2 3 2" xfId="15636"/>
    <cellStyle name="Финансовый 2 2 8 2 3 2 2" xfId="37951"/>
    <cellStyle name="Финансовый 2 2 8 2 3 3" xfId="9830"/>
    <cellStyle name="Финансовый 2 2 8 2 3 4" xfId="32145"/>
    <cellStyle name="Финансовый 2 2 8 2 4" xfId="400"/>
    <cellStyle name="Финансовый 2 2 8 2 4 2" xfId="14803"/>
    <cellStyle name="Финансовый 2 2 8 2 4 2 2" xfId="37118"/>
    <cellStyle name="Финансовый 2 2 8 2 4 3" xfId="8997"/>
    <cellStyle name="Финансовый 2 2 8 2 4 4" xfId="31330"/>
    <cellStyle name="Финансовый 2 2 8 2 5" xfId="1361"/>
    <cellStyle name="Финансовый 2 2 8 2 5 2" xfId="15611"/>
    <cellStyle name="Финансовый 2 2 8 2 5 2 2" xfId="37926"/>
    <cellStyle name="Финансовый 2 2 8 2 5 3" xfId="9805"/>
    <cellStyle name="Финансовый 2 2 8 2 5 4" xfId="32120"/>
    <cellStyle name="Финансовый 2 2 8 2 6" xfId="1679"/>
    <cellStyle name="Финансовый 2 2 8 2 6 2" xfId="15908"/>
    <cellStyle name="Финансовый 2 2 8 2 6 2 2" xfId="38223"/>
    <cellStyle name="Финансовый 2 2 8 2 6 3" xfId="10102"/>
    <cellStyle name="Финансовый 2 2 8 2 6 4" xfId="32417"/>
    <cellStyle name="Финансовый 2 2 8 2 7" xfId="1653"/>
    <cellStyle name="Финансовый 2 2 8 2 7 2" xfId="15883"/>
    <cellStyle name="Финансовый 2 2 8 2 7 2 2" xfId="38198"/>
    <cellStyle name="Финансовый 2 2 8 2 7 3" xfId="10077"/>
    <cellStyle name="Финансовый 2 2 8 2 7 4" xfId="32392"/>
    <cellStyle name="Финансовый 2 2 8 2 8" xfId="1481"/>
    <cellStyle name="Финансовый 2 2 8 2 8 2" xfId="15723"/>
    <cellStyle name="Финансовый 2 2 8 2 8 2 2" xfId="38038"/>
    <cellStyle name="Финансовый 2 2 8 2 8 3" xfId="9917"/>
    <cellStyle name="Финансовый 2 2 8 2 8 4" xfId="32232"/>
    <cellStyle name="Финансовый 2 2 8 2 9" xfId="1736"/>
    <cellStyle name="Финансовый 2 2 8 2 9 2" xfId="15960"/>
    <cellStyle name="Финансовый 2 2 8 2 9 2 2" xfId="38275"/>
    <cellStyle name="Финансовый 2 2 8 2 9 3" xfId="10154"/>
    <cellStyle name="Финансовый 2 2 8 2 9 4" xfId="32469"/>
    <cellStyle name="Финансовый 2 2 8 20" xfId="8330"/>
    <cellStyle name="Финансовый 2 2 8 20 2" xfId="20127"/>
    <cellStyle name="Финансовый 2 2 8 20 2 2" xfId="42442"/>
    <cellStyle name="Финансовый 2 2 8 20 3" xfId="14321"/>
    <cellStyle name="Финансовый 2 2 8 20 4" xfId="36636"/>
    <cellStyle name="Финансовый 2 2 8 21" xfId="5661"/>
    <cellStyle name="Финансовый 2 2 8 21 2" xfId="18671"/>
    <cellStyle name="Финансовый 2 2 8 21 2 2" xfId="40986"/>
    <cellStyle name="Финансовый 2 2 8 21 3" xfId="12865"/>
    <cellStyle name="Финансовый 2 2 8 21 4" xfId="35180"/>
    <cellStyle name="Финансовый 2 2 8 22" xfId="14579"/>
    <cellStyle name="Финансовый 2 2 8 22 2" xfId="36894"/>
    <cellStyle name="Финансовый 2 2 8 23" xfId="8773"/>
    <cellStyle name="Финансовый 2 2 8 24" xfId="31139"/>
    <cellStyle name="Финансовый 2 2 8 3" xfId="753"/>
    <cellStyle name="Финансовый 2 2 8 3 2" xfId="15131"/>
    <cellStyle name="Финансовый 2 2 8 3 2 2" xfId="37446"/>
    <cellStyle name="Финансовый 2 2 8 3 3" xfId="9325"/>
    <cellStyle name="Финансовый 2 2 8 3 4" xfId="31648"/>
    <cellStyle name="Финансовый 2 2 8 4" xfId="846"/>
    <cellStyle name="Финансовый 2 2 8 4 2" xfId="15186"/>
    <cellStyle name="Финансовый 2 2 8 4 2 2" xfId="37501"/>
    <cellStyle name="Финансовый 2 2 8 4 3" xfId="9380"/>
    <cellStyle name="Финансовый 2 2 8 4 4" xfId="31702"/>
    <cellStyle name="Финансовый 2 2 8 5" xfId="988"/>
    <cellStyle name="Финансовый 2 2 8 5 2" xfId="15301"/>
    <cellStyle name="Финансовый 2 2 8 5 2 2" xfId="37616"/>
    <cellStyle name="Финансовый 2 2 8 5 3" xfId="9495"/>
    <cellStyle name="Финансовый 2 2 8 5 4" xfId="31814"/>
    <cellStyle name="Финансовый 2 2 8 6" xfId="1062"/>
    <cellStyle name="Финансовый 2 2 8 6 2" xfId="15375"/>
    <cellStyle name="Финансовый 2 2 8 6 2 2" xfId="37690"/>
    <cellStyle name="Финансовый 2 2 8 6 3" xfId="9569"/>
    <cellStyle name="Финансовый 2 2 8 6 4" xfId="31888"/>
    <cellStyle name="Финансовый 2 2 8 7" xfId="382"/>
    <cellStyle name="Финансовый 2 2 8 7 2" xfId="14785"/>
    <cellStyle name="Финансовый 2 2 8 7 2 2" xfId="37100"/>
    <cellStyle name="Финансовый 2 2 8 7 3" xfId="8979"/>
    <cellStyle name="Финансовый 2 2 8 7 4" xfId="31312"/>
    <cellStyle name="Финансовый 2 2 8 8" xfId="1635"/>
    <cellStyle name="Финансовый 2 2 8 8 2" xfId="15868"/>
    <cellStyle name="Финансовый 2 2 8 8 2 2" xfId="38183"/>
    <cellStyle name="Финансовый 2 2 8 8 3" xfId="10062"/>
    <cellStyle name="Финансовый 2 2 8 8 4" xfId="32377"/>
    <cellStyle name="Финансовый 2 2 8 9" xfId="1759"/>
    <cellStyle name="Финансовый 2 2 8 9 2" xfId="15981"/>
    <cellStyle name="Финансовый 2 2 8 9 2 2" xfId="38296"/>
    <cellStyle name="Финансовый 2 2 8 9 3" xfId="10175"/>
    <cellStyle name="Финансовый 2 2 8 9 4" xfId="32490"/>
    <cellStyle name="Финансовый 2 2 9" xfId="44"/>
    <cellStyle name="Финансовый 2 2 9 10" xfId="2370"/>
    <cellStyle name="Финансовый 2 2 9 10 2" xfId="16499"/>
    <cellStyle name="Финансовый 2 2 9 10 2 2" xfId="38814"/>
    <cellStyle name="Финансовый 2 2 9 10 3" xfId="10693"/>
    <cellStyle name="Финансовый 2 2 9 10 4" xfId="33008"/>
    <cellStyle name="Финансовый 2 2 9 11" xfId="2602"/>
    <cellStyle name="Финансовый 2 2 9 11 2" xfId="16689"/>
    <cellStyle name="Финансовый 2 2 9 11 2 2" xfId="39004"/>
    <cellStyle name="Финансовый 2 2 9 11 3" xfId="10883"/>
    <cellStyle name="Финансовый 2 2 9 11 4" xfId="33198"/>
    <cellStyle name="Финансовый 2 2 9 12" xfId="2824"/>
    <cellStyle name="Финансовый 2 2 9 12 2" xfId="16871"/>
    <cellStyle name="Финансовый 2 2 9 12 2 2" xfId="39186"/>
    <cellStyle name="Финансовый 2 2 9 12 3" xfId="11065"/>
    <cellStyle name="Финансовый 2 2 9 12 4" xfId="33380"/>
    <cellStyle name="Финансовый 2 2 9 13" xfId="3037"/>
    <cellStyle name="Финансовый 2 2 9 13 2" xfId="17044"/>
    <cellStyle name="Финансовый 2 2 9 13 2 2" xfId="39359"/>
    <cellStyle name="Финансовый 2 2 9 13 3" xfId="11238"/>
    <cellStyle name="Финансовый 2 2 9 13 4" xfId="33553"/>
    <cellStyle name="Финансовый 2 2 9 14" xfId="3238"/>
    <cellStyle name="Финансовый 2 2 9 14 2" xfId="17206"/>
    <cellStyle name="Финансовый 2 2 9 14 2 2" xfId="39521"/>
    <cellStyle name="Финансовый 2 2 9 14 3" xfId="11400"/>
    <cellStyle name="Финансовый 2 2 9 14 4" xfId="33715"/>
    <cellStyle name="Финансовый 2 2 9 15" xfId="3425"/>
    <cellStyle name="Финансовый 2 2 9 15 2" xfId="17354"/>
    <cellStyle name="Финансовый 2 2 9 15 2 2" xfId="39669"/>
    <cellStyle name="Финансовый 2 2 9 15 3" xfId="11548"/>
    <cellStyle name="Финансовый 2 2 9 15 4" xfId="33863"/>
    <cellStyle name="Финансовый 2 2 9 16" xfId="3597"/>
    <cellStyle name="Финансовый 2 2 9 16 2" xfId="17488"/>
    <cellStyle name="Финансовый 2 2 9 16 2 2" xfId="39803"/>
    <cellStyle name="Финансовый 2 2 9 16 3" xfId="11682"/>
    <cellStyle name="Финансовый 2 2 9 16 4" xfId="33997"/>
    <cellStyle name="Финансовый 2 2 9 17" xfId="3753"/>
    <cellStyle name="Финансовый 2 2 9 17 2" xfId="17606"/>
    <cellStyle name="Финансовый 2 2 9 17 2 2" xfId="39921"/>
    <cellStyle name="Финансовый 2 2 9 17 3" xfId="11800"/>
    <cellStyle name="Финансовый 2 2 9 17 4" xfId="34115"/>
    <cellStyle name="Финансовый 2 2 9 18" xfId="3876"/>
    <cellStyle name="Финансовый 2 2 9 18 2" xfId="17696"/>
    <cellStyle name="Финансовый 2 2 9 18 2 2" xfId="40011"/>
    <cellStyle name="Финансовый 2 2 9 18 3" xfId="11890"/>
    <cellStyle name="Финансовый 2 2 9 18 4" xfId="34205"/>
    <cellStyle name="Финансовый 2 2 9 19" xfId="7153"/>
    <cellStyle name="Финансовый 2 2 9 19 2" xfId="19469"/>
    <cellStyle name="Финансовый 2 2 9 19 2 2" xfId="41784"/>
    <cellStyle name="Финансовый 2 2 9 19 3" xfId="13663"/>
    <cellStyle name="Финансовый 2 2 9 19 4" xfId="35978"/>
    <cellStyle name="Финансовый 2 2 9 2" xfId="389"/>
    <cellStyle name="Финансовый 2 2 9 2 10" xfId="2601"/>
    <cellStyle name="Финансовый 2 2 9 2 10 2" xfId="16688"/>
    <cellStyle name="Финансовый 2 2 9 2 10 2 2" xfId="39003"/>
    <cellStyle name="Финансовый 2 2 9 2 10 3" xfId="10882"/>
    <cellStyle name="Финансовый 2 2 9 2 10 4" xfId="33197"/>
    <cellStyle name="Финансовый 2 2 9 2 11" xfId="2823"/>
    <cellStyle name="Финансовый 2 2 9 2 11 2" xfId="16870"/>
    <cellStyle name="Финансовый 2 2 9 2 11 2 2" xfId="39185"/>
    <cellStyle name="Финансовый 2 2 9 2 11 3" xfId="11064"/>
    <cellStyle name="Финансовый 2 2 9 2 11 4" xfId="33379"/>
    <cellStyle name="Финансовый 2 2 9 2 12" xfId="3036"/>
    <cellStyle name="Финансовый 2 2 9 2 12 2" xfId="17043"/>
    <cellStyle name="Финансовый 2 2 9 2 12 2 2" xfId="39358"/>
    <cellStyle name="Финансовый 2 2 9 2 12 3" xfId="11237"/>
    <cellStyle name="Финансовый 2 2 9 2 12 4" xfId="33552"/>
    <cellStyle name="Финансовый 2 2 9 2 13" xfId="3237"/>
    <cellStyle name="Финансовый 2 2 9 2 13 2" xfId="17205"/>
    <cellStyle name="Финансовый 2 2 9 2 13 2 2" xfId="39520"/>
    <cellStyle name="Финансовый 2 2 9 2 13 3" xfId="11399"/>
    <cellStyle name="Финансовый 2 2 9 2 13 4" xfId="33714"/>
    <cellStyle name="Финансовый 2 2 9 2 14" xfId="3424"/>
    <cellStyle name="Финансовый 2 2 9 2 14 2" xfId="17353"/>
    <cellStyle name="Финансовый 2 2 9 2 14 2 2" xfId="39668"/>
    <cellStyle name="Финансовый 2 2 9 2 14 3" xfId="11547"/>
    <cellStyle name="Финансовый 2 2 9 2 14 4" xfId="33862"/>
    <cellStyle name="Финансовый 2 2 9 2 15" xfId="7556"/>
    <cellStyle name="Финансовый 2 2 9 2 15 2" xfId="19689"/>
    <cellStyle name="Финансовый 2 2 9 2 15 2 2" xfId="42004"/>
    <cellStyle name="Финансовый 2 2 9 2 15 3" xfId="13883"/>
    <cellStyle name="Финансовый 2 2 9 2 15 4" xfId="36198"/>
    <cellStyle name="Финансовый 2 2 9 2 16" xfId="8360"/>
    <cellStyle name="Финансовый 2 2 9 2 16 2" xfId="20151"/>
    <cellStyle name="Финансовый 2 2 9 2 16 2 2" xfId="42466"/>
    <cellStyle name="Финансовый 2 2 9 2 16 3" xfId="14345"/>
    <cellStyle name="Финансовый 2 2 9 2 16 4" xfId="36660"/>
    <cellStyle name="Финансовый 2 2 9 2 17" xfId="8125"/>
    <cellStyle name="Финансовый 2 2 9 2 17 2" xfId="20009"/>
    <cellStyle name="Финансовый 2 2 9 2 17 2 2" xfId="42324"/>
    <cellStyle name="Финансовый 2 2 9 2 17 3" xfId="14203"/>
    <cellStyle name="Финансовый 2 2 9 2 17 4" xfId="36518"/>
    <cellStyle name="Финансовый 2 2 9 2 18" xfId="14792"/>
    <cellStyle name="Финансовый 2 2 9 2 18 2" xfId="37107"/>
    <cellStyle name="Финансовый 2 2 9 2 19" xfId="8986"/>
    <cellStyle name="Финансовый 2 2 9 2 2" xfId="634"/>
    <cellStyle name="Финансовый 2 2 9 2 2 2" xfId="15013"/>
    <cellStyle name="Финансовый 2 2 9 2 2 2 2" xfId="37328"/>
    <cellStyle name="Финансовый 2 2 9 2 2 3" xfId="9207"/>
    <cellStyle name="Финансовый 2 2 9 2 2 4" xfId="31531"/>
    <cellStyle name="Финансовый 2 2 9 2 20" xfId="31319"/>
    <cellStyle name="Финансовый 2 2 9 2 3" xfId="1392"/>
    <cellStyle name="Финансовый 2 2 9 2 3 2" xfId="15639"/>
    <cellStyle name="Финансовый 2 2 9 2 3 2 2" xfId="37954"/>
    <cellStyle name="Финансовый 2 2 9 2 3 3" xfId="9833"/>
    <cellStyle name="Финансовый 2 2 9 2 3 4" xfId="32148"/>
    <cellStyle name="Финансовый 2 2 9 2 4" xfId="436"/>
    <cellStyle name="Финансовый 2 2 9 2 4 2" xfId="14839"/>
    <cellStyle name="Финансовый 2 2 9 2 4 2 2" xfId="37154"/>
    <cellStyle name="Финансовый 2 2 9 2 4 3" xfId="9033"/>
    <cellStyle name="Финансовый 2 2 9 2 4 4" xfId="31366"/>
    <cellStyle name="Финансовый 2 2 9 2 5" xfId="1721"/>
    <cellStyle name="Финансовый 2 2 9 2 5 2" xfId="15946"/>
    <cellStyle name="Финансовый 2 2 9 2 5 2 2" xfId="38261"/>
    <cellStyle name="Финансовый 2 2 9 2 5 3" xfId="10140"/>
    <cellStyle name="Финансовый 2 2 9 2 5 4" xfId="32455"/>
    <cellStyle name="Финансовый 2 2 9 2 6" xfId="494"/>
    <cellStyle name="Финансовый 2 2 9 2 6 2" xfId="14896"/>
    <cellStyle name="Финансовый 2 2 9 2 6 2 2" xfId="37211"/>
    <cellStyle name="Финансовый 2 2 9 2 6 3" xfId="9090"/>
    <cellStyle name="Финансовый 2 2 9 2 6 4" xfId="31423"/>
    <cellStyle name="Финансовый 2 2 9 2 7" xfId="1896"/>
    <cellStyle name="Финансовый 2 2 9 2 7 2" xfId="16109"/>
    <cellStyle name="Финансовый 2 2 9 2 7 2 2" xfId="38424"/>
    <cellStyle name="Финансовый 2 2 9 2 7 3" xfId="10303"/>
    <cellStyle name="Финансовый 2 2 9 2 7 4" xfId="32618"/>
    <cellStyle name="Финансовый 2 2 9 2 8" xfId="2134"/>
    <cellStyle name="Финансовый 2 2 9 2 8 2" xfId="16305"/>
    <cellStyle name="Финансовый 2 2 9 2 8 2 2" xfId="38620"/>
    <cellStyle name="Финансовый 2 2 9 2 8 3" xfId="10499"/>
    <cellStyle name="Финансовый 2 2 9 2 8 4" xfId="32814"/>
    <cellStyle name="Финансовый 2 2 9 2 9" xfId="2369"/>
    <cellStyle name="Финансовый 2 2 9 2 9 2" xfId="16498"/>
    <cellStyle name="Финансовый 2 2 9 2 9 2 2" xfId="38813"/>
    <cellStyle name="Финансовый 2 2 9 2 9 3" xfId="10692"/>
    <cellStyle name="Финансовый 2 2 9 2 9 4" xfId="33007"/>
    <cellStyle name="Финансовый 2 2 9 20" xfId="8541"/>
    <cellStyle name="Финансовый 2 2 9 20 2" xfId="20252"/>
    <cellStyle name="Финансовый 2 2 9 20 2 2" xfId="42567"/>
    <cellStyle name="Финансовый 2 2 9 20 3" xfId="14446"/>
    <cellStyle name="Финансовый 2 2 9 20 4" xfId="36761"/>
    <cellStyle name="Финансовый 2 2 9 21" xfId="4993"/>
    <cellStyle name="Финансовый 2 2 9 21 2" xfId="18303"/>
    <cellStyle name="Финансовый 2 2 9 21 2 2" xfId="40618"/>
    <cellStyle name="Финансовый 2 2 9 21 3" xfId="12497"/>
    <cellStyle name="Финансовый 2 2 9 21 4" xfId="34812"/>
    <cellStyle name="Финансовый 2 2 9 22" xfId="14581"/>
    <cellStyle name="Финансовый 2 2 9 22 2" xfId="36896"/>
    <cellStyle name="Финансовый 2 2 9 23" xfId="8775"/>
    <cellStyle name="Финансовый 2 2 9 24" xfId="31141"/>
    <cellStyle name="Финансовый 2 2 9 3" xfId="739"/>
    <cellStyle name="Финансовый 2 2 9 3 2" xfId="15117"/>
    <cellStyle name="Финансовый 2 2 9 3 2 2" xfId="37432"/>
    <cellStyle name="Финансовый 2 2 9 3 3" xfId="9311"/>
    <cellStyle name="Финансовый 2 2 9 3 4" xfId="31634"/>
    <cellStyle name="Финансовый 2 2 9 4" xfId="833"/>
    <cellStyle name="Финансовый 2 2 9 4 2" xfId="15173"/>
    <cellStyle name="Финансовый 2 2 9 4 2 2" xfId="37488"/>
    <cellStyle name="Финансовый 2 2 9 4 3" xfId="9367"/>
    <cellStyle name="Финансовый 2 2 9 4 4" xfId="31689"/>
    <cellStyle name="Финансовый 2 2 9 5" xfId="991"/>
    <cellStyle name="Финансовый 2 2 9 5 2" xfId="15304"/>
    <cellStyle name="Финансовый 2 2 9 5 2 2" xfId="37619"/>
    <cellStyle name="Финансовый 2 2 9 5 3" xfId="9498"/>
    <cellStyle name="Финансовый 2 2 9 5 4" xfId="31817"/>
    <cellStyle name="Финансовый 2 2 9 6" xfId="1049"/>
    <cellStyle name="Финансовый 2 2 9 6 2" xfId="15362"/>
    <cellStyle name="Финансовый 2 2 9 6 2 2" xfId="37677"/>
    <cellStyle name="Финансовый 2 2 9 6 3" xfId="9556"/>
    <cellStyle name="Финансовый 2 2 9 6 4" xfId="31875"/>
    <cellStyle name="Финансовый 2 2 9 7" xfId="548"/>
    <cellStyle name="Финансовый 2 2 9 7 2" xfId="14949"/>
    <cellStyle name="Финансовый 2 2 9 7 2 2" xfId="37264"/>
    <cellStyle name="Финансовый 2 2 9 7 3" xfId="9143"/>
    <cellStyle name="Финансовый 2 2 9 7 4" xfId="31476"/>
    <cellStyle name="Финансовый 2 2 9 8" xfId="1897"/>
    <cellStyle name="Финансовый 2 2 9 8 2" xfId="16110"/>
    <cellStyle name="Финансовый 2 2 9 8 2 2" xfId="38425"/>
    <cellStyle name="Финансовый 2 2 9 8 3" xfId="10304"/>
    <cellStyle name="Финансовый 2 2 9 8 4" xfId="32619"/>
    <cellStyle name="Финансовый 2 2 9 9" xfId="2135"/>
    <cellStyle name="Финансовый 2 2 9 9 2" xfId="16306"/>
    <cellStyle name="Финансовый 2 2 9 9 2 2" xfId="38621"/>
    <cellStyle name="Финансовый 2 2 9 9 3" xfId="10500"/>
    <cellStyle name="Финансовый 2 2 9 9 4" xfId="32815"/>
    <cellStyle name="Финансовый 2 20" xfId="81"/>
    <cellStyle name="Финансовый 2 21" xfId="86"/>
    <cellStyle name="Финансовый 2 22" xfId="91"/>
    <cellStyle name="Финансовый 2 23" xfId="96"/>
    <cellStyle name="Финансовый 2 24" xfId="101"/>
    <cellStyle name="Финансовый 2 25" xfId="106"/>
    <cellStyle name="Финансовый 2 26" xfId="111"/>
    <cellStyle name="Финансовый 2 27" xfId="116"/>
    <cellStyle name="Финансовый 2 28" xfId="121"/>
    <cellStyle name="Финансовый 2 29" xfId="126"/>
    <cellStyle name="Финансовый 2 3" xfId="10"/>
    <cellStyle name="Финансовый 2 3 2" xfId="13"/>
    <cellStyle name="Финансовый 2 3 2 10" xfId="2381"/>
    <cellStyle name="Финансовый 2 3 2 10 2" xfId="16508"/>
    <cellStyle name="Финансовый 2 3 2 10 2 2" xfId="38823"/>
    <cellStyle name="Финансовый 2 3 2 10 3" xfId="10702"/>
    <cellStyle name="Финансовый 2 3 2 10 4" xfId="33017"/>
    <cellStyle name="Финансовый 2 3 2 11" xfId="2613"/>
    <cellStyle name="Финансовый 2 3 2 11 2" xfId="16698"/>
    <cellStyle name="Финансовый 2 3 2 11 2 2" xfId="39013"/>
    <cellStyle name="Финансовый 2 3 2 11 3" xfId="10892"/>
    <cellStyle name="Финансовый 2 3 2 11 4" xfId="33207"/>
    <cellStyle name="Финансовый 2 3 2 12" xfId="2834"/>
    <cellStyle name="Финансовый 2 3 2 12 2" xfId="16879"/>
    <cellStyle name="Финансовый 2 3 2 12 2 2" xfId="39194"/>
    <cellStyle name="Финансовый 2 3 2 12 3" xfId="11073"/>
    <cellStyle name="Финансовый 2 3 2 12 4" xfId="33388"/>
    <cellStyle name="Финансовый 2 3 2 13" xfId="3047"/>
    <cellStyle name="Финансовый 2 3 2 13 2" xfId="17052"/>
    <cellStyle name="Финансовый 2 3 2 13 2 2" xfId="39367"/>
    <cellStyle name="Финансовый 2 3 2 13 3" xfId="11246"/>
    <cellStyle name="Финансовый 2 3 2 13 4" xfId="33561"/>
    <cellStyle name="Финансовый 2 3 2 14" xfId="3247"/>
    <cellStyle name="Финансовый 2 3 2 14 2" xfId="17213"/>
    <cellStyle name="Финансовый 2 3 2 14 2 2" xfId="39528"/>
    <cellStyle name="Финансовый 2 3 2 14 3" xfId="11407"/>
    <cellStyle name="Финансовый 2 3 2 14 4" xfId="33722"/>
    <cellStyle name="Финансовый 2 3 2 15" xfId="3434"/>
    <cellStyle name="Финансовый 2 3 2 15 2" xfId="17361"/>
    <cellStyle name="Финансовый 2 3 2 15 2 2" xfId="39676"/>
    <cellStyle name="Финансовый 2 3 2 15 3" xfId="11555"/>
    <cellStyle name="Финансовый 2 3 2 15 4" xfId="33870"/>
    <cellStyle name="Финансовый 2 3 2 16" xfId="3606"/>
    <cellStyle name="Финансовый 2 3 2 16 2" xfId="17495"/>
    <cellStyle name="Финансовый 2 3 2 16 2 2" xfId="39810"/>
    <cellStyle name="Финансовый 2 3 2 16 3" xfId="11689"/>
    <cellStyle name="Финансовый 2 3 2 16 4" xfId="34004"/>
    <cellStyle name="Финансовый 2 3 2 17" xfId="3761"/>
    <cellStyle name="Финансовый 2 3 2 17 2" xfId="17612"/>
    <cellStyle name="Финансовый 2 3 2 17 2 2" xfId="39927"/>
    <cellStyle name="Финансовый 2 3 2 17 3" xfId="11806"/>
    <cellStyle name="Финансовый 2 3 2 17 4" xfId="34121"/>
    <cellStyle name="Финансовый 2 3 2 18" xfId="3881"/>
    <cellStyle name="Финансовый 2 3 2 18 2" xfId="17699"/>
    <cellStyle name="Финансовый 2 3 2 18 2 2" xfId="40014"/>
    <cellStyle name="Финансовый 2 3 2 18 3" xfId="11893"/>
    <cellStyle name="Финансовый 2 3 2 18 4" xfId="34208"/>
    <cellStyle name="Финансовый 2 3 2 19" xfId="7423"/>
    <cellStyle name="Финансовый 2 3 2 19 2" xfId="19618"/>
    <cellStyle name="Финансовый 2 3 2 19 2 2" xfId="41933"/>
    <cellStyle name="Финансовый 2 3 2 19 3" xfId="13812"/>
    <cellStyle name="Финансовый 2 3 2 19 4" xfId="36127"/>
    <cellStyle name="Финансовый 2 3 2 2" xfId="359"/>
    <cellStyle name="Финансовый 2 3 2 2 10" xfId="2069"/>
    <cellStyle name="Финансовый 2 3 2 2 10 2" xfId="16244"/>
    <cellStyle name="Финансовый 2 3 2 2 10 2 2" xfId="38559"/>
    <cellStyle name="Финансовый 2 3 2 2 10 3" xfId="10438"/>
    <cellStyle name="Финансовый 2 3 2 2 10 4" xfId="32753"/>
    <cellStyle name="Финансовый 2 3 2 2 11" xfId="2304"/>
    <cellStyle name="Финансовый 2 3 2 2 11 2" xfId="16437"/>
    <cellStyle name="Финансовый 2 3 2 2 11 2 2" xfId="38752"/>
    <cellStyle name="Финансовый 2 3 2 2 11 3" xfId="10631"/>
    <cellStyle name="Финансовый 2 3 2 2 11 4" xfId="32946"/>
    <cellStyle name="Финансовый 2 3 2 2 12" xfId="2537"/>
    <cellStyle name="Финансовый 2 3 2 2 12 2" xfId="16628"/>
    <cellStyle name="Финансовый 2 3 2 2 12 2 2" xfId="38943"/>
    <cellStyle name="Финансовый 2 3 2 2 12 3" xfId="10822"/>
    <cellStyle name="Финансовый 2 3 2 2 12 4" xfId="33137"/>
    <cellStyle name="Финансовый 2 3 2 2 13" xfId="2763"/>
    <cellStyle name="Финансовый 2 3 2 2 13 2" xfId="16813"/>
    <cellStyle name="Финансовый 2 3 2 2 13 2 2" xfId="39128"/>
    <cellStyle name="Финансовый 2 3 2 2 13 3" xfId="11007"/>
    <cellStyle name="Финансовый 2 3 2 2 13 4" xfId="33322"/>
    <cellStyle name="Финансовый 2 3 2 2 14" xfId="2981"/>
    <cellStyle name="Финансовый 2 3 2 2 14 2" xfId="16991"/>
    <cellStyle name="Финансовый 2 3 2 2 14 2 2" xfId="39306"/>
    <cellStyle name="Финансовый 2 3 2 2 14 3" xfId="11185"/>
    <cellStyle name="Финансовый 2 3 2 2 14 4" xfId="33500"/>
    <cellStyle name="Финансовый 2 3 2 2 15" xfId="6133"/>
    <cellStyle name="Финансовый 2 3 2 2 15 2" xfId="18921"/>
    <cellStyle name="Финансовый 2 3 2 2 15 2 2" xfId="41236"/>
    <cellStyle name="Финансовый 2 3 2 2 15 3" xfId="13115"/>
    <cellStyle name="Финансовый 2 3 2 2 15 4" xfId="35430"/>
    <cellStyle name="Финансовый 2 3 2 2 16" xfId="8339"/>
    <cellStyle name="Финансовый 2 3 2 2 16 2" xfId="20134"/>
    <cellStyle name="Финансовый 2 3 2 2 16 2 2" xfId="42449"/>
    <cellStyle name="Финансовый 2 3 2 2 16 3" xfId="14328"/>
    <cellStyle name="Финансовый 2 3 2 2 16 4" xfId="36643"/>
    <cellStyle name="Финансовый 2 3 2 2 17" xfId="7192"/>
    <cellStyle name="Финансовый 2 3 2 2 17 2" xfId="19494"/>
    <cellStyle name="Финансовый 2 3 2 2 17 2 2" xfId="41809"/>
    <cellStyle name="Финансовый 2 3 2 2 17 3" xfId="13688"/>
    <cellStyle name="Финансовый 2 3 2 2 17 4" xfId="36003"/>
    <cellStyle name="Финансовый 2 3 2 2 18" xfId="14762"/>
    <cellStyle name="Финансовый 2 3 2 2 18 2" xfId="37077"/>
    <cellStyle name="Финансовый 2 3 2 2 19" xfId="8956"/>
    <cellStyle name="Финансовый 2 3 2 2 2" xfId="611"/>
    <cellStyle name="Финансовый 2 3 2 2 2 2" xfId="14991"/>
    <cellStyle name="Финансовый 2 3 2 2 2 2 2" xfId="37306"/>
    <cellStyle name="Финансовый 2 3 2 2 2 3" xfId="9185"/>
    <cellStyle name="Финансовый 2 3 2 2 2 4" xfId="31510"/>
    <cellStyle name="Финансовый 2 3 2 2 20" xfId="31289"/>
    <cellStyle name="Финансовый 2 3 2 2 3" xfId="1369"/>
    <cellStyle name="Финансовый 2 3 2 2 3 2" xfId="15618"/>
    <cellStyle name="Финансовый 2 3 2 2 3 2 2" xfId="37933"/>
    <cellStyle name="Финансовый 2 3 2 2 3 3" xfId="9812"/>
    <cellStyle name="Финансовый 2 3 2 2 3 4" xfId="32127"/>
    <cellStyle name="Финансовый 2 3 2 2 4" xfId="1519"/>
    <cellStyle name="Финансовый 2 3 2 2 4 2" xfId="15759"/>
    <cellStyle name="Финансовый 2 3 2 2 4 2 2" xfId="38074"/>
    <cellStyle name="Финансовый 2 3 2 2 4 3" xfId="9953"/>
    <cellStyle name="Финансовый 2 3 2 2 4 4" xfId="32268"/>
    <cellStyle name="Финансовый 2 3 2 2 5" xfId="386"/>
    <cellStyle name="Финансовый 2 3 2 2 5 2" xfId="14789"/>
    <cellStyle name="Финансовый 2 3 2 2 5 2 2" xfId="37104"/>
    <cellStyle name="Финансовый 2 3 2 2 5 3" xfId="8983"/>
    <cellStyle name="Финансовый 2 3 2 2 5 4" xfId="31316"/>
    <cellStyle name="Финансовый 2 3 2 2 6" xfId="1691"/>
    <cellStyle name="Финансовый 2 3 2 2 6 2" xfId="15920"/>
    <cellStyle name="Финансовый 2 3 2 2 6 2 2" xfId="38235"/>
    <cellStyle name="Финансовый 2 3 2 2 6 3" xfId="10114"/>
    <cellStyle name="Финансовый 2 3 2 2 6 4" xfId="32429"/>
    <cellStyle name="Финансовый 2 3 2 2 7" xfId="1476"/>
    <cellStyle name="Финансовый 2 3 2 2 7 2" xfId="15718"/>
    <cellStyle name="Финансовый 2 3 2 2 7 2 2" xfId="38033"/>
    <cellStyle name="Финансовый 2 3 2 2 7 3" xfId="9912"/>
    <cellStyle name="Финансовый 2 3 2 2 7 4" xfId="32227"/>
    <cellStyle name="Финансовый 2 3 2 2 8" xfId="1424"/>
    <cellStyle name="Финансовый 2 3 2 2 8 2" xfId="15667"/>
    <cellStyle name="Финансовый 2 3 2 2 8 2 2" xfId="37982"/>
    <cellStyle name="Финансовый 2 3 2 2 8 3" xfId="9861"/>
    <cellStyle name="Финансовый 2 3 2 2 8 4" xfId="32176"/>
    <cellStyle name="Финансовый 2 3 2 2 9" xfId="1831"/>
    <cellStyle name="Финансовый 2 3 2 2 9 2" xfId="16048"/>
    <cellStyle name="Финансовый 2 3 2 2 9 2 2" xfId="38363"/>
    <cellStyle name="Финансовый 2 3 2 2 9 3" xfId="10242"/>
    <cellStyle name="Финансовый 2 3 2 2 9 4" xfId="32557"/>
    <cellStyle name="Финансовый 2 3 2 20" xfId="284"/>
    <cellStyle name="Финансовый 2 3 2 20 2" xfId="14714"/>
    <cellStyle name="Финансовый 2 3 2 20 2 2" xfId="37029"/>
    <cellStyle name="Финансовый 2 3 2 20 3" xfId="8908"/>
    <cellStyle name="Финансовый 2 3 2 20 4" xfId="31243"/>
    <cellStyle name="Финансовый 2 3 2 21" xfId="5288"/>
    <cellStyle name="Финансовый 2 3 2 21 2" xfId="18465"/>
    <cellStyle name="Финансовый 2 3 2 21 2 2" xfId="40780"/>
    <cellStyle name="Финансовый 2 3 2 21 3" xfId="12659"/>
    <cellStyle name="Финансовый 2 3 2 21 4" xfId="34974"/>
    <cellStyle name="Финансовый 2 3 2 22" xfId="14567"/>
    <cellStyle name="Финансовый 2 3 2 22 2" xfId="36882"/>
    <cellStyle name="Финансовый 2 3 2 23" xfId="8761"/>
    <cellStyle name="Финансовый 2 3 2 24" xfId="31130"/>
    <cellStyle name="Финансовый 2 3 2 3" xfId="721"/>
    <cellStyle name="Финансовый 2 3 2 3 2" xfId="15100"/>
    <cellStyle name="Финансовый 2 3 2 3 2 2" xfId="37415"/>
    <cellStyle name="Финансовый 2 3 2 3 3" xfId="9294"/>
    <cellStyle name="Финансовый 2 3 2 3 4" xfId="31617"/>
    <cellStyle name="Финансовый 2 3 2 4" xfId="900"/>
    <cellStyle name="Финансовый 2 3 2 4 2" xfId="15231"/>
    <cellStyle name="Финансовый 2 3 2 4 2 2" xfId="37546"/>
    <cellStyle name="Финансовый 2 3 2 4 3" xfId="9425"/>
    <cellStyle name="Финансовый 2 3 2 4 4" xfId="31745"/>
    <cellStyle name="Финансовый 2 3 2 5" xfId="970"/>
    <cellStyle name="Финансовый 2 3 2 5 2" xfId="15284"/>
    <cellStyle name="Финансовый 2 3 2 5 2 2" xfId="37599"/>
    <cellStyle name="Финансовый 2 3 2 5 3" xfId="9478"/>
    <cellStyle name="Финансовый 2 3 2 5 4" xfId="31798"/>
    <cellStyle name="Финансовый 2 3 2 6" xfId="1116"/>
    <cellStyle name="Финансовый 2 3 2 6 2" xfId="15420"/>
    <cellStyle name="Финансовый 2 3 2 6 2 2" xfId="37735"/>
    <cellStyle name="Финансовый 2 3 2 6 3" xfId="9614"/>
    <cellStyle name="Финансовый 2 3 2 6 4" xfId="31931"/>
    <cellStyle name="Финансовый 2 3 2 7" xfId="528"/>
    <cellStyle name="Финансовый 2 3 2 7 2" xfId="14929"/>
    <cellStyle name="Финансовый 2 3 2 7 2 2" xfId="37244"/>
    <cellStyle name="Финансовый 2 3 2 7 3" xfId="9123"/>
    <cellStyle name="Финансовый 2 3 2 7 4" xfId="31456"/>
    <cellStyle name="Финансовый 2 3 2 8" xfId="1909"/>
    <cellStyle name="Финансовый 2 3 2 8 2" xfId="16120"/>
    <cellStyle name="Финансовый 2 3 2 8 2 2" xfId="38435"/>
    <cellStyle name="Финансовый 2 3 2 8 3" xfId="10314"/>
    <cellStyle name="Финансовый 2 3 2 8 4" xfId="32629"/>
    <cellStyle name="Финансовый 2 3 2 9" xfId="2146"/>
    <cellStyle name="Финансовый 2 3 2 9 2" xfId="16315"/>
    <cellStyle name="Финансовый 2 3 2 9 2 2" xfId="38630"/>
    <cellStyle name="Финансовый 2 3 2 9 3" xfId="10509"/>
    <cellStyle name="Финансовый 2 3 2 9 4" xfId="32824"/>
    <cellStyle name="Финансовый 2 30" xfId="131"/>
    <cellStyle name="Финансовый 2 31" xfId="136"/>
    <cellStyle name="Финансовый 2 32" xfId="141"/>
    <cellStyle name="Финансовый 2 33" xfId="146"/>
    <cellStyle name="Финансовый 2 34" xfId="151"/>
    <cellStyle name="Финансовый 2 35" xfId="156"/>
    <cellStyle name="Финансовый 2 36" xfId="161"/>
    <cellStyle name="Финансовый 2 37" xfId="166"/>
    <cellStyle name="Финансовый 2 38" xfId="171"/>
    <cellStyle name="Финансовый 2 39" xfId="176"/>
    <cellStyle name="Финансовый 2 4" xfId="16"/>
    <cellStyle name="Финансовый 2 40" xfId="181"/>
    <cellStyle name="Финансовый 2 41" xfId="186"/>
    <cellStyle name="Финансовый 2 42" xfId="205"/>
    <cellStyle name="Финансовый 2 42 2" xfId="763"/>
    <cellStyle name="Финансовый 2 42 2 2" xfId="768"/>
    <cellStyle name="Финансовый 2 42 2 3" xfId="883"/>
    <cellStyle name="Финансовый 2 42 2 4" xfId="941"/>
    <cellStyle name="Финансовый 2 42 2 5" xfId="1099"/>
    <cellStyle name="Финансовый 2 42 2 6" xfId="1157"/>
    <cellStyle name="Финансовый 2 42 2 7" xfId="15141"/>
    <cellStyle name="Финансовый 2 42 2 7 2" xfId="37456"/>
    <cellStyle name="Финансовый 2 42 2 8" xfId="9335"/>
    <cellStyle name="Финансовый 2 42 2 9" xfId="31658"/>
    <cellStyle name="Финансовый 2 42 3" xfId="809"/>
    <cellStyle name="Финансовый 2 42 4" xfId="820"/>
    <cellStyle name="Финансовый 2 42 5" xfId="878"/>
    <cellStyle name="Финансовый 2 42 5 2" xfId="15218"/>
    <cellStyle name="Финансовый 2 42 5 2 2" xfId="37533"/>
    <cellStyle name="Финансовый 2 42 5 3" xfId="9412"/>
    <cellStyle name="Финансовый 2 42 5 4" xfId="31734"/>
    <cellStyle name="Финансовый 2 42 6" xfId="936"/>
    <cellStyle name="Финансовый 2 42 6 2" xfId="15264"/>
    <cellStyle name="Финансовый 2 42 6 2 2" xfId="37579"/>
    <cellStyle name="Финансовый 2 42 6 3" xfId="9458"/>
    <cellStyle name="Финансовый 2 42 6 4" xfId="31778"/>
    <cellStyle name="Финансовый 2 42 7" xfId="1094"/>
    <cellStyle name="Финансовый 2 42 7 2" xfId="15407"/>
    <cellStyle name="Финансовый 2 42 7 2 2" xfId="37722"/>
    <cellStyle name="Финансовый 2 42 7 3" xfId="9601"/>
    <cellStyle name="Финансовый 2 42 7 4" xfId="31920"/>
    <cellStyle name="Финансовый 2 42 8" xfId="1152"/>
    <cellStyle name="Финансовый 2 42 8 2" xfId="15453"/>
    <cellStyle name="Финансовый 2 42 8 2 2" xfId="37768"/>
    <cellStyle name="Финансовый 2 42 8 3" xfId="9647"/>
    <cellStyle name="Финансовый 2 42 8 4" xfId="31964"/>
    <cellStyle name="Финансовый 2 43" xfId="553"/>
    <cellStyle name="Финансовый 2 43 2" xfId="777"/>
    <cellStyle name="Финансовый 2 43 3" xfId="892"/>
    <cellStyle name="Финансовый 2 43 4" xfId="949"/>
    <cellStyle name="Финансовый 2 43 5" xfId="1108"/>
    <cellStyle name="Финансовый 2 43 6" xfId="1165"/>
    <cellStyle name="Финансовый 2 43 7" xfId="14953"/>
    <cellStyle name="Финансовый 2 43 7 2" xfId="37268"/>
    <cellStyle name="Финансовый 2 43 8" xfId="9147"/>
    <cellStyle name="Финансовый 2 43 9" xfId="31480"/>
    <cellStyle name="Финансовый 2 44" xfId="560"/>
    <cellStyle name="Финансовый 2 44 2" xfId="776"/>
    <cellStyle name="Финансовый 2 44 3" xfId="891"/>
    <cellStyle name="Финансовый 2 44 4" xfId="948"/>
    <cellStyle name="Финансовый 2 44 5" xfId="1107"/>
    <cellStyle name="Финансовый 2 44 6" xfId="1164"/>
    <cellStyle name="Финансовый 2 44 7" xfId="14958"/>
    <cellStyle name="Финансовый 2 44 7 2" xfId="37273"/>
    <cellStyle name="Финансовый 2 44 8" xfId="9152"/>
    <cellStyle name="Финансовый 2 44 9" xfId="31485"/>
    <cellStyle name="Финансовый 2 45" xfId="567"/>
    <cellStyle name="Финансовый 2 45 2" xfId="778"/>
    <cellStyle name="Финансовый 2 45 3" xfId="893"/>
    <cellStyle name="Финансовый 2 45 4" xfId="950"/>
    <cellStyle name="Финансовый 2 45 5" xfId="1109"/>
    <cellStyle name="Финансовый 2 45 6" xfId="1166"/>
    <cellStyle name="Финансовый 2 45 7" xfId="14961"/>
    <cellStyle name="Финансовый 2 45 7 2" xfId="37276"/>
    <cellStyle name="Финансовый 2 45 8" xfId="9155"/>
    <cellStyle name="Финансовый 2 45 9" xfId="31487"/>
    <cellStyle name="Финансовый 2 46" xfId="352"/>
    <cellStyle name="Финансовый 2 47" xfId="593"/>
    <cellStyle name="Финансовый 2 47 2" xfId="779"/>
    <cellStyle name="Финансовый 2 47 3" xfId="894"/>
    <cellStyle name="Финансовый 2 47 4" xfId="951"/>
    <cellStyle name="Финансовый 2 47 5" xfId="1110"/>
    <cellStyle name="Финансовый 2 47 6" xfId="1167"/>
    <cellStyle name="Финансовый 2 48" xfId="780"/>
    <cellStyle name="Финансовый 2 49" xfId="781"/>
    <cellStyle name="Финансовый 2 5" xfId="21"/>
    <cellStyle name="Финансовый 2 50" xfId="782"/>
    <cellStyle name="Финансовый 2 51" xfId="784"/>
    <cellStyle name="Финансовый 2 52" xfId="783"/>
    <cellStyle name="Финансовый 2 53" xfId="785"/>
    <cellStyle name="Финансовый 2 54" xfId="787"/>
    <cellStyle name="Финансовый 2 55" xfId="786"/>
    <cellStyle name="Финансовый 2 56" xfId="788"/>
    <cellStyle name="Финансовый 2 57" xfId="790"/>
    <cellStyle name="Финансовый 2 58" xfId="789"/>
    <cellStyle name="Финансовый 2 59" xfId="791"/>
    <cellStyle name="Финансовый 2 6" xfId="15"/>
    <cellStyle name="Финансовый 2 60" xfId="792"/>
    <cellStyle name="Финансовый 2 61" xfId="793"/>
    <cellStyle name="Финансовый 2 62" xfId="794"/>
    <cellStyle name="Финансовый 2 63" xfId="795"/>
    <cellStyle name="Финансовый 2 64" xfId="796"/>
    <cellStyle name="Финансовый 2 65" xfId="797"/>
    <cellStyle name="Финансовый 2 66" xfId="798"/>
    <cellStyle name="Финансовый 2 67" xfId="800"/>
    <cellStyle name="Финансовый 2 67 2" xfId="15149"/>
    <cellStyle name="Финансовый 2 67 2 2" xfId="37464"/>
    <cellStyle name="Финансовый 2 67 3" xfId="9343"/>
    <cellStyle name="Финансовый 2 67 4" xfId="31665"/>
    <cellStyle name="Финансовый 2 68" xfId="807"/>
    <cellStyle name="Финансовый 2 68 2" xfId="15155"/>
    <cellStyle name="Финансовый 2 68 2 2" xfId="37470"/>
    <cellStyle name="Финансовый 2 68 3" xfId="9349"/>
    <cellStyle name="Финансовый 2 68 4" xfId="31671"/>
    <cellStyle name="Финансовый 2 69" xfId="1178"/>
    <cellStyle name="Финансовый 2 7" xfId="20"/>
    <cellStyle name="Финансовый 2 70" xfId="14561"/>
    <cellStyle name="Финансовый 2 70 2" xfId="36876"/>
    <cellStyle name="Финансовый 2 71" xfId="8755"/>
    <cellStyle name="Финансовый 2 72" xfId="31128"/>
    <cellStyle name="Финансовый 2 8" xfId="19"/>
    <cellStyle name="Финансовый 2 9" xfId="26"/>
    <cellStyle name="Финансовый 3" xfId="9"/>
    <cellStyle name="Финансовый 4" xfId="8"/>
    <cellStyle name="Финансовый 5" xfId="345"/>
    <cellStyle name="Финансовый 6" xfId="346"/>
    <cellStyle name="Финансовый 6 2" xfId="817"/>
    <cellStyle name="Финансовый 6 3" xfId="827"/>
    <cellStyle name="Финансовый 7" xfId="347"/>
    <cellStyle name="Финансовый 8" xfId="348"/>
    <cellStyle name="Финансовый 9" xfId="80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zoomScale="80" zoomScaleNormal="80" workbookViewId="0">
      <selection sqref="A1:XFD1048576"/>
    </sheetView>
  </sheetViews>
  <sheetFormatPr defaultRowHeight="15"/>
  <cols>
    <col min="1" max="1" width="18.28515625" customWidth="1"/>
    <col min="2" max="3" width="20.28515625" customWidth="1"/>
    <col min="4" max="4" width="64.5703125" customWidth="1"/>
    <col min="5" max="5" width="10.42578125" customWidth="1"/>
    <col min="7" max="7" width="14.28515625" customWidth="1"/>
    <col min="9" max="9" width="12.140625" customWidth="1"/>
    <col min="10" max="10" width="18.28515625" customWidth="1"/>
  </cols>
  <sheetData>
    <row r="1" spans="1:10" ht="30">
      <c r="A1" s="1" t="s">
        <v>4</v>
      </c>
      <c r="B1" s="1" t="s">
        <v>19</v>
      </c>
      <c r="C1" s="1" t="s">
        <v>24</v>
      </c>
      <c r="D1" s="1" t="s">
        <v>0</v>
      </c>
      <c r="E1" s="1" t="s">
        <v>8</v>
      </c>
      <c r="F1" s="1" t="s">
        <v>1</v>
      </c>
      <c r="G1" s="4" t="s">
        <v>9</v>
      </c>
      <c r="H1" s="7" t="s">
        <v>10</v>
      </c>
      <c r="I1" s="2" t="s">
        <v>11</v>
      </c>
      <c r="J1" s="1" t="s">
        <v>7</v>
      </c>
    </row>
    <row r="2" spans="1:10">
      <c r="A2" s="71" t="s">
        <v>5</v>
      </c>
      <c r="B2" s="71">
        <f>G2+G4</f>
        <v>1504621.0555555555</v>
      </c>
      <c r="C2" s="71">
        <v>1</v>
      </c>
      <c r="D2" s="64" t="s">
        <v>6</v>
      </c>
      <c r="E2" s="69">
        <v>0.11</v>
      </c>
      <c r="F2" s="3" t="s">
        <v>2</v>
      </c>
      <c r="G2" s="5">
        <v>1000000</v>
      </c>
      <c r="H2" s="9"/>
      <c r="I2" s="8">
        <f>H2*100/G2</f>
        <v>0</v>
      </c>
      <c r="J2" s="64" t="s">
        <v>12</v>
      </c>
    </row>
    <row r="3" spans="1:10">
      <c r="A3" s="72"/>
      <c r="B3" s="72"/>
      <c r="C3" s="72"/>
      <c r="D3" s="65"/>
      <c r="E3" s="70"/>
      <c r="F3" s="3" t="s">
        <v>3</v>
      </c>
      <c r="G3" s="6">
        <f>G2*E2</f>
        <v>110000</v>
      </c>
      <c r="H3" s="10"/>
      <c r="I3" s="8">
        <f>H3*100/G3</f>
        <v>0</v>
      </c>
      <c r="J3" s="65"/>
    </row>
    <row r="4" spans="1:10">
      <c r="A4" s="72"/>
      <c r="B4" s="72"/>
      <c r="C4" s="71">
        <v>2</v>
      </c>
      <c r="D4" s="64" t="s">
        <v>13</v>
      </c>
      <c r="E4" s="69">
        <f>0.56*1.08*2*0.063+0.003</f>
        <v>7.920480000000002E-2</v>
      </c>
      <c r="F4" s="3" t="s">
        <v>2</v>
      </c>
      <c r="G4" s="5">
        <f>'черновик с расчетами'!G4</f>
        <v>504621.0555555555</v>
      </c>
      <c r="H4" s="9"/>
      <c r="I4" s="8">
        <f>H4*100/G4</f>
        <v>0</v>
      </c>
      <c r="J4" s="64" t="s">
        <v>14</v>
      </c>
    </row>
    <row r="5" spans="1:10">
      <c r="A5" s="73"/>
      <c r="B5" s="73"/>
      <c r="C5" s="72"/>
      <c r="D5" s="65"/>
      <c r="E5" s="70"/>
      <c r="F5" s="3" t="s">
        <v>3</v>
      </c>
      <c r="G5" s="6">
        <f>G4*E4</f>
        <v>39968.409781066672</v>
      </c>
      <c r="H5" s="10"/>
      <c r="I5" s="8">
        <f>H5*100/G5</f>
        <v>0</v>
      </c>
      <c r="J5" s="65"/>
    </row>
    <row r="6" spans="1:10" ht="15" customHeight="1">
      <c r="A6" s="78" t="s">
        <v>15</v>
      </c>
      <c r="B6" s="80">
        <f>G6+G8+G10+G12+G14+G16+G18+G20+G22+G24</f>
        <v>65000</v>
      </c>
      <c r="C6" s="68">
        <v>3</v>
      </c>
      <c r="D6" s="64" t="s">
        <v>16</v>
      </c>
      <c r="E6" s="69">
        <v>1.272</v>
      </c>
      <c r="F6" s="3" t="s">
        <v>2</v>
      </c>
      <c r="G6" s="5">
        <v>5000</v>
      </c>
      <c r="H6" s="9"/>
      <c r="I6" s="8">
        <f t="shared" ref="I6:I11" si="0">H6*100/G6</f>
        <v>0</v>
      </c>
      <c r="J6" s="64" t="s">
        <v>32</v>
      </c>
    </row>
    <row r="7" spans="1:10">
      <c r="A7" s="78"/>
      <c r="B7" s="80"/>
      <c r="C7" s="68"/>
      <c r="D7" s="65"/>
      <c r="E7" s="70"/>
      <c r="F7" s="3" t="s">
        <v>3</v>
      </c>
      <c r="G7" s="6">
        <f>G6*E6</f>
        <v>6360</v>
      </c>
      <c r="H7" s="10"/>
      <c r="I7" s="8">
        <f t="shared" si="0"/>
        <v>0</v>
      </c>
      <c r="J7" s="65"/>
    </row>
    <row r="8" spans="1:10" ht="25.5" customHeight="1">
      <c r="A8" s="78"/>
      <c r="B8" s="80"/>
      <c r="C8" s="68">
        <v>4</v>
      </c>
      <c r="D8" s="64" t="s">
        <v>17</v>
      </c>
      <c r="E8" s="69">
        <v>1.51</v>
      </c>
      <c r="F8" s="3" t="s">
        <v>2</v>
      </c>
      <c r="G8" s="5">
        <v>20000</v>
      </c>
      <c r="H8" s="9"/>
      <c r="I8" s="8">
        <f t="shared" si="0"/>
        <v>0</v>
      </c>
      <c r="J8" s="64" t="s">
        <v>32</v>
      </c>
    </row>
    <row r="9" spans="1:10">
      <c r="A9" s="78"/>
      <c r="B9" s="80"/>
      <c r="C9" s="68"/>
      <c r="D9" s="65"/>
      <c r="E9" s="70"/>
      <c r="F9" s="3" t="s">
        <v>3</v>
      </c>
      <c r="G9" s="6">
        <f>G8*E8</f>
        <v>30200</v>
      </c>
      <c r="H9" s="10"/>
      <c r="I9" s="8">
        <f t="shared" si="0"/>
        <v>0</v>
      </c>
      <c r="J9" s="65"/>
    </row>
    <row r="10" spans="1:10">
      <c r="A10" s="78"/>
      <c r="B10" s="80"/>
      <c r="C10" s="68">
        <v>5</v>
      </c>
      <c r="D10" s="64" t="s">
        <v>18</v>
      </c>
      <c r="E10" s="69">
        <v>1.605</v>
      </c>
      <c r="F10" s="3" t="s">
        <v>2</v>
      </c>
      <c r="G10" s="5">
        <v>5000</v>
      </c>
      <c r="H10" s="9"/>
      <c r="I10" s="8">
        <f t="shared" si="0"/>
        <v>0</v>
      </c>
      <c r="J10" s="64" t="s">
        <v>32</v>
      </c>
    </row>
    <row r="11" spans="1:10">
      <c r="A11" s="78"/>
      <c r="B11" s="80"/>
      <c r="C11" s="68"/>
      <c r="D11" s="65"/>
      <c r="E11" s="70"/>
      <c r="F11" s="3" t="s">
        <v>3</v>
      </c>
      <c r="G11" s="6">
        <f>G10*E10</f>
        <v>8025</v>
      </c>
      <c r="H11" s="10"/>
      <c r="I11" s="8">
        <f t="shared" si="0"/>
        <v>0</v>
      </c>
      <c r="J11" s="65"/>
    </row>
    <row r="12" spans="1:10" ht="15" customHeight="1">
      <c r="A12" s="78"/>
      <c r="B12" s="80"/>
      <c r="C12" s="68">
        <v>6</v>
      </c>
      <c r="D12" s="64" t="s">
        <v>23</v>
      </c>
      <c r="E12" s="69">
        <v>1.401</v>
      </c>
      <c r="F12" s="3" t="s">
        <v>2</v>
      </c>
      <c r="G12" s="5">
        <v>3000</v>
      </c>
      <c r="H12" s="9"/>
      <c r="I12" s="8">
        <f t="shared" ref="I12:I25" si="1">H12*100/G12</f>
        <v>0</v>
      </c>
      <c r="J12" s="64" t="s">
        <v>31</v>
      </c>
    </row>
    <row r="13" spans="1:10">
      <c r="A13" s="78"/>
      <c r="B13" s="80"/>
      <c r="C13" s="68"/>
      <c r="D13" s="65"/>
      <c r="E13" s="70"/>
      <c r="F13" s="3" t="s">
        <v>3</v>
      </c>
      <c r="G13" s="6">
        <f>G12*E12</f>
        <v>4203</v>
      </c>
      <c r="H13" s="10"/>
      <c r="I13" s="8">
        <f t="shared" si="1"/>
        <v>0</v>
      </c>
      <c r="J13" s="65"/>
    </row>
    <row r="14" spans="1:10" s="21" customFormat="1">
      <c r="A14" s="78"/>
      <c r="B14" s="80"/>
      <c r="C14" s="79">
        <v>7</v>
      </c>
      <c r="D14" s="74" t="s">
        <v>22</v>
      </c>
      <c r="E14" s="76">
        <v>1.64</v>
      </c>
      <c r="F14" s="17" t="s">
        <v>2</v>
      </c>
      <c r="G14" s="18">
        <v>7000</v>
      </c>
      <c r="H14" s="19"/>
      <c r="I14" s="20">
        <f t="shared" si="1"/>
        <v>0</v>
      </c>
      <c r="J14" s="74" t="s">
        <v>31</v>
      </c>
    </row>
    <row r="15" spans="1:10" s="21" customFormat="1">
      <c r="A15" s="78"/>
      <c r="B15" s="80"/>
      <c r="C15" s="79"/>
      <c r="D15" s="75"/>
      <c r="E15" s="77"/>
      <c r="F15" s="17" t="s">
        <v>3</v>
      </c>
      <c r="G15" s="23">
        <f>G14*E14</f>
        <v>11480</v>
      </c>
      <c r="H15" s="24"/>
      <c r="I15" s="20">
        <f t="shared" si="1"/>
        <v>0</v>
      </c>
      <c r="J15" s="75"/>
    </row>
    <row r="16" spans="1:10" s="21" customFormat="1">
      <c r="A16" s="78"/>
      <c r="B16" s="80"/>
      <c r="C16" s="79">
        <v>8</v>
      </c>
      <c r="D16" s="74" t="s">
        <v>58</v>
      </c>
      <c r="E16" s="76">
        <v>1.661</v>
      </c>
      <c r="F16" s="17" t="s">
        <v>2</v>
      </c>
      <c r="G16" s="18">
        <v>5000</v>
      </c>
      <c r="H16" s="19"/>
      <c r="I16" s="20">
        <f t="shared" si="1"/>
        <v>0</v>
      </c>
      <c r="J16" s="74" t="s">
        <v>31</v>
      </c>
    </row>
    <row r="17" spans="1:10" s="21" customFormat="1">
      <c r="A17" s="78"/>
      <c r="B17" s="80"/>
      <c r="C17" s="79"/>
      <c r="D17" s="75"/>
      <c r="E17" s="77"/>
      <c r="F17" s="17" t="s">
        <v>3</v>
      </c>
      <c r="G17" s="23">
        <f>G16*E16</f>
        <v>8305</v>
      </c>
      <c r="H17" s="24"/>
      <c r="I17" s="20">
        <f t="shared" si="1"/>
        <v>0</v>
      </c>
      <c r="J17" s="75"/>
    </row>
    <row r="18" spans="1:10" s="21" customFormat="1">
      <c r="A18" s="78"/>
      <c r="B18" s="80"/>
      <c r="C18" s="79">
        <v>9</v>
      </c>
      <c r="D18" s="74" t="s">
        <v>57</v>
      </c>
      <c r="E18" s="76">
        <v>1.9410000000000001</v>
      </c>
      <c r="F18" s="17" t="s">
        <v>2</v>
      </c>
      <c r="G18" s="18">
        <v>5000</v>
      </c>
      <c r="H18" s="19"/>
      <c r="I18" s="20">
        <f t="shared" si="1"/>
        <v>0</v>
      </c>
      <c r="J18" s="74" t="s">
        <v>30</v>
      </c>
    </row>
    <row r="19" spans="1:10" s="21" customFormat="1">
      <c r="A19" s="78"/>
      <c r="B19" s="80"/>
      <c r="C19" s="79"/>
      <c r="D19" s="75"/>
      <c r="E19" s="77"/>
      <c r="F19" s="17" t="s">
        <v>3</v>
      </c>
      <c r="G19" s="23">
        <f>G18*E18</f>
        <v>9705</v>
      </c>
      <c r="H19" s="24"/>
      <c r="I19" s="20">
        <f t="shared" si="1"/>
        <v>0</v>
      </c>
      <c r="J19" s="75"/>
    </row>
    <row r="20" spans="1:10">
      <c r="A20" s="78"/>
      <c r="B20" s="80"/>
      <c r="C20" s="68">
        <v>10</v>
      </c>
      <c r="D20" s="74" t="s">
        <v>63</v>
      </c>
      <c r="E20" s="76">
        <v>1.532</v>
      </c>
      <c r="F20" s="3" t="s">
        <v>2</v>
      </c>
      <c r="G20" s="5">
        <v>5000</v>
      </c>
      <c r="H20" s="9"/>
      <c r="I20" s="8">
        <f t="shared" si="1"/>
        <v>0</v>
      </c>
      <c r="J20" s="64" t="s">
        <v>32</v>
      </c>
    </row>
    <row r="21" spans="1:10">
      <c r="A21" s="78"/>
      <c r="B21" s="80"/>
      <c r="C21" s="68"/>
      <c r="D21" s="75"/>
      <c r="E21" s="77"/>
      <c r="F21" s="3" t="s">
        <v>3</v>
      </c>
      <c r="G21" s="6">
        <f>G20*E20</f>
        <v>7660</v>
      </c>
      <c r="H21" s="10"/>
      <c r="I21" s="8">
        <f t="shared" si="1"/>
        <v>0</v>
      </c>
      <c r="J21" s="65"/>
    </row>
    <row r="22" spans="1:10" ht="15" customHeight="1">
      <c r="A22" s="78"/>
      <c r="B22" s="80"/>
      <c r="C22" s="68">
        <v>11</v>
      </c>
      <c r="D22" s="64" t="s">
        <v>20</v>
      </c>
      <c r="E22" s="69">
        <v>1.615</v>
      </c>
      <c r="F22" s="3" t="s">
        <v>2</v>
      </c>
      <c r="G22" s="5">
        <v>5000</v>
      </c>
      <c r="H22" s="9"/>
      <c r="I22" s="8">
        <f t="shared" si="1"/>
        <v>0</v>
      </c>
      <c r="J22" s="64" t="s">
        <v>29</v>
      </c>
    </row>
    <row r="23" spans="1:10">
      <c r="A23" s="78"/>
      <c r="B23" s="80"/>
      <c r="C23" s="68"/>
      <c r="D23" s="65"/>
      <c r="E23" s="70"/>
      <c r="F23" s="3" t="s">
        <v>3</v>
      </c>
      <c r="G23" s="6">
        <f>G22*E22</f>
        <v>8075</v>
      </c>
      <c r="H23" s="10"/>
      <c r="I23" s="8">
        <f t="shared" si="1"/>
        <v>0</v>
      </c>
      <c r="J23" s="65"/>
    </row>
    <row r="24" spans="1:10" ht="15" customHeight="1">
      <c r="A24" s="78"/>
      <c r="B24" s="80"/>
      <c r="C24" s="68">
        <v>12</v>
      </c>
      <c r="D24" s="64" t="s">
        <v>21</v>
      </c>
      <c r="E24" s="69">
        <v>1.71</v>
      </c>
      <c r="F24" s="3" t="s">
        <v>2</v>
      </c>
      <c r="G24" s="5">
        <v>5000</v>
      </c>
      <c r="H24" s="9"/>
      <c r="I24" s="8">
        <f t="shared" si="1"/>
        <v>0</v>
      </c>
      <c r="J24" s="64" t="s">
        <v>29</v>
      </c>
    </row>
    <row r="25" spans="1:10">
      <c r="A25" s="78"/>
      <c r="B25" s="80"/>
      <c r="C25" s="68"/>
      <c r="D25" s="65"/>
      <c r="E25" s="70"/>
      <c r="F25" s="3" t="s">
        <v>3</v>
      </c>
      <c r="G25" s="6">
        <f>G24*E24</f>
        <v>8550</v>
      </c>
      <c r="H25" s="10"/>
      <c r="I25" s="8">
        <f t="shared" si="1"/>
        <v>0</v>
      </c>
      <c r="J25" s="65"/>
    </row>
    <row r="26" spans="1:10" ht="15" customHeight="1">
      <c r="A26" s="67" t="s">
        <v>37</v>
      </c>
      <c r="B26" s="66">
        <f>G26+G28</f>
        <v>45000</v>
      </c>
      <c r="C26" s="68">
        <v>13</v>
      </c>
      <c r="D26" s="64" t="s">
        <v>35</v>
      </c>
      <c r="E26" s="69">
        <f>0.776</f>
        <v>0.77600000000000002</v>
      </c>
      <c r="F26" s="3" t="s">
        <v>2</v>
      </c>
      <c r="G26" s="5">
        <v>40000</v>
      </c>
      <c r="H26" s="9"/>
      <c r="I26" s="8">
        <f t="shared" ref="I26:I29" si="2">H26*100/G26</f>
        <v>0</v>
      </c>
      <c r="J26" s="64" t="s">
        <v>33</v>
      </c>
    </row>
    <row r="27" spans="1:10">
      <c r="A27" s="67"/>
      <c r="B27" s="67"/>
      <c r="C27" s="68"/>
      <c r="D27" s="65"/>
      <c r="E27" s="70"/>
      <c r="F27" s="3" t="s">
        <v>3</v>
      </c>
      <c r="G27" s="6">
        <f>G26*E26</f>
        <v>31040</v>
      </c>
      <c r="H27" s="10"/>
      <c r="I27" s="8">
        <f t="shared" si="2"/>
        <v>0</v>
      </c>
      <c r="J27" s="65"/>
    </row>
    <row r="28" spans="1:10">
      <c r="A28" s="67"/>
      <c r="B28" s="67"/>
      <c r="C28" s="68">
        <v>14</v>
      </c>
      <c r="D28" s="64" t="s">
        <v>36</v>
      </c>
      <c r="E28" s="69">
        <v>0.89900000000000002</v>
      </c>
      <c r="F28" s="3" t="s">
        <v>2</v>
      </c>
      <c r="G28" s="5">
        <v>5000</v>
      </c>
      <c r="H28" s="9"/>
      <c r="I28" s="8">
        <f t="shared" si="2"/>
        <v>0</v>
      </c>
      <c r="J28" s="64" t="s">
        <v>34</v>
      </c>
    </row>
    <row r="29" spans="1:10">
      <c r="A29" s="67"/>
      <c r="B29" s="67"/>
      <c r="C29" s="68"/>
      <c r="D29" s="65"/>
      <c r="E29" s="70"/>
      <c r="F29" s="3" t="s">
        <v>3</v>
      </c>
      <c r="G29" s="6">
        <f>G28*E28</f>
        <v>4495</v>
      </c>
      <c r="H29" s="10"/>
      <c r="I29" s="8">
        <f t="shared" si="2"/>
        <v>0</v>
      </c>
      <c r="J29" s="65"/>
    </row>
  </sheetData>
  <mergeCells count="62">
    <mergeCell ref="J22:J23"/>
    <mergeCell ref="J24:J25"/>
    <mergeCell ref="J16:J17"/>
    <mergeCell ref="J18:J19"/>
    <mergeCell ref="J20:J21"/>
    <mergeCell ref="E18:E19"/>
    <mergeCell ref="D20:D21"/>
    <mergeCell ref="E20:E21"/>
    <mergeCell ref="E22:E23"/>
    <mergeCell ref="B6:B25"/>
    <mergeCell ref="C22:C23"/>
    <mergeCell ref="D24:D25"/>
    <mergeCell ref="J12:J13"/>
    <mergeCell ref="D14:D15"/>
    <mergeCell ref="E14:E15"/>
    <mergeCell ref="J14:J15"/>
    <mergeCell ref="A6:A25"/>
    <mergeCell ref="C12:C13"/>
    <mergeCell ref="C14:C15"/>
    <mergeCell ref="C16:C17"/>
    <mergeCell ref="C18:C19"/>
    <mergeCell ref="C24:C25"/>
    <mergeCell ref="E24:E25"/>
    <mergeCell ref="C20:C21"/>
    <mergeCell ref="D22:D23"/>
    <mergeCell ref="D16:D17"/>
    <mergeCell ref="E16:E17"/>
    <mergeCell ref="D18:D19"/>
    <mergeCell ref="C2:C3"/>
    <mergeCell ref="C4:C5"/>
    <mergeCell ref="C6:C7"/>
    <mergeCell ref="C8:C9"/>
    <mergeCell ref="C10:C11"/>
    <mergeCell ref="J8:J9"/>
    <mergeCell ref="E10:E11"/>
    <mergeCell ref="J10:J11"/>
    <mergeCell ref="J2:J3"/>
    <mergeCell ref="D4:D5"/>
    <mergeCell ref="E4:E5"/>
    <mergeCell ref="J4:J5"/>
    <mergeCell ref="A2:A5"/>
    <mergeCell ref="J26:J27"/>
    <mergeCell ref="C26:C27"/>
    <mergeCell ref="D26:D27"/>
    <mergeCell ref="E26:E27"/>
    <mergeCell ref="B2:B5"/>
    <mergeCell ref="D6:D7"/>
    <mergeCell ref="E6:E7"/>
    <mergeCell ref="D2:D3"/>
    <mergeCell ref="E2:E3"/>
    <mergeCell ref="D12:D13"/>
    <mergeCell ref="E12:E13"/>
    <mergeCell ref="J6:J7"/>
    <mergeCell ref="D8:D9"/>
    <mergeCell ref="D10:D11"/>
    <mergeCell ref="E8:E9"/>
    <mergeCell ref="J28:J29"/>
    <mergeCell ref="B26:B29"/>
    <mergeCell ref="A26:A29"/>
    <mergeCell ref="C28:C29"/>
    <mergeCell ref="D28:D29"/>
    <mergeCell ref="E28:E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R25"/>
  <sheetViews>
    <sheetView tabSelected="1" zoomScale="80" zoomScaleNormal="80" workbookViewId="0">
      <selection activeCell="A11" sqref="A11:CR12"/>
    </sheetView>
  </sheetViews>
  <sheetFormatPr defaultRowHeight="15"/>
  <cols>
    <col min="1" max="1" width="9.140625" style="33"/>
    <col min="2" max="2" width="12.28515625" style="33" customWidth="1"/>
    <col min="3" max="3" width="11" style="33" customWidth="1"/>
    <col min="4" max="5" width="15.5703125" style="33" customWidth="1"/>
    <col min="6" max="6" width="14" style="33" customWidth="1"/>
    <col min="7" max="7" width="8.5703125" style="33" customWidth="1"/>
    <col min="8" max="9" width="9.140625" style="33"/>
    <col min="10" max="10" width="8.140625" style="33" customWidth="1"/>
    <col min="11" max="11" width="9.140625" style="33"/>
    <col min="12" max="12" width="12" style="33" customWidth="1"/>
    <col min="13" max="15" width="9.140625" style="33"/>
    <col min="16" max="16" width="12.42578125" style="33" bestFit="1" customWidth="1"/>
    <col min="17" max="17" width="9.140625" style="33"/>
    <col min="18" max="18" width="12" style="33" customWidth="1"/>
    <col min="19" max="21" width="9.140625" style="33"/>
    <col min="22" max="22" width="12.42578125" style="33" bestFit="1" customWidth="1"/>
    <col min="23" max="23" width="9.140625" style="33"/>
    <col min="24" max="24" width="12" style="33" customWidth="1"/>
    <col min="25" max="27" width="9.140625" style="33"/>
    <col min="28" max="28" width="12.42578125" style="33" bestFit="1" customWidth="1"/>
    <col min="29" max="29" width="9.140625" style="33"/>
    <col min="30" max="30" width="12" style="33" customWidth="1"/>
    <col min="31" max="33" width="9.140625" style="33"/>
    <col min="34" max="34" width="12.42578125" style="33" bestFit="1" customWidth="1"/>
    <col min="35" max="35" width="9.140625" style="33"/>
    <col min="36" max="36" width="12" style="33" customWidth="1"/>
    <col min="37" max="39" width="9.140625" style="33"/>
    <col min="40" max="40" width="12.42578125" style="33" bestFit="1" customWidth="1"/>
    <col min="41" max="41" width="9.140625" style="33"/>
    <col min="42" max="42" width="12" style="33" customWidth="1"/>
    <col min="43" max="45" width="9.140625" style="33"/>
    <col min="46" max="46" width="12.42578125" style="33" bestFit="1" customWidth="1"/>
    <col min="47" max="47" width="9.140625" style="33"/>
    <col min="48" max="48" width="12" style="33" customWidth="1"/>
    <col min="49" max="68" width="9.140625" style="33"/>
    <col min="69" max="69" width="9.140625" style="33" customWidth="1"/>
    <col min="70" max="16384" width="9.140625" style="33"/>
  </cols>
  <sheetData>
    <row r="1" spans="1:96" ht="15" customHeight="1">
      <c r="A1" s="81" t="s">
        <v>102</v>
      </c>
      <c r="B1" s="81" t="s">
        <v>103</v>
      </c>
      <c r="C1" s="83" t="s">
        <v>104</v>
      </c>
      <c r="D1" s="89" t="s">
        <v>105</v>
      </c>
      <c r="E1" s="90"/>
      <c r="F1" s="91"/>
      <c r="G1" s="85">
        <v>45809</v>
      </c>
      <c r="H1" s="86"/>
      <c r="I1" s="87"/>
      <c r="J1" s="85">
        <v>45810</v>
      </c>
      <c r="K1" s="86"/>
      <c r="L1" s="87"/>
      <c r="M1" s="85">
        <v>45811</v>
      </c>
      <c r="N1" s="86"/>
      <c r="O1" s="87"/>
      <c r="P1" s="85">
        <v>45812</v>
      </c>
      <c r="Q1" s="86"/>
      <c r="R1" s="87"/>
      <c r="S1" s="85">
        <v>45813</v>
      </c>
      <c r="T1" s="86"/>
      <c r="U1" s="87"/>
      <c r="V1" s="85">
        <v>45814</v>
      </c>
      <c r="W1" s="86"/>
      <c r="X1" s="87"/>
      <c r="Y1" s="85">
        <v>45815</v>
      </c>
      <c r="Z1" s="86"/>
      <c r="AA1" s="87"/>
      <c r="AB1" s="85">
        <v>45816</v>
      </c>
      <c r="AC1" s="86"/>
      <c r="AD1" s="87"/>
      <c r="AE1" s="85">
        <v>45817</v>
      </c>
      <c r="AF1" s="86"/>
      <c r="AG1" s="87"/>
      <c r="AH1" s="85">
        <v>45818</v>
      </c>
      <c r="AI1" s="86"/>
      <c r="AJ1" s="87"/>
      <c r="AK1" s="85">
        <v>45819</v>
      </c>
      <c r="AL1" s="86"/>
      <c r="AM1" s="87"/>
      <c r="AN1" s="85">
        <v>45820</v>
      </c>
      <c r="AO1" s="86"/>
      <c r="AP1" s="87"/>
      <c r="AQ1" s="85">
        <v>45821</v>
      </c>
      <c r="AR1" s="86"/>
      <c r="AS1" s="87"/>
      <c r="AT1" s="85">
        <v>45822</v>
      </c>
      <c r="AU1" s="86"/>
      <c r="AV1" s="87"/>
      <c r="AW1" s="85">
        <v>45823</v>
      </c>
      <c r="AX1" s="86"/>
      <c r="AY1" s="87"/>
      <c r="AZ1" s="85">
        <v>45824</v>
      </c>
      <c r="BA1" s="86"/>
      <c r="BB1" s="87"/>
      <c r="BC1" s="85">
        <v>45825</v>
      </c>
      <c r="BD1" s="86"/>
      <c r="BE1" s="87"/>
      <c r="BF1" s="85">
        <v>45826</v>
      </c>
      <c r="BG1" s="86"/>
      <c r="BH1" s="87"/>
      <c r="BI1" s="85">
        <v>45827</v>
      </c>
      <c r="BJ1" s="86"/>
      <c r="BK1" s="87"/>
      <c r="BL1" s="85">
        <v>45828</v>
      </c>
      <c r="BM1" s="86"/>
      <c r="BN1" s="87"/>
      <c r="BO1" s="85">
        <v>45829</v>
      </c>
      <c r="BP1" s="86"/>
      <c r="BQ1" s="87"/>
      <c r="BR1" s="85">
        <v>45830</v>
      </c>
      <c r="BS1" s="86"/>
      <c r="BT1" s="87"/>
      <c r="BU1" s="85">
        <v>45831</v>
      </c>
      <c r="BV1" s="86"/>
      <c r="BW1" s="87"/>
      <c r="BX1" s="85">
        <v>45832</v>
      </c>
      <c r="BY1" s="86"/>
      <c r="BZ1" s="87"/>
      <c r="CA1" s="85">
        <v>45833</v>
      </c>
      <c r="CB1" s="86"/>
      <c r="CC1" s="87"/>
      <c r="CD1" s="85">
        <v>45834</v>
      </c>
      <c r="CE1" s="86"/>
      <c r="CF1" s="87"/>
      <c r="CG1" s="85">
        <v>45835</v>
      </c>
      <c r="CH1" s="86"/>
      <c r="CI1" s="87"/>
      <c r="CJ1" s="85">
        <v>45836</v>
      </c>
      <c r="CK1" s="86"/>
      <c r="CL1" s="87"/>
      <c r="CM1" s="85">
        <v>45837</v>
      </c>
      <c r="CN1" s="86"/>
      <c r="CO1" s="87"/>
      <c r="CP1" s="85">
        <v>45838</v>
      </c>
      <c r="CQ1" s="86"/>
      <c r="CR1" s="87"/>
    </row>
    <row r="2" spans="1:96" ht="60">
      <c r="A2" s="83"/>
      <c r="B2" s="83"/>
      <c r="C2" s="88"/>
      <c r="D2" s="34" t="s">
        <v>106</v>
      </c>
      <c r="E2" s="34" t="s">
        <v>107</v>
      </c>
      <c r="F2" s="35" t="s">
        <v>108</v>
      </c>
      <c r="G2" s="36" t="s">
        <v>221</v>
      </c>
      <c r="H2" s="36" t="s">
        <v>222</v>
      </c>
      <c r="I2" s="36" t="s">
        <v>109</v>
      </c>
      <c r="J2" s="37" t="s">
        <v>221</v>
      </c>
      <c r="K2" s="37" t="s">
        <v>222</v>
      </c>
      <c r="L2" s="37" t="s">
        <v>109</v>
      </c>
      <c r="M2" s="36" t="s">
        <v>221</v>
      </c>
      <c r="N2" s="36" t="s">
        <v>222</v>
      </c>
      <c r="O2" s="36" t="s">
        <v>109</v>
      </c>
      <c r="P2" s="37" t="s">
        <v>221</v>
      </c>
      <c r="Q2" s="37" t="s">
        <v>222</v>
      </c>
      <c r="R2" s="37" t="s">
        <v>109</v>
      </c>
      <c r="S2" s="36" t="s">
        <v>221</v>
      </c>
      <c r="T2" s="36" t="s">
        <v>222</v>
      </c>
      <c r="U2" s="36" t="s">
        <v>109</v>
      </c>
      <c r="V2" s="37" t="s">
        <v>221</v>
      </c>
      <c r="W2" s="37" t="s">
        <v>222</v>
      </c>
      <c r="X2" s="37" t="s">
        <v>109</v>
      </c>
      <c r="Y2" s="36" t="s">
        <v>221</v>
      </c>
      <c r="Z2" s="36" t="s">
        <v>222</v>
      </c>
      <c r="AA2" s="36" t="s">
        <v>109</v>
      </c>
      <c r="AB2" s="37" t="s">
        <v>221</v>
      </c>
      <c r="AC2" s="37" t="s">
        <v>222</v>
      </c>
      <c r="AD2" s="37" t="s">
        <v>109</v>
      </c>
      <c r="AE2" s="36" t="s">
        <v>221</v>
      </c>
      <c r="AF2" s="36" t="s">
        <v>222</v>
      </c>
      <c r="AG2" s="36" t="s">
        <v>109</v>
      </c>
      <c r="AH2" s="37" t="s">
        <v>221</v>
      </c>
      <c r="AI2" s="37" t="s">
        <v>222</v>
      </c>
      <c r="AJ2" s="37" t="s">
        <v>109</v>
      </c>
      <c r="AK2" s="36" t="s">
        <v>221</v>
      </c>
      <c r="AL2" s="36" t="s">
        <v>222</v>
      </c>
      <c r="AM2" s="36" t="s">
        <v>109</v>
      </c>
      <c r="AN2" s="37" t="s">
        <v>221</v>
      </c>
      <c r="AO2" s="37" t="s">
        <v>222</v>
      </c>
      <c r="AP2" s="37" t="s">
        <v>109</v>
      </c>
      <c r="AQ2" s="36" t="s">
        <v>221</v>
      </c>
      <c r="AR2" s="36" t="s">
        <v>222</v>
      </c>
      <c r="AS2" s="36" t="s">
        <v>109</v>
      </c>
      <c r="AT2" s="37" t="s">
        <v>221</v>
      </c>
      <c r="AU2" s="37" t="s">
        <v>222</v>
      </c>
      <c r="AV2" s="37" t="s">
        <v>109</v>
      </c>
      <c r="AW2" s="36" t="s">
        <v>221</v>
      </c>
      <c r="AX2" s="36" t="s">
        <v>222</v>
      </c>
      <c r="AY2" s="36" t="s">
        <v>109</v>
      </c>
      <c r="AZ2" s="37" t="s">
        <v>221</v>
      </c>
      <c r="BA2" s="37" t="s">
        <v>222</v>
      </c>
      <c r="BB2" s="37" t="s">
        <v>109</v>
      </c>
      <c r="BC2" s="36" t="s">
        <v>221</v>
      </c>
      <c r="BD2" s="36" t="s">
        <v>222</v>
      </c>
      <c r="BE2" s="36" t="s">
        <v>109</v>
      </c>
      <c r="BF2" s="37" t="s">
        <v>221</v>
      </c>
      <c r="BG2" s="37" t="s">
        <v>222</v>
      </c>
      <c r="BH2" s="37" t="s">
        <v>109</v>
      </c>
      <c r="BI2" s="36" t="s">
        <v>221</v>
      </c>
      <c r="BJ2" s="36" t="s">
        <v>222</v>
      </c>
      <c r="BK2" s="36" t="s">
        <v>109</v>
      </c>
      <c r="BL2" s="37" t="s">
        <v>221</v>
      </c>
      <c r="BM2" s="37" t="s">
        <v>222</v>
      </c>
      <c r="BN2" s="37" t="s">
        <v>109</v>
      </c>
      <c r="BO2" s="36" t="s">
        <v>221</v>
      </c>
      <c r="BP2" s="36" t="s">
        <v>222</v>
      </c>
      <c r="BQ2" s="36" t="s">
        <v>109</v>
      </c>
      <c r="BR2" s="37" t="s">
        <v>221</v>
      </c>
      <c r="BS2" s="37" t="s">
        <v>222</v>
      </c>
      <c r="BT2" s="37" t="s">
        <v>109</v>
      </c>
      <c r="BU2" s="36" t="s">
        <v>221</v>
      </c>
      <c r="BV2" s="36" t="s">
        <v>222</v>
      </c>
      <c r="BW2" s="36" t="s">
        <v>109</v>
      </c>
      <c r="BX2" s="37" t="s">
        <v>221</v>
      </c>
      <c r="BY2" s="37" t="s">
        <v>222</v>
      </c>
      <c r="BZ2" s="37" t="s">
        <v>109</v>
      </c>
      <c r="CA2" s="36" t="s">
        <v>221</v>
      </c>
      <c r="CB2" s="36" t="s">
        <v>222</v>
      </c>
      <c r="CC2" s="36" t="s">
        <v>109</v>
      </c>
      <c r="CD2" s="37" t="s">
        <v>221</v>
      </c>
      <c r="CE2" s="37" t="s">
        <v>222</v>
      </c>
      <c r="CF2" s="37" t="s">
        <v>109</v>
      </c>
      <c r="CG2" s="36" t="s">
        <v>221</v>
      </c>
      <c r="CH2" s="36" t="s">
        <v>222</v>
      </c>
      <c r="CI2" s="36" t="s">
        <v>109</v>
      </c>
      <c r="CJ2" s="37" t="s">
        <v>221</v>
      </c>
      <c r="CK2" s="37" t="s">
        <v>222</v>
      </c>
      <c r="CL2" s="37" t="s">
        <v>109</v>
      </c>
      <c r="CM2" s="36" t="s">
        <v>221</v>
      </c>
      <c r="CN2" s="36" t="s">
        <v>222</v>
      </c>
      <c r="CO2" s="36" t="s">
        <v>109</v>
      </c>
      <c r="CP2" s="37" t="s">
        <v>221</v>
      </c>
      <c r="CQ2" s="37" t="s">
        <v>222</v>
      </c>
      <c r="CR2" s="37" t="s">
        <v>109</v>
      </c>
    </row>
    <row r="3" spans="1:96" ht="30" customHeight="1">
      <c r="A3" s="81">
        <v>1</v>
      </c>
      <c r="B3" s="81" t="s">
        <v>110</v>
      </c>
      <c r="C3" s="37" t="s">
        <v>111</v>
      </c>
      <c r="D3" s="38">
        <f>'экструдер '!G13</f>
        <v>149090</v>
      </c>
      <c r="E3" s="38">
        <f>AU3+AX3+BA3+BD3+BG3+BJ3+AR3+AO3+AL3+AI3+H3+N3+Q3+T3+W3+Z3+AC3+AF3+K3+BM3+BP3+BS3+BV3+BY3+CB3+CE3+CH3+CN3+CK3+CQ3</f>
        <v>0</v>
      </c>
      <c r="F3" s="39">
        <f t="shared" ref="F3:F5" si="0">E3*100/D3</f>
        <v>0</v>
      </c>
      <c r="G3" s="62">
        <f>D3/30</f>
        <v>4969.666666666667</v>
      </c>
      <c r="H3" s="36"/>
      <c r="I3" s="36"/>
      <c r="J3" s="63">
        <f>D3/30</f>
        <v>4969.666666666667</v>
      </c>
      <c r="K3" s="37"/>
      <c r="L3" s="37"/>
      <c r="M3" s="62">
        <f>G3</f>
        <v>4969.666666666667</v>
      </c>
      <c r="N3" s="36"/>
      <c r="O3" s="36"/>
      <c r="P3" s="63">
        <f>J3</f>
        <v>4969.666666666667</v>
      </c>
      <c r="Q3" s="37"/>
      <c r="R3" s="37"/>
      <c r="S3" s="62">
        <f t="shared" ref="S3:S6" si="1">M3</f>
        <v>4969.666666666667</v>
      </c>
      <c r="T3" s="36"/>
      <c r="U3" s="36"/>
      <c r="V3" s="63">
        <f t="shared" ref="V3:V6" si="2">P3</f>
        <v>4969.666666666667</v>
      </c>
      <c r="W3" s="37"/>
      <c r="X3" s="37"/>
      <c r="Y3" s="62">
        <f t="shared" ref="Y3:Y6" si="3">S3</f>
        <v>4969.666666666667</v>
      </c>
      <c r="Z3" s="36"/>
      <c r="AA3" s="36"/>
      <c r="AB3" s="63">
        <f t="shared" ref="AB3:AB6" si="4">V3</f>
        <v>4969.666666666667</v>
      </c>
      <c r="AC3" s="37"/>
      <c r="AD3" s="37"/>
      <c r="AE3" s="62">
        <f t="shared" ref="AE3:AE6" si="5">Y3</f>
        <v>4969.666666666667</v>
      </c>
      <c r="AF3" s="36"/>
      <c r="AG3" s="36"/>
      <c r="AH3" s="63">
        <f t="shared" ref="AH3:AH6" si="6">AB3</f>
        <v>4969.666666666667</v>
      </c>
      <c r="AI3" s="37"/>
      <c r="AJ3" s="37"/>
      <c r="AK3" s="62">
        <f t="shared" ref="AK3:AK6" si="7">AE3</f>
        <v>4969.666666666667</v>
      </c>
      <c r="AL3" s="36"/>
      <c r="AM3" s="36"/>
      <c r="AN3" s="63">
        <f t="shared" ref="AN3:AN6" si="8">AH3</f>
        <v>4969.666666666667</v>
      </c>
      <c r="AO3" s="37"/>
      <c r="AP3" s="37"/>
      <c r="AQ3" s="62">
        <f t="shared" ref="AQ3:AQ6" si="9">AK3</f>
        <v>4969.666666666667</v>
      </c>
      <c r="AR3" s="36"/>
      <c r="AS3" s="36"/>
      <c r="AT3" s="63">
        <f t="shared" ref="AT3:AT6" si="10">AN3</f>
        <v>4969.666666666667</v>
      </c>
      <c r="AU3" s="37"/>
      <c r="AV3" s="37"/>
      <c r="AW3" s="62">
        <f t="shared" ref="AW3:AW6" si="11">AQ3</f>
        <v>4969.666666666667</v>
      </c>
      <c r="AX3" s="36"/>
      <c r="AY3" s="36"/>
      <c r="AZ3" s="63">
        <f t="shared" ref="AZ3:AZ6" si="12">AT3</f>
        <v>4969.666666666667</v>
      </c>
      <c r="BA3" s="37"/>
      <c r="BB3" s="37"/>
      <c r="BC3" s="62">
        <f t="shared" ref="BC3:BC6" si="13">AW3</f>
        <v>4969.666666666667</v>
      </c>
      <c r="BD3" s="36"/>
      <c r="BE3" s="36"/>
      <c r="BF3" s="63">
        <f t="shared" ref="BF3:BF6" si="14">AZ3</f>
        <v>4969.666666666667</v>
      </c>
      <c r="BG3" s="37"/>
      <c r="BH3" s="37"/>
      <c r="BI3" s="62">
        <f t="shared" ref="BI3:BI6" si="15">BC3</f>
        <v>4969.666666666667</v>
      </c>
      <c r="BJ3" s="36"/>
      <c r="BK3" s="36"/>
      <c r="BL3" s="63">
        <f t="shared" ref="BL3:BL6" si="16">BF3</f>
        <v>4969.666666666667</v>
      </c>
      <c r="BM3" s="37"/>
      <c r="BN3" s="37"/>
      <c r="BO3" s="62">
        <f t="shared" ref="BO3:BO6" si="17">BI3</f>
        <v>4969.666666666667</v>
      </c>
      <c r="BP3" s="36"/>
      <c r="BQ3" s="36"/>
      <c r="BR3" s="63">
        <f t="shared" ref="BR3:BR6" si="18">BL3</f>
        <v>4969.666666666667</v>
      </c>
      <c r="BS3" s="37"/>
      <c r="BT3" s="37"/>
      <c r="BU3" s="62">
        <f t="shared" ref="BU3:BU6" si="19">BO3</f>
        <v>4969.666666666667</v>
      </c>
      <c r="BV3" s="36"/>
      <c r="BW3" s="36"/>
      <c r="BX3" s="63">
        <f t="shared" ref="BX3:BX6" si="20">BR3</f>
        <v>4969.666666666667</v>
      </c>
      <c r="BY3" s="37"/>
      <c r="BZ3" s="37"/>
      <c r="CA3" s="62">
        <f t="shared" ref="CA3:CA6" si="21">BU3</f>
        <v>4969.666666666667</v>
      </c>
      <c r="CB3" s="36"/>
      <c r="CC3" s="36"/>
      <c r="CD3" s="63">
        <f t="shared" ref="CD3:CD6" si="22">BX3</f>
        <v>4969.666666666667</v>
      </c>
      <c r="CE3" s="37"/>
      <c r="CF3" s="37"/>
      <c r="CG3" s="62">
        <f t="shared" ref="CG3:CG6" si="23">CA3</f>
        <v>4969.666666666667</v>
      </c>
      <c r="CH3" s="36"/>
      <c r="CI3" s="36"/>
      <c r="CJ3" s="63">
        <f t="shared" ref="CJ3:CJ6" si="24">CD3</f>
        <v>4969.666666666667</v>
      </c>
      <c r="CK3" s="37"/>
      <c r="CL3" s="37"/>
      <c r="CM3" s="62">
        <f t="shared" ref="CM3:CM6" si="25">CG3</f>
        <v>4969.666666666667</v>
      </c>
      <c r="CN3" s="36"/>
      <c r="CO3" s="36"/>
      <c r="CP3" s="63">
        <f t="shared" ref="CP3:CP6" si="26">CJ3</f>
        <v>4969.666666666667</v>
      </c>
      <c r="CQ3" s="37"/>
      <c r="CR3" s="37"/>
    </row>
    <row r="4" spans="1:96">
      <c r="A4" s="82"/>
      <c r="B4" s="82"/>
      <c r="C4" s="37" t="s">
        <v>112</v>
      </c>
      <c r="D4" s="38">
        <f>'экструдер '!G24</f>
        <v>105479</v>
      </c>
      <c r="E4" s="38">
        <f t="shared" ref="E4:E8" si="27">AU4+AX4+BA4+BD4+BG4+BJ4+AR4+AO4+AL4+AI4+H4+N4+Q4+T4+W4+Z4+AC4+AF4+K4+BM4+BP4+BS4+BV4+BY4+CB4+CE4+CH4+CN4+CK4+CQ4</f>
        <v>0</v>
      </c>
      <c r="F4" s="40">
        <f>E4*100/D4</f>
        <v>0</v>
      </c>
      <c r="G4" s="62">
        <f>D4/30</f>
        <v>3515.9666666666667</v>
      </c>
      <c r="H4" s="36"/>
      <c r="I4" s="36"/>
      <c r="J4" s="63">
        <f t="shared" ref="J4:J8" si="28">D4/30</f>
        <v>3515.9666666666667</v>
      </c>
      <c r="K4" s="37"/>
      <c r="L4" s="37"/>
      <c r="M4" s="62">
        <f t="shared" ref="M4:M6" si="29">G4</f>
        <v>3515.9666666666667</v>
      </c>
      <c r="N4" s="36"/>
      <c r="O4" s="36"/>
      <c r="P4" s="63">
        <f t="shared" ref="P4:P6" si="30">J4</f>
        <v>3515.9666666666667</v>
      </c>
      <c r="Q4" s="37"/>
      <c r="R4" s="37"/>
      <c r="S4" s="62">
        <f t="shared" si="1"/>
        <v>3515.9666666666667</v>
      </c>
      <c r="T4" s="36"/>
      <c r="U4" s="36"/>
      <c r="V4" s="63">
        <f t="shared" si="2"/>
        <v>3515.9666666666667</v>
      </c>
      <c r="W4" s="37"/>
      <c r="X4" s="37"/>
      <c r="Y4" s="62">
        <f t="shared" si="3"/>
        <v>3515.9666666666667</v>
      </c>
      <c r="Z4" s="36"/>
      <c r="AA4" s="36"/>
      <c r="AB4" s="63">
        <f t="shared" si="4"/>
        <v>3515.9666666666667</v>
      </c>
      <c r="AC4" s="37"/>
      <c r="AD4" s="37"/>
      <c r="AE4" s="62">
        <f t="shared" si="5"/>
        <v>3515.9666666666667</v>
      </c>
      <c r="AF4" s="36"/>
      <c r="AG4" s="36"/>
      <c r="AH4" s="63">
        <f t="shared" si="6"/>
        <v>3515.9666666666667</v>
      </c>
      <c r="AI4" s="37"/>
      <c r="AJ4" s="37"/>
      <c r="AK4" s="62">
        <f t="shared" si="7"/>
        <v>3515.9666666666667</v>
      </c>
      <c r="AL4" s="36"/>
      <c r="AM4" s="36"/>
      <c r="AN4" s="63">
        <f t="shared" si="8"/>
        <v>3515.9666666666667</v>
      </c>
      <c r="AO4" s="37"/>
      <c r="AP4" s="37"/>
      <c r="AQ4" s="62">
        <f t="shared" si="9"/>
        <v>3515.9666666666667</v>
      </c>
      <c r="AR4" s="36"/>
      <c r="AS4" s="36"/>
      <c r="AT4" s="63">
        <f t="shared" si="10"/>
        <v>3515.9666666666667</v>
      </c>
      <c r="AU4" s="37"/>
      <c r="AV4" s="37"/>
      <c r="AW4" s="62">
        <f t="shared" si="11"/>
        <v>3515.9666666666667</v>
      </c>
      <c r="AX4" s="36"/>
      <c r="AY4" s="36"/>
      <c r="AZ4" s="63">
        <f t="shared" si="12"/>
        <v>3515.9666666666667</v>
      </c>
      <c r="BA4" s="37"/>
      <c r="BB4" s="37"/>
      <c r="BC4" s="62">
        <f t="shared" si="13"/>
        <v>3515.9666666666667</v>
      </c>
      <c r="BD4" s="36"/>
      <c r="BE4" s="36"/>
      <c r="BF4" s="63">
        <f t="shared" si="14"/>
        <v>3515.9666666666667</v>
      </c>
      <c r="BG4" s="37"/>
      <c r="BH4" s="37"/>
      <c r="BI4" s="62">
        <f t="shared" si="15"/>
        <v>3515.9666666666667</v>
      </c>
      <c r="BJ4" s="36"/>
      <c r="BK4" s="36"/>
      <c r="BL4" s="63">
        <f t="shared" si="16"/>
        <v>3515.9666666666667</v>
      </c>
      <c r="BM4" s="37"/>
      <c r="BN4" s="37"/>
      <c r="BO4" s="62">
        <f t="shared" si="17"/>
        <v>3515.9666666666667</v>
      </c>
      <c r="BP4" s="36"/>
      <c r="BQ4" s="36"/>
      <c r="BR4" s="63">
        <f t="shared" si="18"/>
        <v>3515.9666666666667</v>
      </c>
      <c r="BS4" s="37"/>
      <c r="BT4" s="37"/>
      <c r="BU4" s="62">
        <f t="shared" si="19"/>
        <v>3515.9666666666667</v>
      </c>
      <c r="BV4" s="36"/>
      <c r="BW4" s="36"/>
      <c r="BX4" s="63">
        <f t="shared" si="20"/>
        <v>3515.9666666666667</v>
      </c>
      <c r="BY4" s="37"/>
      <c r="BZ4" s="37"/>
      <c r="CA4" s="62">
        <f t="shared" si="21"/>
        <v>3515.9666666666667</v>
      </c>
      <c r="CB4" s="36"/>
      <c r="CC4" s="36"/>
      <c r="CD4" s="63">
        <f t="shared" si="22"/>
        <v>3515.9666666666667</v>
      </c>
      <c r="CE4" s="37"/>
      <c r="CF4" s="37"/>
      <c r="CG4" s="62">
        <f t="shared" si="23"/>
        <v>3515.9666666666667</v>
      </c>
      <c r="CH4" s="36"/>
      <c r="CI4" s="36"/>
      <c r="CJ4" s="63">
        <f t="shared" si="24"/>
        <v>3515.9666666666667</v>
      </c>
      <c r="CK4" s="37"/>
      <c r="CL4" s="37"/>
      <c r="CM4" s="62">
        <f t="shared" si="25"/>
        <v>3515.9666666666667</v>
      </c>
      <c r="CN4" s="36"/>
      <c r="CO4" s="36"/>
      <c r="CP4" s="63">
        <f t="shared" si="26"/>
        <v>3515.9666666666667</v>
      </c>
      <c r="CQ4" s="37"/>
      <c r="CR4" s="37"/>
    </row>
    <row r="5" spans="1:96" ht="30">
      <c r="A5" s="81">
        <v>2</v>
      </c>
      <c r="B5" s="83" t="s">
        <v>113</v>
      </c>
      <c r="C5" s="37" t="s">
        <v>114</v>
      </c>
      <c r="D5" s="41">
        <f>'план ткацкий просте станки'!N7</f>
        <v>1782000</v>
      </c>
      <c r="E5" s="38">
        <f t="shared" si="27"/>
        <v>0</v>
      </c>
      <c r="F5" s="39">
        <f t="shared" si="0"/>
        <v>0</v>
      </c>
      <c r="G5" s="62">
        <f>D5/30</f>
        <v>59400</v>
      </c>
      <c r="H5" s="36"/>
      <c r="I5" s="36"/>
      <c r="J5" s="63">
        <f t="shared" si="28"/>
        <v>59400</v>
      </c>
      <c r="K5" s="37"/>
      <c r="L5" s="37"/>
      <c r="M5" s="62">
        <f t="shared" si="29"/>
        <v>59400</v>
      </c>
      <c r="N5" s="36"/>
      <c r="O5" s="36"/>
      <c r="P5" s="63">
        <f t="shared" si="30"/>
        <v>59400</v>
      </c>
      <c r="Q5" s="37"/>
      <c r="R5" s="37"/>
      <c r="S5" s="62">
        <f t="shared" si="1"/>
        <v>59400</v>
      </c>
      <c r="T5" s="36"/>
      <c r="U5" s="36"/>
      <c r="V5" s="63">
        <f t="shared" si="2"/>
        <v>59400</v>
      </c>
      <c r="W5" s="37"/>
      <c r="X5" s="37"/>
      <c r="Y5" s="62">
        <f t="shared" si="3"/>
        <v>59400</v>
      </c>
      <c r="Z5" s="36"/>
      <c r="AA5" s="36"/>
      <c r="AB5" s="63">
        <f t="shared" si="4"/>
        <v>59400</v>
      </c>
      <c r="AC5" s="37"/>
      <c r="AD5" s="37"/>
      <c r="AE5" s="62">
        <f t="shared" si="5"/>
        <v>59400</v>
      </c>
      <c r="AF5" s="36"/>
      <c r="AG5" s="36"/>
      <c r="AH5" s="63">
        <f t="shared" si="6"/>
        <v>59400</v>
      </c>
      <c r="AI5" s="37"/>
      <c r="AJ5" s="37"/>
      <c r="AK5" s="62">
        <f t="shared" si="7"/>
        <v>59400</v>
      </c>
      <c r="AL5" s="36"/>
      <c r="AM5" s="36"/>
      <c r="AN5" s="63">
        <f t="shared" si="8"/>
        <v>59400</v>
      </c>
      <c r="AO5" s="37"/>
      <c r="AP5" s="37"/>
      <c r="AQ5" s="62">
        <f t="shared" si="9"/>
        <v>59400</v>
      </c>
      <c r="AR5" s="36"/>
      <c r="AS5" s="36"/>
      <c r="AT5" s="63">
        <f t="shared" si="10"/>
        <v>59400</v>
      </c>
      <c r="AU5" s="37"/>
      <c r="AV5" s="37"/>
      <c r="AW5" s="62">
        <f t="shared" si="11"/>
        <v>59400</v>
      </c>
      <c r="AX5" s="36"/>
      <c r="AY5" s="36"/>
      <c r="AZ5" s="63">
        <f t="shared" si="12"/>
        <v>59400</v>
      </c>
      <c r="BA5" s="37"/>
      <c r="BB5" s="37"/>
      <c r="BC5" s="62">
        <f t="shared" si="13"/>
        <v>59400</v>
      </c>
      <c r="BD5" s="36"/>
      <c r="BE5" s="36"/>
      <c r="BF5" s="63">
        <f t="shared" si="14"/>
        <v>59400</v>
      </c>
      <c r="BG5" s="37"/>
      <c r="BH5" s="37"/>
      <c r="BI5" s="62">
        <f t="shared" si="15"/>
        <v>59400</v>
      </c>
      <c r="BJ5" s="36"/>
      <c r="BK5" s="36"/>
      <c r="BL5" s="63">
        <f t="shared" si="16"/>
        <v>59400</v>
      </c>
      <c r="BM5" s="37"/>
      <c r="BN5" s="37"/>
      <c r="BO5" s="62">
        <f t="shared" si="17"/>
        <v>59400</v>
      </c>
      <c r="BP5" s="36"/>
      <c r="BQ5" s="36"/>
      <c r="BR5" s="63">
        <f t="shared" si="18"/>
        <v>59400</v>
      </c>
      <c r="BS5" s="37"/>
      <c r="BT5" s="37"/>
      <c r="BU5" s="62">
        <f t="shared" si="19"/>
        <v>59400</v>
      </c>
      <c r="BV5" s="36"/>
      <c r="BW5" s="36"/>
      <c r="BX5" s="63">
        <f t="shared" si="20"/>
        <v>59400</v>
      </c>
      <c r="BY5" s="37"/>
      <c r="BZ5" s="37"/>
      <c r="CA5" s="62">
        <f t="shared" si="21"/>
        <v>59400</v>
      </c>
      <c r="CB5" s="36"/>
      <c r="CC5" s="36"/>
      <c r="CD5" s="63">
        <f t="shared" si="22"/>
        <v>59400</v>
      </c>
      <c r="CE5" s="37"/>
      <c r="CF5" s="37"/>
      <c r="CG5" s="62">
        <f t="shared" si="23"/>
        <v>59400</v>
      </c>
      <c r="CH5" s="36"/>
      <c r="CI5" s="36"/>
      <c r="CJ5" s="63">
        <f t="shared" si="24"/>
        <v>59400</v>
      </c>
      <c r="CK5" s="37"/>
      <c r="CL5" s="37"/>
      <c r="CM5" s="62">
        <f t="shared" si="25"/>
        <v>59400</v>
      </c>
      <c r="CN5" s="36"/>
      <c r="CO5" s="36"/>
      <c r="CP5" s="63">
        <f t="shared" si="26"/>
        <v>59400</v>
      </c>
      <c r="CQ5" s="37"/>
      <c r="CR5" s="37"/>
    </row>
    <row r="6" spans="1:96" ht="30">
      <c r="A6" s="81"/>
      <c r="B6" s="84"/>
      <c r="C6" s="37" t="s">
        <v>115</v>
      </c>
      <c r="D6" s="41">
        <f>'план бб'!N10</f>
        <v>234727.5</v>
      </c>
      <c r="E6" s="38">
        <f t="shared" si="27"/>
        <v>0</v>
      </c>
      <c r="F6" s="40">
        <f>E6*100/D6</f>
        <v>0</v>
      </c>
      <c r="G6" s="62">
        <f>D6/30</f>
        <v>7824.25</v>
      </c>
      <c r="H6" s="36"/>
      <c r="I6" s="36"/>
      <c r="J6" s="63">
        <f t="shared" si="28"/>
        <v>7824.25</v>
      </c>
      <c r="K6" s="37"/>
      <c r="L6" s="37"/>
      <c r="M6" s="62">
        <f t="shared" si="29"/>
        <v>7824.25</v>
      </c>
      <c r="N6" s="36"/>
      <c r="O6" s="36"/>
      <c r="P6" s="63">
        <f t="shared" si="30"/>
        <v>7824.25</v>
      </c>
      <c r="Q6" s="37"/>
      <c r="R6" s="37"/>
      <c r="S6" s="62">
        <f t="shared" si="1"/>
        <v>7824.25</v>
      </c>
      <c r="T6" s="36"/>
      <c r="U6" s="36"/>
      <c r="V6" s="63">
        <f t="shared" si="2"/>
        <v>7824.25</v>
      </c>
      <c r="W6" s="37"/>
      <c r="X6" s="37"/>
      <c r="Y6" s="62">
        <f t="shared" si="3"/>
        <v>7824.25</v>
      </c>
      <c r="Z6" s="36"/>
      <c r="AA6" s="36"/>
      <c r="AB6" s="63">
        <f t="shared" si="4"/>
        <v>7824.25</v>
      </c>
      <c r="AC6" s="37"/>
      <c r="AD6" s="37"/>
      <c r="AE6" s="62">
        <f t="shared" si="5"/>
        <v>7824.25</v>
      </c>
      <c r="AF6" s="36"/>
      <c r="AG6" s="36"/>
      <c r="AH6" s="63">
        <f t="shared" si="6"/>
        <v>7824.25</v>
      </c>
      <c r="AI6" s="37"/>
      <c r="AJ6" s="37"/>
      <c r="AK6" s="62">
        <f t="shared" si="7"/>
        <v>7824.25</v>
      </c>
      <c r="AL6" s="36"/>
      <c r="AM6" s="36"/>
      <c r="AN6" s="63">
        <f t="shared" si="8"/>
        <v>7824.25</v>
      </c>
      <c r="AO6" s="37"/>
      <c r="AP6" s="37"/>
      <c r="AQ6" s="62">
        <f t="shared" si="9"/>
        <v>7824.25</v>
      </c>
      <c r="AR6" s="36"/>
      <c r="AS6" s="36"/>
      <c r="AT6" s="63">
        <f t="shared" si="10"/>
        <v>7824.25</v>
      </c>
      <c r="AU6" s="37"/>
      <c r="AV6" s="37"/>
      <c r="AW6" s="62">
        <f t="shared" si="11"/>
        <v>7824.25</v>
      </c>
      <c r="AX6" s="36"/>
      <c r="AY6" s="36"/>
      <c r="AZ6" s="63">
        <f t="shared" si="12"/>
        <v>7824.25</v>
      </c>
      <c r="BA6" s="37"/>
      <c r="BB6" s="37"/>
      <c r="BC6" s="62">
        <f t="shared" si="13"/>
        <v>7824.25</v>
      </c>
      <c r="BD6" s="36"/>
      <c r="BE6" s="36"/>
      <c r="BF6" s="63">
        <f t="shared" si="14"/>
        <v>7824.25</v>
      </c>
      <c r="BG6" s="37"/>
      <c r="BH6" s="37"/>
      <c r="BI6" s="62">
        <f t="shared" si="15"/>
        <v>7824.25</v>
      </c>
      <c r="BJ6" s="36"/>
      <c r="BK6" s="36"/>
      <c r="BL6" s="63">
        <f t="shared" si="16"/>
        <v>7824.25</v>
      </c>
      <c r="BM6" s="37"/>
      <c r="BN6" s="37"/>
      <c r="BO6" s="62">
        <f t="shared" si="17"/>
        <v>7824.25</v>
      </c>
      <c r="BP6" s="36"/>
      <c r="BQ6" s="36"/>
      <c r="BR6" s="63">
        <f t="shared" si="18"/>
        <v>7824.25</v>
      </c>
      <c r="BS6" s="37"/>
      <c r="BT6" s="37"/>
      <c r="BU6" s="62">
        <f t="shared" si="19"/>
        <v>7824.25</v>
      </c>
      <c r="BV6" s="36"/>
      <c r="BW6" s="36"/>
      <c r="BX6" s="63">
        <f t="shared" si="20"/>
        <v>7824.25</v>
      </c>
      <c r="BY6" s="37"/>
      <c r="BZ6" s="37"/>
      <c r="CA6" s="62">
        <f t="shared" si="21"/>
        <v>7824.25</v>
      </c>
      <c r="CB6" s="36"/>
      <c r="CC6" s="36"/>
      <c r="CD6" s="63">
        <f t="shared" si="22"/>
        <v>7824.25</v>
      </c>
      <c r="CE6" s="37"/>
      <c r="CF6" s="37"/>
      <c r="CG6" s="62">
        <f t="shared" si="23"/>
        <v>7824.25</v>
      </c>
      <c r="CH6" s="36"/>
      <c r="CI6" s="36"/>
      <c r="CJ6" s="63">
        <f t="shared" si="24"/>
        <v>7824.25</v>
      </c>
      <c r="CK6" s="37"/>
      <c r="CL6" s="37"/>
      <c r="CM6" s="62">
        <f t="shared" si="25"/>
        <v>7824.25</v>
      </c>
      <c r="CN6" s="36"/>
      <c r="CO6" s="36"/>
      <c r="CP6" s="63">
        <f t="shared" si="26"/>
        <v>7824.25</v>
      </c>
      <c r="CQ6" s="37"/>
      <c r="CR6" s="37"/>
    </row>
    <row r="7" spans="1:96" ht="30">
      <c r="A7" s="81">
        <v>3</v>
      </c>
      <c r="B7" s="83" t="s">
        <v>231</v>
      </c>
      <c r="C7" s="37" t="s">
        <v>15</v>
      </c>
      <c r="D7" s="41">
        <f>'раскрой бб'!C66-SUM('раскрой бб'!C62:C65)</f>
        <v>227000</v>
      </c>
      <c r="E7" s="38">
        <f t="shared" si="27"/>
        <v>0</v>
      </c>
      <c r="F7" s="40">
        <f t="shared" ref="F7:F8" si="31">E7*100/D7</f>
        <v>0</v>
      </c>
      <c r="G7" s="62">
        <f t="shared" ref="G7:G8" si="32">D7/30</f>
        <v>7566.666666666667</v>
      </c>
      <c r="H7" s="36"/>
      <c r="I7" s="36"/>
      <c r="J7" s="63">
        <f t="shared" si="28"/>
        <v>7566.666666666667</v>
      </c>
      <c r="K7" s="37"/>
      <c r="L7" s="37"/>
      <c r="M7" s="62">
        <f t="shared" ref="M7:M8" si="33">G7</f>
        <v>7566.666666666667</v>
      </c>
      <c r="N7" s="36"/>
      <c r="O7" s="36"/>
      <c r="P7" s="63">
        <f t="shared" ref="P7:P8" si="34">J7</f>
        <v>7566.666666666667</v>
      </c>
      <c r="Q7" s="37"/>
      <c r="R7" s="37"/>
      <c r="S7" s="62">
        <f t="shared" ref="S7:S8" si="35">M7</f>
        <v>7566.666666666667</v>
      </c>
      <c r="T7" s="36"/>
      <c r="U7" s="36"/>
      <c r="V7" s="63">
        <f t="shared" ref="V7:V8" si="36">P7</f>
        <v>7566.666666666667</v>
      </c>
      <c r="W7" s="37"/>
      <c r="X7" s="37"/>
      <c r="Y7" s="62">
        <f t="shared" ref="Y7:Y8" si="37">S7</f>
        <v>7566.666666666667</v>
      </c>
      <c r="Z7" s="36"/>
      <c r="AA7" s="36"/>
      <c r="AB7" s="63">
        <f t="shared" ref="AB7:AB8" si="38">V7</f>
        <v>7566.666666666667</v>
      </c>
      <c r="AC7" s="37"/>
      <c r="AD7" s="37"/>
      <c r="AE7" s="62">
        <f t="shared" ref="AE7:AE8" si="39">Y7</f>
        <v>7566.666666666667</v>
      </c>
      <c r="AF7" s="36"/>
      <c r="AG7" s="36"/>
      <c r="AH7" s="63">
        <f t="shared" ref="AH7:AH8" si="40">AB7</f>
        <v>7566.666666666667</v>
      </c>
      <c r="AI7" s="37"/>
      <c r="AJ7" s="37"/>
      <c r="AK7" s="62">
        <f t="shared" ref="AK7:AK8" si="41">AE7</f>
        <v>7566.666666666667</v>
      </c>
      <c r="AL7" s="36"/>
      <c r="AM7" s="36"/>
      <c r="AN7" s="63">
        <f t="shared" ref="AN7:AN8" si="42">AH7</f>
        <v>7566.666666666667</v>
      </c>
      <c r="AO7" s="37"/>
      <c r="AP7" s="37"/>
      <c r="AQ7" s="62">
        <f t="shared" ref="AQ7:AQ8" si="43">AK7</f>
        <v>7566.666666666667</v>
      </c>
      <c r="AR7" s="36"/>
      <c r="AS7" s="36"/>
      <c r="AT7" s="63">
        <f t="shared" ref="AT7:AT8" si="44">AN7</f>
        <v>7566.666666666667</v>
      </c>
      <c r="AU7" s="37"/>
      <c r="AV7" s="37"/>
      <c r="AW7" s="62">
        <f t="shared" ref="AW7:AW8" si="45">AQ7</f>
        <v>7566.666666666667</v>
      </c>
      <c r="AX7" s="36"/>
      <c r="AY7" s="36"/>
      <c r="AZ7" s="63">
        <f t="shared" ref="AZ7:AZ8" si="46">AT7</f>
        <v>7566.666666666667</v>
      </c>
      <c r="BA7" s="37"/>
      <c r="BB7" s="37"/>
      <c r="BC7" s="62">
        <f t="shared" ref="BC7:BC8" si="47">AW7</f>
        <v>7566.666666666667</v>
      </c>
      <c r="BD7" s="36"/>
      <c r="BE7" s="36"/>
      <c r="BF7" s="63">
        <f t="shared" ref="BF7:BF8" si="48">AZ7</f>
        <v>7566.666666666667</v>
      </c>
      <c r="BG7" s="37"/>
      <c r="BH7" s="37"/>
      <c r="BI7" s="62">
        <f t="shared" ref="BI7:BI8" si="49">BC7</f>
        <v>7566.666666666667</v>
      </c>
      <c r="BJ7" s="36"/>
      <c r="BK7" s="36"/>
      <c r="BL7" s="63">
        <f t="shared" ref="BL7:BL8" si="50">BF7</f>
        <v>7566.666666666667</v>
      </c>
      <c r="BM7" s="37"/>
      <c r="BN7" s="37"/>
      <c r="BO7" s="62">
        <f t="shared" ref="BO7:BO8" si="51">BI7</f>
        <v>7566.666666666667</v>
      </c>
      <c r="BP7" s="36"/>
      <c r="BQ7" s="36"/>
      <c r="BR7" s="63">
        <f t="shared" ref="BR7:BR8" si="52">BL7</f>
        <v>7566.666666666667</v>
      </c>
      <c r="BS7" s="37"/>
      <c r="BT7" s="37"/>
      <c r="BU7" s="62">
        <f t="shared" ref="BU7:BU8" si="53">BO7</f>
        <v>7566.666666666667</v>
      </c>
      <c r="BV7" s="36"/>
      <c r="BW7" s="36"/>
      <c r="BX7" s="63">
        <f t="shared" ref="BX7:BX8" si="54">BR7</f>
        <v>7566.666666666667</v>
      </c>
      <c r="BY7" s="37"/>
      <c r="BZ7" s="37"/>
      <c r="CA7" s="62">
        <f t="shared" ref="CA7:CA8" si="55">BU7</f>
        <v>7566.666666666667</v>
      </c>
      <c r="CB7" s="36"/>
      <c r="CC7" s="36"/>
      <c r="CD7" s="63">
        <f t="shared" ref="CD7:CD8" si="56">BX7</f>
        <v>7566.666666666667</v>
      </c>
      <c r="CE7" s="37"/>
      <c r="CF7" s="37"/>
      <c r="CG7" s="62">
        <f t="shared" ref="CG7:CG8" si="57">CA7</f>
        <v>7566.666666666667</v>
      </c>
      <c r="CH7" s="36"/>
      <c r="CI7" s="36"/>
      <c r="CJ7" s="63">
        <f t="shared" ref="CJ7:CJ8" si="58">CD7</f>
        <v>7566.666666666667</v>
      </c>
      <c r="CK7" s="37"/>
      <c r="CL7" s="37"/>
      <c r="CM7" s="62">
        <f t="shared" ref="CM7:CM8" si="59">CG7</f>
        <v>7566.666666666667</v>
      </c>
      <c r="CN7" s="36"/>
      <c r="CO7" s="36"/>
      <c r="CP7" s="63">
        <f t="shared" ref="CP7:CP8" si="60">CJ7</f>
        <v>7566.666666666667</v>
      </c>
      <c r="CQ7" s="37"/>
      <c r="CR7" s="37"/>
    </row>
    <row r="8" spans="1:96" ht="30">
      <c r="A8" s="81"/>
      <c r="B8" s="84"/>
      <c r="C8" s="37" t="s">
        <v>230</v>
      </c>
      <c r="D8" s="41">
        <f>'раскрой бб'!C66-SUM('раскрой бб'!C29:C61)</f>
        <v>135000</v>
      </c>
      <c r="E8" s="38">
        <f t="shared" si="27"/>
        <v>0</v>
      </c>
      <c r="F8" s="40">
        <f t="shared" si="31"/>
        <v>0</v>
      </c>
      <c r="G8" s="62">
        <f t="shared" si="32"/>
        <v>4500</v>
      </c>
      <c r="H8" s="36"/>
      <c r="I8" s="36"/>
      <c r="J8" s="63">
        <f t="shared" si="28"/>
        <v>4500</v>
      </c>
      <c r="K8" s="37"/>
      <c r="L8" s="37"/>
      <c r="M8" s="62">
        <f t="shared" si="33"/>
        <v>4500</v>
      </c>
      <c r="N8" s="36"/>
      <c r="O8" s="36"/>
      <c r="P8" s="63">
        <f t="shared" si="34"/>
        <v>4500</v>
      </c>
      <c r="Q8" s="37"/>
      <c r="R8" s="37"/>
      <c r="S8" s="62">
        <f t="shared" si="35"/>
        <v>4500</v>
      </c>
      <c r="T8" s="36"/>
      <c r="U8" s="36"/>
      <c r="V8" s="63">
        <f t="shared" si="36"/>
        <v>4500</v>
      </c>
      <c r="W8" s="37"/>
      <c r="X8" s="37"/>
      <c r="Y8" s="62">
        <f t="shared" si="37"/>
        <v>4500</v>
      </c>
      <c r="Z8" s="36"/>
      <c r="AA8" s="36"/>
      <c r="AB8" s="63">
        <f t="shared" si="38"/>
        <v>4500</v>
      </c>
      <c r="AC8" s="37"/>
      <c r="AD8" s="37"/>
      <c r="AE8" s="62">
        <f t="shared" si="39"/>
        <v>4500</v>
      </c>
      <c r="AF8" s="36"/>
      <c r="AG8" s="36"/>
      <c r="AH8" s="63">
        <f t="shared" si="40"/>
        <v>4500</v>
      </c>
      <c r="AI8" s="37"/>
      <c r="AJ8" s="37"/>
      <c r="AK8" s="62">
        <f t="shared" si="41"/>
        <v>4500</v>
      </c>
      <c r="AL8" s="36"/>
      <c r="AM8" s="36"/>
      <c r="AN8" s="63">
        <f t="shared" si="42"/>
        <v>4500</v>
      </c>
      <c r="AO8" s="37"/>
      <c r="AP8" s="37"/>
      <c r="AQ8" s="62">
        <f t="shared" si="43"/>
        <v>4500</v>
      </c>
      <c r="AR8" s="36"/>
      <c r="AS8" s="36"/>
      <c r="AT8" s="63">
        <f t="shared" si="44"/>
        <v>4500</v>
      </c>
      <c r="AU8" s="37"/>
      <c r="AV8" s="37"/>
      <c r="AW8" s="62">
        <f t="shared" si="45"/>
        <v>4500</v>
      </c>
      <c r="AX8" s="36"/>
      <c r="AY8" s="36"/>
      <c r="AZ8" s="63">
        <f t="shared" si="46"/>
        <v>4500</v>
      </c>
      <c r="BA8" s="37"/>
      <c r="BB8" s="37"/>
      <c r="BC8" s="62">
        <f t="shared" si="47"/>
        <v>4500</v>
      </c>
      <c r="BD8" s="36"/>
      <c r="BE8" s="36"/>
      <c r="BF8" s="63">
        <f t="shared" si="48"/>
        <v>4500</v>
      </c>
      <c r="BG8" s="37"/>
      <c r="BH8" s="37"/>
      <c r="BI8" s="62">
        <f t="shared" si="49"/>
        <v>4500</v>
      </c>
      <c r="BJ8" s="36"/>
      <c r="BK8" s="36"/>
      <c r="BL8" s="63">
        <f t="shared" si="50"/>
        <v>4500</v>
      </c>
      <c r="BM8" s="37"/>
      <c r="BN8" s="37"/>
      <c r="BO8" s="62">
        <f t="shared" si="51"/>
        <v>4500</v>
      </c>
      <c r="BP8" s="36"/>
      <c r="BQ8" s="36"/>
      <c r="BR8" s="63">
        <f t="shared" si="52"/>
        <v>4500</v>
      </c>
      <c r="BS8" s="37"/>
      <c r="BT8" s="37"/>
      <c r="BU8" s="62">
        <f t="shared" si="53"/>
        <v>4500</v>
      </c>
      <c r="BV8" s="36"/>
      <c r="BW8" s="36"/>
      <c r="BX8" s="63">
        <f t="shared" si="54"/>
        <v>4500</v>
      </c>
      <c r="BY8" s="37"/>
      <c r="BZ8" s="37"/>
      <c r="CA8" s="62">
        <f t="shared" si="55"/>
        <v>4500</v>
      </c>
      <c r="CB8" s="36"/>
      <c r="CC8" s="36"/>
      <c r="CD8" s="63">
        <f t="shared" si="56"/>
        <v>4500</v>
      </c>
      <c r="CE8" s="37"/>
      <c r="CF8" s="37"/>
      <c r="CG8" s="62">
        <f t="shared" si="57"/>
        <v>4500</v>
      </c>
      <c r="CH8" s="36"/>
      <c r="CI8" s="36"/>
      <c r="CJ8" s="63">
        <f t="shared" si="58"/>
        <v>4500</v>
      </c>
      <c r="CK8" s="37"/>
      <c r="CL8" s="37"/>
      <c r="CM8" s="62">
        <f t="shared" si="59"/>
        <v>4500</v>
      </c>
      <c r="CN8" s="36"/>
      <c r="CO8" s="36"/>
      <c r="CP8" s="63">
        <f t="shared" si="60"/>
        <v>4500</v>
      </c>
      <c r="CQ8" s="37"/>
      <c r="CR8" s="37"/>
    </row>
    <row r="9" spans="1:96" ht="30">
      <c r="A9" s="81">
        <v>4</v>
      </c>
      <c r="B9" s="83" t="s">
        <v>253</v>
      </c>
      <c r="C9" s="37" t="s">
        <v>251</v>
      </c>
      <c r="D9" s="38">
        <f>'тлб лента'!J48+('тлб лента'!J48*5/100)</f>
        <v>21554.882999999998</v>
      </c>
      <c r="E9" s="38">
        <f t="shared" ref="E9:E10" si="61">AU9+AX9+BA9+BD9+BG9+BJ9+AR9+AO9+AL9+AI9+H9+N9+Q9+T9+W9+Z9+AC9+AF9+K9+BM9+BP9+BS9+BV9+BY9+CB9+CE9+CH9+CN9+CK9+CQ9</f>
        <v>0</v>
      </c>
      <c r="F9" s="40">
        <f t="shared" ref="F9:F10" si="62">E9*100/D9</f>
        <v>0</v>
      </c>
      <c r="G9" s="62">
        <f t="shared" ref="G9:G10" si="63">D9/30</f>
        <v>718.49609999999996</v>
      </c>
      <c r="H9" s="36"/>
      <c r="I9" s="36"/>
      <c r="J9" s="63">
        <f t="shared" ref="J9:J10" si="64">D9/30</f>
        <v>718.49609999999996</v>
      </c>
      <c r="K9" s="37"/>
      <c r="L9" s="37"/>
      <c r="M9" s="62">
        <f t="shared" ref="M9:M10" si="65">G9</f>
        <v>718.49609999999996</v>
      </c>
      <c r="N9" s="36"/>
      <c r="O9" s="36"/>
      <c r="P9" s="63">
        <f t="shared" ref="P9:P10" si="66">J9</f>
        <v>718.49609999999996</v>
      </c>
      <c r="Q9" s="37"/>
      <c r="R9" s="37"/>
      <c r="S9" s="62">
        <f t="shared" ref="S9:S10" si="67">M9</f>
        <v>718.49609999999996</v>
      </c>
      <c r="T9" s="36"/>
      <c r="U9" s="36"/>
      <c r="V9" s="63">
        <f t="shared" ref="V9:V10" si="68">P9</f>
        <v>718.49609999999996</v>
      </c>
      <c r="W9" s="37"/>
      <c r="X9" s="37"/>
      <c r="Y9" s="62">
        <f t="shared" ref="Y9:Y10" si="69">S9</f>
        <v>718.49609999999996</v>
      </c>
      <c r="Z9" s="36"/>
      <c r="AA9" s="36"/>
      <c r="AB9" s="63">
        <f t="shared" ref="AB9:AB10" si="70">V9</f>
        <v>718.49609999999996</v>
      </c>
      <c r="AC9" s="37"/>
      <c r="AD9" s="37"/>
      <c r="AE9" s="62">
        <f t="shared" ref="AE9:AE10" si="71">Y9</f>
        <v>718.49609999999996</v>
      </c>
      <c r="AF9" s="36"/>
      <c r="AG9" s="36"/>
      <c r="AH9" s="63">
        <f t="shared" ref="AH9:AH10" si="72">AB9</f>
        <v>718.49609999999996</v>
      </c>
      <c r="AI9" s="37"/>
      <c r="AJ9" s="37"/>
      <c r="AK9" s="62">
        <f t="shared" ref="AK9:AK10" si="73">AE9</f>
        <v>718.49609999999996</v>
      </c>
      <c r="AL9" s="36"/>
      <c r="AM9" s="36"/>
      <c r="AN9" s="63">
        <f t="shared" ref="AN9:AN10" si="74">AH9</f>
        <v>718.49609999999996</v>
      </c>
      <c r="AO9" s="37"/>
      <c r="AP9" s="37"/>
      <c r="AQ9" s="62">
        <f t="shared" ref="AQ9:AQ10" si="75">AK9</f>
        <v>718.49609999999996</v>
      </c>
      <c r="AR9" s="36"/>
      <c r="AS9" s="36"/>
      <c r="AT9" s="63">
        <f t="shared" ref="AT9:AT10" si="76">AN9</f>
        <v>718.49609999999996</v>
      </c>
      <c r="AU9" s="37"/>
      <c r="AV9" s="37"/>
      <c r="AW9" s="62">
        <f t="shared" ref="AW9:AW10" si="77">AQ9</f>
        <v>718.49609999999996</v>
      </c>
      <c r="AX9" s="36"/>
      <c r="AY9" s="36"/>
      <c r="AZ9" s="63">
        <f t="shared" ref="AZ9:AZ10" si="78">AT9</f>
        <v>718.49609999999996</v>
      </c>
      <c r="BA9" s="37"/>
      <c r="BB9" s="37"/>
      <c r="BC9" s="62">
        <f t="shared" ref="BC9:BC10" si="79">AW9</f>
        <v>718.49609999999996</v>
      </c>
      <c r="BD9" s="36"/>
      <c r="BE9" s="36"/>
      <c r="BF9" s="63">
        <f t="shared" ref="BF9:BF10" si="80">AZ9</f>
        <v>718.49609999999996</v>
      </c>
      <c r="BG9" s="37"/>
      <c r="BH9" s="37"/>
      <c r="BI9" s="62">
        <f t="shared" ref="BI9:BI10" si="81">BC9</f>
        <v>718.49609999999996</v>
      </c>
      <c r="BJ9" s="36"/>
      <c r="BK9" s="36"/>
      <c r="BL9" s="63">
        <f t="shared" ref="BL9:BL10" si="82">BF9</f>
        <v>718.49609999999996</v>
      </c>
      <c r="BM9" s="37"/>
      <c r="BN9" s="37"/>
      <c r="BO9" s="62">
        <f t="shared" ref="BO9:BO10" si="83">BI9</f>
        <v>718.49609999999996</v>
      </c>
      <c r="BP9" s="36"/>
      <c r="BQ9" s="36"/>
      <c r="BR9" s="63">
        <f t="shared" ref="BR9:BR10" si="84">BL9</f>
        <v>718.49609999999996</v>
      </c>
      <c r="BS9" s="37"/>
      <c r="BT9" s="37"/>
      <c r="BU9" s="62">
        <f t="shared" ref="BU9:BU10" si="85">BO9</f>
        <v>718.49609999999996</v>
      </c>
      <c r="BV9" s="36"/>
      <c r="BW9" s="36"/>
      <c r="BX9" s="63">
        <f t="shared" ref="BX9:BX10" si="86">BR9</f>
        <v>718.49609999999996</v>
      </c>
      <c r="BY9" s="37"/>
      <c r="BZ9" s="37"/>
      <c r="CA9" s="62">
        <f t="shared" ref="CA9:CA10" si="87">BU9</f>
        <v>718.49609999999996</v>
      </c>
      <c r="CB9" s="36"/>
      <c r="CC9" s="36"/>
      <c r="CD9" s="63">
        <f t="shared" ref="CD9:CD10" si="88">BX9</f>
        <v>718.49609999999996</v>
      </c>
      <c r="CE9" s="37"/>
      <c r="CF9" s="37"/>
      <c r="CG9" s="62">
        <f t="shared" ref="CG9:CG10" si="89">CA9</f>
        <v>718.49609999999996</v>
      </c>
      <c r="CH9" s="36"/>
      <c r="CI9" s="36"/>
      <c r="CJ9" s="63">
        <f t="shared" ref="CJ9:CJ10" si="90">CD9</f>
        <v>718.49609999999996</v>
      </c>
      <c r="CK9" s="37"/>
      <c r="CL9" s="37"/>
      <c r="CM9" s="62">
        <f t="shared" ref="CM9:CM10" si="91">CG9</f>
        <v>718.49609999999996</v>
      </c>
      <c r="CN9" s="36"/>
      <c r="CO9" s="36"/>
      <c r="CP9" s="63">
        <f t="shared" ref="CP9:CP10" si="92">CJ9</f>
        <v>718.49609999999996</v>
      </c>
      <c r="CQ9" s="37"/>
      <c r="CR9" s="37"/>
    </row>
    <row r="10" spans="1:96" ht="30">
      <c r="A10" s="81"/>
      <c r="B10" s="84"/>
      <c r="C10" s="139" t="s">
        <v>252</v>
      </c>
      <c r="D10" s="140">
        <f>'тлб лента'!J49+('тлб лента'!J49*5/100)</f>
        <v>1882.125</v>
      </c>
      <c r="E10" s="140">
        <f t="shared" si="61"/>
        <v>0</v>
      </c>
      <c r="F10" s="141">
        <f t="shared" si="62"/>
        <v>0</v>
      </c>
      <c r="G10" s="142">
        <f t="shared" si="63"/>
        <v>62.737499999999997</v>
      </c>
      <c r="H10" s="143"/>
      <c r="I10" s="143"/>
      <c r="J10" s="144">
        <f t="shared" si="64"/>
        <v>62.737499999999997</v>
      </c>
      <c r="K10" s="139"/>
      <c r="L10" s="139"/>
      <c r="M10" s="142">
        <f t="shared" si="65"/>
        <v>62.737499999999997</v>
      </c>
      <c r="N10" s="143"/>
      <c r="O10" s="143"/>
      <c r="P10" s="144">
        <f t="shared" si="66"/>
        <v>62.737499999999997</v>
      </c>
      <c r="Q10" s="139"/>
      <c r="R10" s="139"/>
      <c r="S10" s="142">
        <f t="shared" si="67"/>
        <v>62.737499999999997</v>
      </c>
      <c r="T10" s="143"/>
      <c r="U10" s="143"/>
      <c r="V10" s="144">
        <f t="shared" si="68"/>
        <v>62.737499999999997</v>
      </c>
      <c r="W10" s="139"/>
      <c r="X10" s="139"/>
      <c r="Y10" s="142">
        <f t="shared" si="69"/>
        <v>62.737499999999997</v>
      </c>
      <c r="Z10" s="143"/>
      <c r="AA10" s="143"/>
      <c r="AB10" s="144">
        <f t="shared" si="70"/>
        <v>62.737499999999997</v>
      </c>
      <c r="AC10" s="139"/>
      <c r="AD10" s="139"/>
      <c r="AE10" s="142">
        <f t="shared" si="71"/>
        <v>62.737499999999997</v>
      </c>
      <c r="AF10" s="143"/>
      <c r="AG10" s="143"/>
      <c r="AH10" s="144">
        <f t="shared" si="72"/>
        <v>62.737499999999997</v>
      </c>
      <c r="AI10" s="139"/>
      <c r="AJ10" s="139"/>
      <c r="AK10" s="142">
        <f t="shared" si="73"/>
        <v>62.737499999999997</v>
      </c>
      <c r="AL10" s="143"/>
      <c r="AM10" s="143"/>
      <c r="AN10" s="144">
        <f t="shared" si="74"/>
        <v>62.737499999999997</v>
      </c>
      <c r="AO10" s="139"/>
      <c r="AP10" s="139"/>
      <c r="AQ10" s="142">
        <f t="shared" si="75"/>
        <v>62.737499999999997</v>
      </c>
      <c r="AR10" s="143"/>
      <c r="AS10" s="143"/>
      <c r="AT10" s="144">
        <f t="shared" si="76"/>
        <v>62.737499999999997</v>
      </c>
      <c r="AU10" s="139"/>
      <c r="AV10" s="139"/>
      <c r="AW10" s="142">
        <f t="shared" si="77"/>
        <v>62.737499999999997</v>
      </c>
      <c r="AX10" s="143"/>
      <c r="AY10" s="143"/>
      <c r="AZ10" s="144">
        <f t="shared" si="78"/>
        <v>62.737499999999997</v>
      </c>
      <c r="BA10" s="139"/>
      <c r="BB10" s="139"/>
      <c r="BC10" s="142">
        <f t="shared" si="79"/>
        <v>62.737499999999997</v>
      </c>
      <c r="BD10" s="143"/>
      <c r="BE10" s="143"/>
      <c r="BF10" s="144">
        <f t="shared" si="80"/>
        <v>62.737499999999997</v>
      </c>
      <c r="BG10" s="139"/>
      <c r="BH10" s="139"/>
      <c r="BI10" s="142">
        <f t="shared" si="81"/>
        <v>62.737499999999997</v>
      </c>
      <c r="BJ10" s="143"/>
      <c r="BK10" s="143"/>
      <c r="BL10" s="144">
        <f t="shared" si="82"/>
        <v>62.737499999999997</v>
      </c>
      <c r="BM10" s="139"/>
      <c r="BN10" s="139"/>
      <c r="BO10" s="142">
        <f t="shared" si="83"/>
        <v>62.737499999999997</v>
      </c>
      <c r="BP10" s="143"/>
      <c r="BQ10" s="143"/>
      <c r="BR10" s="144">
        <f t="shared" si="84"/>
        <v>62.737499999999997</v>
      </c>
      <c r="BS10" s="139"/>
      <c r="BT10" s="139"/>
      <c r="BU10" s="142">
        <f t="shared" si="85"/>
        <v>62.737499999999997</v>
      </c>
      <c r="BV10" s="143"/>
      <c r="BW10" s="143"/>
      <c r="BX10" s="144">
        <f t="shared" si="86"/>
        <v>62.737499999999997</v>
      </c>
      <c r="BY10" s="139"/>
      <c r="BZ10" s="139"/>
      <c r="CA10" s="142">
        <f t="shared" si="87"/>
        <v>62.737499999999997</v>
      </c>
      <c r="CB10" s="143"/>
      <c r="CC10" s="143"/>
      <c r="CD10" s="144">
        <f t="shared" si="88"/>
        <v>62.737499999999997</v>
      </c>
      <c r="CE10" s="139"/>
      <c r="CF10" s="139"/>
      <c r="CG10" s="142">
        <f t="shared" si="89"/>
        <v>62.737499999999997</v>
      </c>
      <c r="CH10" s="143"/>
      <c r="CI10" s="143"/>
      <c r="CJ10" s="144">
        <f t="shared" si="90"/>
        <v>62.737499999999997</v>
      </c>
      <c r="CK10" s="139"/>
      <c r="CL10" s="139"/>
      <c r="CM10" s="142">
        <f t="shared" si="91"/>
        <v>62.737499999999997</v>
      </c>
      <c r="CN10" s="143"/>
      <c r="CO10" s="143"/>
      <c r="CP10" s="144">
        <f t="shared" si="92"/>
        <v>62.737499999999997</v>
      </c>
      <c r="CQ10" s="139"/>
      <c r="CR10" s="139"/>
    </row>
    <row r="11" spans="1:96" ht="30">
      <c r="A11" s="81">
        <v>5</v>
      </c>
      <c r="B11" s="81" t="s">
        <v>262</v>
      </c>
      <c r="C11" s="37" t="s">
        <v>15</v>
      </c>
      <c r="D11" s="38">
        <v>65000</v>
      </c>
      <c r="E11" s="38">
        <f t="shared" ref="E11:E12" si="93">AU11+AX11+BA11+BD11+BG11+BJ11+AR11+AO11+AL11+AI11+H11+N11+Q11+T11+W11+Z11+AC11+AF11+K11+BM11+BP11+BS11+BV11+BY11+CB11+CE11+CH11+CN11+CK11+CQ11</f>
        <v>0</v>
      </c>
      <c r="F11" s="40">
        <f t="shared" ref="F11:F12" si="94">E11*100/D11</f>
        <v>0</v>
      </c>
      <c r="G11" s="62">
        <f t="shared" ref="G11:G12" si="95">D11/30</f>
        <v>2166.6666666666665</v>
      </c>
      <c r="H11" s="36"/>
      <c r="I11" s="36"/>
      <c r="J11" s="63">
        <f t="shared" ref="J11:J12" si="96">D11/30</f>
        <v>2166.6666666666665</v>
      </c>
      <c r="K11" s="37"/>
      <c r="L11" s="37"/>
      <c r="M11" s="62">
        <f t="shared" ref="M11:M12" si="97">G11</f>
        <v>2166.6666666666665</v>
      </c>
      <c r="N11" s="36"/>
      <c r="O11" s="36"/>
      <c r="P11" s="63">
        <f t="shared" ref="P11:P12" si="98">J11</f>
        <v>2166.6666666666665</v>
      </c>
      <c r="Q11" s="37"/>
      <c r="R11" s="37"/>
      <c r="S11" s="62">
        <f t="shared" ref="S11:S12" si="99">M11</f>
        <v>2166.6666666666665</v>
      </c>
      <c r="T11" s="36"/>
      <c r="U11" s="36"/>
      <c r="V11" s="63">
        <f t="shared" ref="V11:V12" si="100">P11</f>
        <v>2166.6666666666665</v>
      </c>
      <c r="W11" s="37"/>
      <c r="X11" s="37"/>
      <c r="Y11" s="62">
        <f t="shared" ref="Y11:Y12" si="101">S11</f>
        <v>2166.6666666666665</v>
      </c>
      <c r="Z11" s="36"/>
      <c r="AA11" s="36"/>
      <c r="AB11" s="63">
        <f t="shared" ref="AB11:AB12" si="102">V11</f>
        <v>2166.6666666666665</v>
      </c>
      <c r="AC11" s="37"/>
      <c r="AD11" s="37"/>
      <c r="AE11" s="62">
        <f t="shared" ref="AE11:AE12" si="103">Y11</f>
        <v>2166.6666666666665</v>
      </c>
      <c r="AF11" s="36"/>
      <c r="AG11" s="36"/>
      <c r="AH11" s="63">
        <f t="shared" ref="AH11:AH12" si="104">AB11</f>
        <v>2166.6666666666665</v>
      </c>
      <c r="AI11" s="37"/>
      <c r="AJ11" s="37"/>
      <c r="AK11" s="62">
        <f t="shared" ref="AK11:AK12" si="105">AE11</f>
        <v>2166.6666666666665</v>
      </c>
      <c r="AL11" s="36"/>
      <c r="AM11" s="36"/>
      <c r="AN11" s="63">
        <f t="shared" ref="AN11:AN12" si="106">AH11</f>
        <v>2166.6666666666665</v>
      </c>
      <c r="AO11" s="37"/>
      <c r="AP11" s="37"/>
      <c r="AQ11" s="62">
        <f t="shared" ref="AQ11:AQ12" si="107">AK11</f>
        <v>2166.6666666666665</v>
      </c>
      <c r="AR11" s="36"/>
      <c r="AS11" s="36"/>
      <c r="AT11" s="63">
        <f t="shared" ref="AT11:AT12" si="108">AN11</f>
        <v>2166.6666666666665</v>
      </c>
      <c r="AU11" s="37"/>
      <c r="AV11" s="37"/>
      <c r="AW11" s="62">
        <f t="shared" ref="AW11:AW12" si="109">AQ11</f>
        <v>2166.6666666666665</v>
      </c>
      <c r="AX11" s="36"/>
      <c r="AY11" s="36"/>
      <c r="AZ11" s="63">
        <f t="shared" ref="AZ11:AZ12" si="110">AT11</f>
        <v>2166.6666666666665</v>
      </c>
      <c r="BA11" s="37"/>
      <c r="BB11" s="37"/>
      <c r="BC11" s="62">
        <f t="shared" ref="BC11:BC12" si="111">AW11</f>
        <v>2166.6666666666665</v>
      </c>
      <c r="BD11" s="36"/>
      <c r="BE11" s="36"/>
      <c r="BF11" s="63">
        <f t="shared" ref="BF11:BF12" si="112">AZ11</f>
        <v>2166.6666666666665</v>
      </c>
      <c r="BG11" s="37"/>
      <c r="BH11" s="37"/>
      <c r="BI11" s="62">
        <f t="shared" ref="BI11:BI12" si="113">BC11</f>
        <v>2166.6666666666665</v>
      </c>
      <c r="BJ11" s="36"/>
      <c r="BK11" s="36"/>
      <c r="BL11" s="63">
        <f t="shared" ref="BL11:BL12" si="114">BF11</f>
        <v>2166.6666666666665</v>
      </c>
      <c r="BM11" s="37"/>
      <c r="BN11" s="37"/>
      <c r="BO11" s="62">
        <f t="shared" ref="BO11:BO12" si="115">BI11</f>
        <v>2166.6666666666665</v>
      </c>
      <c r="BP11" s="36"/>
      <c r="BQ11" s="36"/>
      <c r="BR11" s="63">
        <f t="shared" ref="BR11:BR12" si="116">BL11</f>
        <v>2166.6666666666665</v>
      </c>
      <c r="BS11" s="37"/>
      <c r="BT11" s="37"/>
      <c r="BU11" s="62">
        <f t="shared" ref="BU11:BU12" si="117">BO11</f>
        <v>2166.6666666666665</v>
      </c>
      <c r="BV11" s="36"/>
      <c r="BW11" s="36"/>
      <c r="BX11" s="63">
        <f t="shared" ref="BX11:BX12" si="118">BR11</f>
        <v>2166.6666666666665</v>
      </c>
      <c r="BY11" s="37"/>
      <c r="BZ11" s="37"/>
      <c r="CA11" s="62">
        <f t="shared" ref="CA11:CA12" si="119">BU11</f>
        <v>2166.6666666666665</v>
      </c>
      <c r="CB11" s="36"/>
      <c r="CC11" s="36"/>
      <c r="CD11" s="63">
        <f t="shared" ref="CD11:CD12" si="120">BX11</f>
        <v>2166.6666666666665</v>
      </c>
      <c r="CE11" s="37"/>
      <c r="CF11" s="37"/>
      <c r="CG11" s="62">
        <f t="shared" ref="CG11:CG12" si="121">CA11</f>
        <v>2166.6666666666665</v>
      </c>
      <c r="CH11" s="36"/>
      <c r="CI11" s="36"/>
      <c r="CJ11" s="63">
        <f t="shared" ref="CJ11:CJ12" si="122">CD11</f>
        <v>2166.6666666666665</v>
      </c>
      <c r="CK11" s="37"/>
      <c r="CL11" s="37"/>
      <c r="CM11" s="62">
        <f t="shared" ref="CM11:CM12" si="123">CG11</f>
        <v>2166.6666666666665</v>
      </c>
      <c r="CN11" s="36"/>
      <c r="CO11" s="36"/>
      <c r="CP11" s="63">
        <f t="shared" ref="CP11:CP12" si="124">CJ11</f>
        <v>2166.6666666666665</v>
      </c>
      <c r="CQ11" s="37"/>
      <c r="CR11" s="37"/>
    </row>
    <row r="12" spans="1:96" ht="30">
      <c r="A12" s="81"/>
      <c r="B12" s="81"/>
      <c r="C12" s="37" t="s">
        <v>230</v>
      </c>
      <c r="D12" s="38">
        <f>45000</f>
        <v>45000</v>
      </c>
      <c r="E12" s="38">
        <f t="shared" si="93"/>
        <v>0</v>
      </c>
      <c r="F12" s="40">
        <f t="shared" si="94"/>
        <v>0</v>
      </c>
      <c r="G12" s="62">
        <f t="shared" si="95"/>
        <v>1500</v>
      </c>
      <c r="H12" s="36"/>
      <c r="I12" s="36"/>
      <c r="J12" s="63">
        <f t="shared" si="96"/>
        <v>1500</v>
      </c>
      <c r="K12" s="37"/>
      <c r="L12" s="37"/>
      <c r="M12" s="62">
        <f t="shared" si="97"/>
        <v>1500</v>
      </c>
      <c r="N12" s="36"/>
      <c r="O12" s="36"/>
      <c r="P12" s="63">
        <f t="shared" si="98"/>
        <v>1500</v>
      </c>
      <c r="Q12" s="37"/>
      <c r="R12" s="37"/>
      <c r="S12" s="62">
        <f t="shared" si="99"/>
        <v>1500</v>
      </c>
      <c r="T12" s="36"/>
      <c r="U12" s="36"/>
      <c r="V12" s="63">
        <f t="shared" si="100"/>
        <v>1500</v>
      </c>
      <c r="W12" s="37"/>
      <c r="X12" s="37"/>
      <c r="Y12" s="62">
        <f t="shared" si="101"/>
        <v>1500</v>
      </c>
      <c r="Z12" s="36"/>
      <c r="AA12" s="36"/>
      <c r="AB12" s="63">
        <f t="shared" si="102"/>
        <v>1500</v>
      </c>
      <c r="AC12" s="37"/>
      <c r="AD12" s="37"/>
      <c r="AE12" s="62">
        <f t="shared" si="103"/>
        <v>1500</v>
      </c>
      <c r="AF12" s="36"/>
      <c r="AG12" s="36"/>
      <c r="AH12" s="63">
        <f t="shared" si="104"/>
        <v>1500</v>
      </c>
      <c r="AI12" s="37"/>
      <c r="AJ12" s="37"/>
      <c r="AK12" s="62">
        <f t="shared" si="105"/>
        <v>1500</v>
      </c>
      <c r="AL12" s="36"/>
      <c r="AM12" s="36"/>
      <c r="AN12" s="63">
        <f t="shared" si="106"/>
        <v>1500</v>
      </c>
      <c r="AO12" s="37"/>
      <c r="AP12" s="37"/>
      <c r="AQ12" s="62">
        <f t="shared" si="107"/>
        <v>1500</v>
      </c>
      <c r="AR12" s="36"/>
      <c r="AS12" s="36"/>
      <c r="AT12" s="63">
        <f t="shared" si="108"/>
        <v>1500</v>
      </c>
      <c r="AU12" s="37"/>
      <c r="AV12" s="37"/>
      <c r="AW12" s="62">
        <f t="shared" si="109"/>
        <v>1500</v>
      </c>
      <c r="AX12" s="36"/>
      <c r="AY12" s="36"/>
      <c r="AZ12" s="63">
        <f t="shared" si="110"/>
        <v>1500</v>
      </c>
      <c r="BA12" s="37"/>
      <c r="BB12" s="37"/>
      <c r="BC12" s="62">
        <f t="shared" si="111"/>
        <v>1500</v>
      </c>
      <c r="BD12" s="36"/>
      <c r="BE12" s="36"/>
      <c r="BF12" s="63">
        <f t="shared" si="112"/>
        <v>1500</v>
      </c>
      <c r="BG12" s="37"/>
      <c r="BH12" s="37"/>
      <c r="BI12" s="62">
        <f t="shared" si="113"/>
        <v>1500</v>
      </c>
      <c r="BJ12" s="36"/>
      <c r="BK12" s="36"/>
      <c r="BL12" s="63">
        <f t="shared" si="114"/>
        <v>1500</v>
      </c>
      <c r="BM12" s="37"/>
      <c r="BN12" s="37"/>
      <c r="BO12" s="62">
        <f t="shared" si="115"/>
        <v>1500</v>
      </c>
      <c r="BP12" s="36"/>
      <c r="BQ12" s="36"/>
      <c r="BR12" s="63">
        <f t="shared" si="116"/>
        <v>1500</v>
      </c>
      <c r="BS12" s="37"/>
      <c r="BT12" s="37"/>
      <c r="BU12" s="62">
        <f t="shared" si="117"/>
        <v>1500</v>
      </c>
      <c r="BV12" s="36"/>
      <c r="BW12" s="36"/>
      <c r="BX12" s="63">
        <f t="shared" si="118"/>
        <v>1500</v>
      </c>
      <c r="BY12" s="37"/>
      <c r="BZ12" s="37"/>
      <c r="CA12" s="62">
        <f t="shared" si="119"/>
        <v>1500</v>
      </c>
      <c r="CB12" s="36"/>
      <c r="CC12" s="36"/>
      <c r="CD12" s="63">
        <f t="shared" si="120"/>
        <v>1500</v>
      </c>
      <c r="CE12" s="37"/>
      <c r="CF12" s="37"/>
      <c r="CG12" s="62">
        <f t="shared" si="121"/>
        <v>1500</v>
      </c>
      <c r="CH12" s="36"/>
      <c r="CI12" s="36"/>
      <c r="CJ12" s="63">
        <f t="shared" si="122"/>
        <v>1500</v>
      </c>
      <c r="CK12" s="37"/>
      <c r="CL12" s="37"/>
      <c r="CM12" s="62">
        <f t="shared" si="123"/>
        <v>1500</v>
      </c>
      <c r="CN12" s="36"/>
      <c r="CO12" s="36"/>
      <c r="CP12" s="63">
        <f t="shared" si="124"/>
        <v>1500</v>
      </c>
      <c r="CQ12" s="37"/>
      <c r="CR12" s="37"/>
    </row>
    <row r="14" spans="1:96">
      <c r="AH14" s="42"/>
      <c r="AI14" s="43"/>
    </row>
    <row r="15" spans="1:96">
      <c r="AH15" s="42"/>
      <c r="AI15" s="43"/>
    </row>
    <row r="16" spans="1:96">
      <c r="AH16" s="42"/>
      <c r="AI16" s="43"/>
    </row>
    <row r="17" spans="34:35">
      <c r="AH17" s="42"/>
      <c r="AI17" s="43"/>
    </row>
    <row r="18" spans="34:35">
      <c r="AH18" s="42"/>
      <c r="AI18" s="43"/>
    </row>
    <row r="19" spans="34:35">
      <c r="AH19" s="42"/>
      <c r="AI19" s="43"/>
    </row>
    <row r="20" spans="34:35">
      <c r="AH20" s="42"/>
      <c r="AI20" s="43"/>
    </row>
    <row r="21" spans="34:35">
      <c r="AH21" s="42"/>
      <c r="AI21" s="43"/>
    </row>
    <row r="22" spans="34:35">
      <c r="AH22" s="42"/>
      <c r="AI22" s="43"/>
    </row>
    <row r="23" spans="34:35">
      <c r="AH23" s="42"/>
      <c r="AI23" s="43"/>
    </row>
    <row r="24" spans="34:35">
      <c r="AH24" s="42"/>
      <c r="AI24" s="43"/>
    </row>
    <row r="25" spans="34:35">
      <c r="AH25" s="42"/>
      <c r="AI25" s="43"/>
    </row>
  </sheetData>
  <mergeCells count="44">
    <mergeCell ref="A7:A8"/>
    <mergeCell ref="B7:B8"/>
    <mergeCell ref="A9:A10"/>
    <mergeCell ref="B9:B10"/>
    <mergeCell ref="B11:B12"/>
    <mergeCell ref="A11:A12"/>
    <mergeCell ref="A1:A2"/>
    <mergeCell ref="B1:B2"/>
    <mergeCell ref="C1:C2"/>
    <mergeCell ref="D1:F1"/>
    <mergeCell ref="G1:I1"/>
    <mergeCell ref="AQ1:AS1"/>
    <mergeCell ref="J1:L1"/>
    <mergeCell ref="M1:O1"/>
    <mergeCell ref="P1:R1"/>
    <mergeCell ref="S1:U1"/>
    <mergeCell ref="V1:X1"/>
    <mergeCell ref="Y1:AA1"/>
    <mergeCell ref="CG1:CI1"/>
    <mergeCell ref="CJ1:CL1"/>
    <mergeCell ref="CM1:CO1"/>
    <mergeCell ref="CP1:CR1"/>
    <mergeCell ref="BL1:BN1"/>
    <mergeCell ref="BO1:BQ1"/>
    <mergeCell ref="BR1:BT1"/>
    <mergeCell ref="BU1:BW1"/>
    <mergeCell ref="BX1:BZ1"/>
    <mergeCell ref="CA1:CC1"/>
    <mergeCell ref="A3:A4"/>
    <mergeCell ref="B3:B4"/>
    <mergeCell ref="A5:A6"/>
    <mergeCell ref="B5:B6"/>
    <mergeCell ref="CD1:CF1"/>
    <mergeCell ref="AT1:AV1"/>
    <mergeCell ref="AW1:AY1"/>
    <mergeCell ref="AZ1:BB1"/>
    <mergeCell ref="BC1:BE1"/>
    <mergeCell ref="BF1:BH1"/>
    <mergeCell ref="BI1:BK1"/>
    <mergeCell ref="AB1:AD1"/>
    <mergeCell ref="AE1:AG1"/>
    <mergeCell ref="AH1:AJ1"/>
    <mergeCell ref="AK1:AM1"/>
    <mergeCell ref="AN1:A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H24"/>
  <sheetViews>
    <sheetView workbookViewId="0">
      <selection activeCell="G24" sqref="G24"/>
    </sheetView>
  </sheetViews>
  <sheetFormatPr defaultRowHeight="15"/>
  <cols>
    <col min="3" max="3" width="14.42578125" customWidth="1"/>
    <col min="4" max="4" width="18.140625" customWidth="1"/>
    <col min="5" max="5" width="14.85546875" customWidth="1"/>
    <col min="6" max="6" width="11.85546875" customWidth="1"/>
    <col min="8" max="8" width="12.140625" customWidth="1"/>
  </cols>
  <sheetData>
    <row r="2" spans="3:8">
      <c r="C2" s="11" t="s">
        <v>117</v>
      </c>
      <c r="D2" s="11" t="s">
        <v>121</v>
      </c>
      <c r="E2" s="11" t="s">
        <v>120</v>
      </c>
      <c r="F2" s="11" t="s">
        <v>122</v>
      </c>
      <c r="G2" s="11" t="s">
        <v>3</v>
      </c>
      <c r="H2" s="11" t="s">
        <v>67</v>
      </c>
    </row>
    <row r="3" spans="3:8">
      <c r="C3" s="11" t="s">
        <v>118</v>
      </c>
      <c r="D3" s="92" t="s">
        <v>124</v>
      </c>
      <c r="E3" s="44" t="s">
        <v>123</v>
      </c>
      <c r="F3" s="11" t="s">
        <v>125</v>
      </c>
      <c r="G3" s="11">
        <v>43380</v>
      </c>
      <c r="H3" s="92" t="s">
        <v>12</v>
      </c>
    </row>
    <row r="4" spans="3:8">
      <c r="C4" s="11"/>
      <c r="D4" s="93"/>
      <c r="E4" s="44" t="s">
        <v>183</v>
      </c>
      <c r="F4" s="11" t="s">
        <v>126</v>
      </c>
      <c r="G4" s="11">
        <v>47718</v>
      </c>
      <c r="H4" s="93"/>
    </row>
    <row r="5" spans="3:8">
      <c r="C5" s="11"/>
      <c r="D5" s="92" t="s">
        <v>128</v>
      </c>
      <c r="E5" s="44" t="s">
        <v>181</v>
      </c>
      <c r="F5" s="11" t="s">
        <v>125</v>
      </c>
      <c r="G5" s="11">
        <v>5522</v>
      </c>
      <c r="H5" s="92" t="s">
        <v>127</v>
      </c>
    </row>
    <row r="6" spans="3:8">
      <c r="C6" s="11"/>
      <c r="D6" s="93"/>
      <c r="E6" s="45" t="s">
        <v>182</v>
      </c>
      <c r="F6" s="11" t="s">
        <v>126</v>
      </c>
      <c r="G6" s="11">
        <v>7773</v>
      </c>
      <c r="H6" s="93"/>
    </row>
    <row r="7" spans="3:8">
      <c r="C7" s="11"/>
      <c r="D7" s="92" t="s">
        <v>185</v>
      </c>
      <c r="E7" s="44" t="s">
        <v>188</v>
      </c>
      <c r="F7" s="11" t="s">
        <v>125</v>
      </c>
      <c r="G7" s="11">
        <v>901</v>
      </c>
      <c r="H7" s="92" t="s">
        <v>62</v>
      </c>
    </row>
    <row r="8" spans="3:8">
      <c r="C8" s="11"/>
      <c r="D8" s="93"/>
      <c r="E8" s="44" t="s">
        <v>189</v>
      </c>
      <c r="F8" s="11" t="s">
        <v>126</v>
      </c>
      <c r="G8" s="11">
        <v>968</v>
      </c>
      <c r="H8" s="93"/>
    </row>
    <row r="9" spans="3:8">
      <c r="C9" s="11"/>
      <c r="D9" s="92" t="s">
        <v>186</v>
      </c>
      <c r="E9" s="44" t="s">
        <v>190</v>
      </c>
      <c r="F9" s="11" t="s">
        <v>125</v>
      </c>
      <c r="G9" s="11">
        <v>20645</v>
      </c>
      <c r="H9" s="92" t="s">
        <v>187</v>
      </c>
    </row>
    <row r="10" spans="3:8">
      <c r="C10" s="11"/>
      <c r="D10" s="93"/>
      <c r="E10" s="44" t="s">
        <v>191</v>
      </c>
      <c r="F10" s="11" t="s">
        <v>126</v>
      </c>
      <c r="G10" s="11">
        <v>22183</v>
      </c>
      <c r="H10" s="93"/>
    </row>
    <row r="11" spans="3:8">
      <c r="C11" s="11"/>
      <c r="D11" s="11"/>
      <c r="E11" s="11"/>
      <c r="F11" s="11"/>
      <c r="G11" s="11"/>
      <c r="H11" s="11"/>
    </row>
    <row r="12" spans="3:8">
      <c r="C12" s="11"/>
      <c r="D12" s="11"/>
      <c r="E12" s="11"/>
      <c r="F12" s="11"/>
      <c r="G12" s="11"/>
      <c r="H12" s="11"/>
    </row>
    <row r="13" spans="3:8">
      <c r="C13" s="94" t="s">
        <v>28</v>
      </c>
      <c r="D13" s="95"/>
      <c r="E13" s="95"/>
      <c r="F13" s="96"/>
      <c r="G13" s="57">
        <f>SUM(G3:G12)</f>
        <v>149090</v>
      </c>
      <c r="H13" s="11"/>
    </row>
    <row r="14" spans="3:8">
      <c r="C14" s="11" t="s">
        <v>119</v>
      </c>
      <c r="D14" s="92" t="s">
        <v>192</v>
      </c>
      <c r="E14" s="11" t="s">
        <v>208</v>
      </c>
      <c r="F14" s="11" t="s">
        <v>125</v>
      </c>
      <c r="G14" s="11">
        <v>22085</v>
      </c>
      <c r="H14" s="11"/>
    </row>
    <row r="15" spans="3:8">
      <c r="C15" s="11"/>
      <c r="D15" s="93"/>
      <c r="E15" s="11" t="s">
        <v>209</v>
      </c>
      <c r="F15" s="11" t="s">
        <v>126</v>
      </c>
      <c r="G15" s="11">
        <v>22656</v>
      </c>
      <c r="H15" s="11"/>
    </row>
    <row r="16" spans="3:8">
      <c r="C16" s="11"/>
      <c r="D16" s="92" t="s">
        <v>213</v>
      </c>
      <c r="E16" s="11" t="s">
        <v>217</v>
      </c>
      <c r="F16" s="11" t="s">
        <v>125</v>
      </c>
      <c r="G16" s="11">
        <v>4243</v>
      </c>
      <c r="H16" s="11"/>
    </row>
    <row r="17" spans="3:8">
      <c r="C17" s="11"/>
      <c r="D17" s="93"/>
      <c r="E17" s="11" t="s">
        <v>218</v>
      </c>
      <c r="F17" s="11" t="s">
        <v>126</v>
      </c>
      <c r="G17" s="11">
        <v>4643</v>
      </c>
      <c r="H17" s="11"/>
    </row>
    <row r="18" spans="3:8">
      <c r="C18" s="11"/>
      <c r="D18" s="92" t="s">
        <v>214</v>
      </c>
      <c r="E18" s="11" t="s">
        <v>216</v>
      </c>
      <c r="F18" s="11" t="s">
        <v>125</v>
      </c>
      <c r="G18" s="11">
        <v>17375</v>
      </c>
      <c r="H18" s="11"/>
    </row>
    <row r="19" spans="3:8">
      <c r="C19" s="11"/>
      <c r="D19" s="93"/>
      <c r="E19" s="11" t="s">
        <v>216</v>
      </c>
      <c r="F19" s="11" t="s">
        <v>126</v>
      </c>
      <c r="G19" s="11">
        <v>17375</v>
      </c>
      <c r="H19" s="11"/>
    </row>
    <row r="20" spans="3:8">
      <c r="C20" s="11"/>
      <c r="D20" s="92" t="s">
        <v>219</v>
      </c>
      <c r="E20" s="11" t="s">
        <v>220</v>
      </c>
      <c r="F20" s="11" t="s">
        <v>125</v>
      </c>
      <c r="G20" s="11">
        <v>2479</v>
      </c>
      <c r="H20" s="11"/>
    </row>
    <row r="21" spans="3:8">
      <c r="C21" s="11"/>
      <c r="D21" s="93"/>
      <c r="E21" s="11" t="s">
        <v>220</v>
      </c>
      <c r="F21" s="11" t="s">
        <v>126</v>
      </c>
      <c r="G21" s="11">
        <v>2479</v>
      </c>
      <c r="H21" s="11"/>
    </row>
    <row r="22" spans="3:8">
      <c r="C22" s="11"/>
      <c r="D22" s="92" t="s">
        <v>215</v>
      </c>
      <c r="E22" s="11" t="s">
        <v>217</v>
      </c>
      <c r="F22" s="11" t="s">
        <v>125</v>
      </c>
      <c r="G22" s="11">
        <v>5799</v>
      </c>
      <c r="H22" s="11"/>
    </row>
    <row r="23" spans="3:8">
      <c r="C23" s="11"/>
      <c r="D23" s="93"/>
      <c r="E23" s="11" t="s">
        <v>218</v>
      </c>
      <c r="F23" s="11" t="s">
        <v>126</v>
      </c>
      <c r="G23" s="11">
        <v>6345</v>
      </c>
      <c r="H23" s="11"/>
    </row>
    <row r="24" spans="3:8">
      <c r="C24" s="94" t="s">
        <v>87</v>
      </c>
      <c r="D24" s="95"/>
      <c r="E24" s="95"/>
      <c r="F24" s="96"/>
      <c r="G24" s="57">
        <f>SUM(G14:G23)</f>
        <v>105479</v>
      </c>
      <c r="H24" s="11"/>
    </row>
  </sheetData>
  <mergeCells count="15">
    <mergeCell ref="D3:D4"/>
    <mergeCell ref="H3:H4"/>
    <mergeCell ref="D5:D6"/>
    <mergeCell ref="H5:H6"/>
    <mergeCell ref="C24:F24"/>
    <mergeCell ref="H7:H8"/>
    <mergeCell ref="D7:D8"/>
    <mergeCell ref="C13:F13"/>
    <mergeCell ref="H9:H10"/>
    <mergeCell ref="D9:D10"/>
    <mergeCell ref="D14:D15"/>
    <mergeCell ref="D16:D17"/>
    <mergeCell ref="D18:D19"/>
    <mergeCell ref="D22:D23"/>
    <mergeCell ref="D20:D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O12"/>
  <sheetViews>
    <sheetView workbookViewId="0">
      <selection activeCell="N6" sqref="N6"/>
    </sheetView>
  </sheetViews>
  <sheetFormatPr defaultRowHeight="15"/>
  <cols>
    <col min="1" max="14" width="9.140625" style="29"/>
    <col min="15" max="15" width="26" style="27" customWidth="1"/>
    <col min="16" max="16384" width="9.140625" style="29"/>
  </cols>
  <sheetData>
    <row r="1" spans="2:15" s="27" customFormat="1" ht="60">
      <c r="B1" s="26" t="s">
        <v>64</v>
      </c>
      <c r="C1" s="26" t="s">
        <v>65</v>
      </c>
      <c r="D1" s="26" t="s">
        <v>95</v>
      </c>
      <c r="E1" s="26" t="s">
        <v>79</v>
      </c>
      <c r="F1" s="26" t="s">
        <v>80</v>
      </c>
      <c r="G1" s="26" t="s">
        <v>81</v>
      </c>
      <c r="H1" s="26" t="s">
        <v>82</v>
      </c>
      <c r="I1" s="26" t="s">
        <v>83</v>
      </c>
      <c r="J1" s="26" t="s">
        <v>84</v>
      </c>
      <c r="K1" s="26" t="s">
        <v>66</v>
      </c>
      <c r="L1" s="26" t="s">
        <v>85</v>
      </c>
      <c r="M1" s="26" t="s">
        <v>77</v>
      </c>
      <c r="N1" s="26" t="s">
        <v>86</v>
      </c>
      <c r="O1" s="26" t="s">
        <v>98</v>
      </c>
    </row>
    <row r="2" spans="2:15">
      <c r="B2" s="28" t="s">
        <v>93</v>
      </c>
      <c r="C2" s="28" t="s">
        <v>94</v>
      </c>
      <c r="D2" s="28" t="s">
        <v>96</v>
      </c>
      <c r="E2" s="28">
        <v>1.9</v>
      </c>
      <c r="F2" s="28">
        <v>1.38</v>
      </c>
      <c r="G2" s="28">
        <v>140</v>
      </c>
      <c r="H2" s="28">
        <v>1.38</v>
      </c>
      <c r="I2" s="28">
        <f>E2*F2*G2*2</f>
        <v>734.16</v>
      </c>
      <c r="J2" s="28">
        <f>I2</f>
        <v>734.16</v>
      </c>
      <c r="K2" s="28">
        <v>35000</v>
      </c>
      <c r="L2" s="28">
        <f>K2*H2</f>
        <v>48299.999999999993</v>
      </c>
      <c r="M2" s="28">
        <f>L2*2/100</f>
        <v>965.99999999999989</v>
      </c>
      <c r="N2" s="31">
        <f>SUM(L2:M2)</f>
        <v>49265.999999999993</v>
      </c>
      <c r="O2" s="32">
        <f>N2*J2/1000</f>
        <v>36169.126559999997</v>
      </c>
    </row>
    <row r="3" spans="2:15">
      <c r="B3" s="28" t="s">
        <v>93</v>
      </c>
      <c r="C3" s="28" t="s">
        <v>94</v>
      </c>
      <c r="D3" s="28" t="s">
        <v>96</v>
      </c>
      <c r="E3" s="28">
        <v>1.9</v>
      </c>
      <c r="F3" s="28">
        <v>1.58</v>
      </c>
      <c r="G3" s="28">
        <v>140</v>
      </c>
      <c r="H3" s="28">
        <v>1.58</v>
      </c>
      <c r="I3" s="28">
        <f>E3*F3*G3*2</f>
        <v>840.56</v>
      </c>
      <c r="J3" s="28">
        <f>I3</f>
        <v>840.56</v>
      </c>
      <c r="K3" s="28">
        <v>15000</v>
      </c>
      <c r="L3" s="28">
        <f>K3*H3</f>
        <v>23700</v>
      </c>
      <c r="M3" s="28">
        <f>L3*2/100</f>
        <v>474</v>
      </c>
      <c r="N3" s="31">
        <f>SUM(L3:M3)</f>
        <v>24174</v>
      </c>
      <c r="O3" s="32">
        <f t="shared" ref="O3:O9" si="0">N3*J3/1000</f>
        <v>20319.697439999996</v>
      </c>
    </row>
    <row r="4" spans="2:15">
      <c r="B4" s="28" t="s">
        <v>93</v>
      </c>
      <c r="C4" s="28" t="s">
        <v>94</v>
      </c>
      <c r="D4" s="28" t="s">
        <v>96</v>
      </c>
      <c r="E4" s="28">
        <v>1.9</v>
      </c>
      <c r="F4" s="28">
        <v>1.88</v>
      </c>
      <c r="G4" s="28">
        <v>140</v>
      </c>
      <c r="H4" s="28">
        <v>1.88</v>
      </c>
      <c r="I4" s="28">
        <f>E4*F4*G4*2</f>
        <v>1000.1599999999999</v>
      </c>
      <c r="J4" s="28">
        <f>I4</f>
        <v>1000.1599999999999</v>
      </c>
      <c r="K4" s="28">
        <v>5000</v>
      </c>
      <c r="L4" s="28">
        <f>K4*H4</f>
        <v>9400</v>
      </c>
      <c r="M4" s="28">
        <f>L4*2/100</f>
        <v>188</v>
      </c>
      <c r="N4" s="31">
        <f>SUM(L4:M4)</f>
        <v>9588</v>
      </c>
      <c r="O4" s="32">
        <f t="shared" si="0"/>
        <v>9589.5340799999976</v>
      </c>
    </row>
    <row r="5" spans="2:15">
      <c r="B5" s="28" t="s">
        <v>93</v>
      </c>
      <c r="C5" s="28" t="s">
        <v>94</v>
      </c>
      <c r="D5" s="28" t="s">
        <v>97</v>
      </c>
      <c r="E5" s="28">
        <v>1.9</v>
      </c>
      <c r="F5" s="28">
        <v>1.38</v>
      </c>
      <c r="G5" s="28">
        <v>160</v>
      </c>
      <c r="H5" s="28">
        <v>1.38</v>
      </c>
      <c r="I5" s="28">
        <f>E5*F5*G5*2</f>
        <v>839.04</v>
      </c>
      <c r="J5" s="28">
        <f t="shared" ref="J5:J9" si="1">I5</f>
        <v>839.04</v>
      </c>
      <c r="K5" s="28">
        <v>10000</v>
      </c>
      <c r="L5" s="28">
        <f t="shared" ref="L5:L9" si="2">K5*H5</f>
        <v>13799.999999999998</v>
      </c>
      <c r="M5" s="28">
        <f t="shared" ref="M5:M9" si="3">L5*2/100</f>
        <v>275.99999999999994</v>
      </c>
      <c r="N5" s="31">
        <f t="shared" ref="N5:N9" si="4">SUM(L5:M5)</f>
        <v>14075.999999999998</v>
      </c>
      <c r="O5" s="32">
        <f t="shared" si="0"/>
        <v>11810.327039999996</v>
      </c>
    </row>
    <row r="6" spans="2:15">
      <c r="B6" s="28" t="s">
        <v>93</v>
      </c>
      <c r="C6" s="28" t="s">
        <v>94</v>
      </c>
      <c r="D6" s="28" t="s">
        <v>99</v>
      </c>
      <c r="E6" s="28">
        <v>1.5</v>
      </c>
      <c r="F6" s="28">
        <v>2.2400000000000002</v>
      </c>
      <c r="G6" s="28">
        <v>120</v>
      </c>
      <c r="H6" s="28">
        <v>2.2400000000000002</v>
      </c>
      <c r="I6" s="28">
        <f t="shared" ref="I6:I7" si="5">E6*F6*G6*2</f>
        <v>806.40000000000009</v>
      </c>
      <c r="J6" s="28">
        <f t="shared" si="1"/>
        <v>806.40000000000009</v>
      </c>
      <c r="K6" s="28">
        <v>40000</v>
      </c>
      <c r="L6" s="28">
        <f t="shared" si="2"/>
        <v>89600.000000000015</v>
      </c>
      <c r="M6" s="28">
        <f t="shared" si="3"/>
        <v>1792.0000000000002</v>
      </c>
      <c r="N6" s="31">
        <f t="shared" si="4"/>
        <v>91392.000000000015</v>
      </c>
      <c r="O6" s="32">
        <f t="shared" si="0"/>
        <v>73698.508800000025</v>
      </c>
    </row>
    <row r="7" spans="2:15">
      <c r="B7" s="28" t="s">
        <v>93</v>
      </c>
      <c r="C7" s="28" t="s">
        <v>94</v>
      </c>
      <c r="D7" s="28" t="s">
        <v>100</v>
      </c>
      <c r="E7" s="28">
        <v>1.5</v>
      </c>
      <c r="F7" s="28">
        <v>2.2400000000000002</v>
      </c>
      <c r="G7" s="28">
        <v>140</v>
      </c>
      <c r="H7" s="28">
        <v>2.2400000000000002</v>
      </c>
      <c r="I7" s="28">
        <f t="shared" si="5"/>
        <v>940.80000000000007</v>
      </c>
      <c r="J7" s="28">
        <f t="shared" si="1"/>
        <v>940.80000000000007</v>
      </c>
      <c r="K7" s="28">
        <v>5000</v>
      </c>
      <c r="L7" s="28">
        <f t="shared" ref="L7" si="6">K7*H7</f>
        <v>11200.000000000002</v>
      </c>
      <c r="M7" s="28">
        <f t="shared" si="3"/>
        <v>224.00000000000003</v>
      </c>
      <c r="N7" s="31">
        <f t="shared" ref="N7" si="7">SUM(L7:M7)</f>
        <v>11424.000000000002</v>
      </c>
      <c r="O7" s="32">
        <f t="shared" ref="O7" si="8">N7*J7/1000</f>
        <v>10747.699200000003</v>
      </c>
    </row>
    <row r="8" spans="2:15">
      <c r="B8" s="28" t="s">
        <v>93</v>
      </c>
      <c r="C8" s="28" t="s">
        <v>116</v>
      </c>
      <c r="D8" s="28" t="s">
        <v>101</v>
      </c>
      <c r="E8" s="28">
        <v>1.05</v>
      </c>
      <c r="F8" s="28">
        <v>1.05</v>
      </c>
      <c r="G8" s="28">
        <v>160</v>
      </c>
      <c r="H8" s="28">
        <v>1.05</v>
      </c>
      <c r="I8" s="28">
        <f t="shared" ref="I8" si="9">E8*F8*G8*2</f>
        <v>352.8</v>
      </c>
      <c r="J8" s="28">
        <f t="shared" si="1"/>
        <v>352.8</v>
      </c>
      <c r="K8" s="28">
        <v>65000</v>
      </c>
      <c r="L8" s="28">
        <f>(K8*H8)/2</f>
        <v>34125</v>
      </c>
      <c r="M8" s="28">
        <f t="shared" si="3"/>
        <v>682.5</v>
      </c>
      <c r="N8" s="31">
        <f t="shared" ref="N8" si="10">SUM(L8:M8)</f>
        <v>34807.5</v>
      </c>
      <c r="O8" s="32">
        <f t="shared" ref="O8" si="11">N8*J8/1000</f>
        <v>12280.085999999999</v>
      </c>
    </row>
    <row r="9" spans="2:15">
      <c r="B9" s="28" t="s">
        <v>93</v>
      </c>
      <c r="C9" s="28"/>
      <c r="D9" s="28"/>
      <c r="E9" s="28"/>
      <c r="F9" s="28"/>
      <c r="G9" s="28"/>
      <c r="H9" s="28"/>
      <c r="I9" s="28">
        <f t="shared" ref="I9" si="12">E9*F9*G9*2</f>
        <v>0</v>
      </c>
      <c r="J9" s="28">
        <f t="shared" si="1"/>
        <v>0</v>
      </c>
      <c r="K9" s="28"/>
      <c r="L9" s="28">
        <f t="shared" si="2"/>
        <v>0</v>
      </c>
      <c r="M9" s="28">
        <f t="shared" si="3"/>
        <v>0</v>
      </c>
      <c r="N9" s="31">
        <f t="shared" si="4"/>
        <v>0</v>
      </c>
      <c r="O9" s="32">
        <f t="shared" si="0"/>
        <v>0</v>
      </c>
    </row>
    <row r="10" spans="2:15">
      <c r="B10" s="97" t="s">
        <v>87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31">
        <f>SUM(N2:N9)</f>
        <v>234727.5</v>
      </c>
      <c r="O10" s="30"/>
    </row>
    <row r="11" spans="2:15">
      <c r="B11" s="97" t="s">
        <v>92</v>
      </c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28">
        <f>10*500*2*30</f>
        <v>300000</v>
      </c>
      <c r="O11" s="30"/>
    </row>
    <row r="12" spans="2:15">
      <c r="H12" s="29" t="s">
        <v>72</v>
      </c>
      <c r="N12" s="29">
        <f>N11-N10</f>
        <v>65272.5</v>
      </c>
    </row>
  </sheetData>
  <mergeCells count="2">
    <mergeCell ref="B10:M10"/>
    <mergeCell ref="B11:M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R9"/>
  <sheetViews>
    <sheetView workbookViewId="0">
      <selection activeCell="N5" sqref="N5:N6"/>
    </sheetView>
  </sheetViews>
  <sheetFormatPr defaultRowHeight="15"/>
  <cols>
    <col min="1" max="15" width="9.140625" style="29"/>
    <col min="16" max="16" width="26" style="27" customWidth="1"/>
    <col min="17" max="16384" width="9.140625" style="29"/>
  </cols>
  <sheetData>
    <row r="1" spans="2:18" s="27" customFormat="1" ht="60">
      <c r="B1" s="26" t="s">
        <v>64</v>
      </c>
      <c r="C1" s="26" t="s">
        <v>65</v>
      </c>
      <c r="D1" s="26"/>
      <c r="E1" s="26" t="s">
        <v>79</v>
      </c>
      <c r="F1" s="26" t="s">
        <v>80</v>
      </c>
      <c r="G1" s="26" t="s">
        <v>81</v>
      </c>
      <c r="H1" s="26" t="s">
        <v>82</v>
      </c>
      <c r="I1" s="26" t="s">
        <v>83</v>
      </c>
      <c r="J1" s="26" t="s">
        <v>84</v>
      </c>
      <c r="K1" s="26" t="s">
        <v>66</v>
      </c>
      <c r="L1" s="26" t="s">
        <v>85</v>
      </c>
      <c r="M1" s="26" t="s">
        <v>77</v>
      </c>
      <c r="N1" s="26" t="s">
        <v>86</v>
      </c>
      <c r="O1" s="26" t="s">
        <v>184</v>
      </c>
      <c r="P1" s="26" t="s">
        <v>67</v>
      </c>
    </row>
    <row r="2" spans="2:18">
      <c r="B2" s="28" t="s">
        <v>68</v>
      </c>
      <c r="C2" s="28" t="s">
        <v>69</v>
      </c>
      <c r="D2" s="28" t="s">
        <v>12</v>
      </c>
      <c r="E2" s="28">
        <v>0.56000000000000005</v>
      </c>
      <c r="F2" s="28">
        <v>0.96</v>
      </c>
      <c r="G2" s="28">
        <v>76</v>
      </c>
      <c r="H2" s="28">
        <v>103</v>
      </c>
      <c r="I2" s="28">
        <v>110</v>
      </c>
      <c r="J2" s="28">
        <v>88</v>
      </c>
      <c r="K2" s="28">
        <f>1000000</f>
        <v>1000000</v>
      </c>
      <c r="L2" s="28">
        <f>K2*(H2/100)</f>
        <v>1030000</v>
      </c>
      <c r="M2" s="28">
        <f>L2*2/100</f>
        <v>20600</v>
      </c>
      <c r="N2" s="31">
        <f>SUM(L2:M2)</f>
        <v>1050600</v>
      </c>
      <c r="O2" s="31">
        <f>N2*E2*G2/1000*2</f>
        <v>89427.072</v>
      </c>
      <c r="P2" s="30" t="s">
        <v>73</v>
      </c>
      <c r="Q2" s="29">
        <f>0.56*1*2*0.076</f>
        <v>8.5120000000000001E-2</v>
      </c>
      <c r="R2" s="29">
        <f>Q2*N2</f>
        <v>89427.072</v>
      </c>
    </row>
    <row r="3" spans="2:18">
      <c r="B3" s="28" t="s">
        <v>74</v>
      </c>
      <c r="C3" s="28"/>
      <c r="D3" s="28" t="s">
        <v>75</v>
      </c>
      <c r="E3" s="28">
        <v>0.85</v>
      </c>
      <c r="F3" s="28">
        <v>3.8</v>
      </c>
      <c r="G3" s="28">
        <v>60</v>
      </c>
      <c r="H3" s="28">
        <v>380</v>
      </c>
      <c r="I3" s="28">
        <f>0.85*3.8*60</f>
        <v>193.8</v>
      </c>
      <c r="J3" s="28">
        <f>I3</f>
        <v>193.8</v>
      </c>
      <c r="K3" s="28">
        <f>'черновик с расчетами'!R2</f>
        <v>32000</v>
      </c>
      <c r="L3" s="28">
        <f t="shared" ref="L3" si="0">K3*(H3/100)</f>
        <v>121600</v>
      </c>
      <c r="M3" s="28">
        <f>L3*2/100</f>
        <v>2432</v>
      </c>
      <c r="N3" s="31">
        <f>SUM(L3:M3)</f>
        <v>124032</v>
      </c>
      <c r="O3" s="31">
        <f t="shared" ref="O3:O8" si="1">N3*E3*G3/1000*2</f>
        <v>12651.263999999999</v>
      </c>
      <c r="P3" s="30" t="s">
        <v>76</v>
      </c>
    </row>
    <row r="4" spans="2:18">
      <c r="B4" s="28" t="s">
        <v>74</v>
      </c>
      <c r="C4" s="28"/>
      <c r="D4" s="28" t="s">
        <v>90</v>
      </c>
      <c r="E4" s="28">
        <v>0.53</v>
      </c>
      <c r="F4" s="28">
        <v>1.05</v>
      </c>
      <c r="G4" s="28">
        <v>63</v>
      </c>
      <c r="H4" s="28">
        <v>105</v>
      </c>
      <c r="I4" s="28">
        <f>1.05*1.05*60</f>
        <v>66.150000000000006</v>
      </c>
      <c r="J4" s="28">
        <f>I4</f>
        <v>66.150000000000006</v>
      </c>
      <c r="K4" s="28">
        <f>'черновик с расчетами'!G10+'черновик с расчетами'!G16+'черновик с расчетами'!G18+'черновик с расчетами'!G20+'черновик с расчетами'!G24</f>
        <v>25000</v>
      </c>
      <c r="L4" s="28">
        <f t="shared" ref="L4" si="2">K4*(H4/100)</f>
        <v>26250</v>
      </c>
      <c r="M4" s="28">
        <f>L4*2/100</f>
        <v>525</v>
      </c>
      <c r="N4" s="31">
        <f>SUM(L4:M4)</f>
        <v>26775</v>
      </c>
      <c r="O4" s="31">
        <f t="shared" si="1"/>
        <v>1788.0345</v>
      </c>
      <c r="P4" s="30" t="s">
        <v>91</v>
      </c>
    </row>
    <row r="5" spans="2:18" ht="30">
      <c r="B5" s="28" t="s">
        <v>74</v>
      </c>
      <c r="C5" s="28"/>
      <c r="D5" s="28" t="s">
        <v>78</v>
      </c>
      <c r="E5" s="28">
        <v>0.56000000000000005</v>
      </c>
      <c r="F5" s="28">
        <v>0.6</v>
      </c>
      <c r="G5" s="28">
        <v>63</v>
      </c>
      <c r="H5" s="28">
        <v>60</v>
      </c>
      <c r="I5" s="28">
        <f>0.56*0.6*2*60</f>
        <v>40.32</v>
      </c>
      <c r="J5" s="28">
        <f>I5</f>
        <v>40.32</v>
      </c>
      <c r="K5" s="28">
        <f>'черновик с расчетами'!S2</f>
        <v>40000</v>
      </c>
      <c r="L5" s="28">
        <f>K5*(H5/100)</f>
        <v>24000</v>
      </c>
      <c r="M5" s="28">
        <f>L5*2/100</f>
        <v>480</v>
      </c>
      <c r="N5" s="31">
        <f>SUM(L5:M5)</f>
        <v>24480</v>
      </c>
      <c r="O5" s="31">
        <f t="shared" si="1"/>
        <v>1727.3088</v>
      </c>
      <c r="P5" s="30" t="s">
        <v>89</v>
      </c>
    </row>
    <row r="6" spans="2:18">
      <c r="B6" s="28" t="s">
        <v>68</v>
      </c>
      <c r="C6" s="28" t="s">
        <v>70</v>
      </c>
      <c r="D6" s="28" t="s">
        <v>14</v>
      </c>
      <c r="E6" s="28">
        <v>0.56000000000000005</v>
      </c>
      <c r="F6" s="28">
        <v>1.05</v>
      </c>
      <c r="G6" s="28">
        <v>63</v>
      </c>
      <c r="H6" s="28">
        <v>108</v>
      </c>
      <c r="I6" s="28">
        <v>79</v>
      </c>
      <c r="J6" s="28">
        <v>79</v>
      </c>
      <c r="K6" s="28">
        <f>L6/1.13</f>
        <v>482292.69026548677</v>
      </c>
      <c r="L6" s="28">
        <f>N6-M6</f>
        <v>544990.74</v>
      </c>
      <c r="M6" s="28">
        <f>N6*102/100-N6</f>
        <v>11122.260000000009</v>
      </c>
      <c r="N6" s="31">
        <f>N8-N2-N3-N4-N5</f>
        <v>556113</v>
      </c>
      <c r="O6" s="31">
        <f t="shared" si="1"/>
        <v>39239.333279999999</v>
      </c>
      <c r="P6" s="30" t="s">
        <v>71</v>
      </c>
    </row>
    <row r="7" spans="2:18">
      <c r="B7" s="97" t="s">
        <v>87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31">
        <f>N2+N3+N5+N6+N4</f>
        <v>1782000</v>
      </c>
      <c r="O7" s="31">
        <f>SUM(O2:O6)</f>
        <v>144833.01257999998</v>
      </c>
      <c r="P7" s="30" t="s">
        <v>88</v>
      </c>
    </row>
    <row r="8" spans="2:18">
      <c r="B8" s="97" t="s">
        <v>92</v>
      </c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28">
        <f>27*1100*2*30</f>
        <v>1782000</v>
      </c>
      <c r="O8" s="31">
        <f t="shared" si="1"/>
        <v>0</v>
      </c>
      <c r="P8" s="30"/>
    </row>
    <row r="9" spans="2:18">
      <c r="H9" s="29" t="s">
        <v>72</v>
      </c>
      <c r="N9" s="29">
        <f>N8-N7</f>
        <v>0</v>
      </c>
    </row>
  </sheetData>
  <mergeCells count="2">
    <mergeCell ref="B7:M7"/>
    <mergeCell ref="B8:M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7"/>
  <sheetViews>
    <sheetView topLeftCell="D8" workbookViewId="0">
      <selection activeCell="L9" sqref="L9"/>
    </sheetView>
  </sheetViews>
  <sheetFormatPr defaultColWidth="15.28515625" defaultRowHeight="12.75"/>
  <cols>
    <col min="1" max="1" width="5.85546875" style="46" customWidth="1"/>
    <col min="2" max="2" width="19.7109375" style="50" customWidth="1"/>
    <col min="3" max="3" width="20.28515625" style="50" customWidth="1"/>
    <col min="4" max="4" width="19.5703125" style="50" customWidth="1"/>
    <col min="5" max="11" width="13.42578125" style="50" customWidth="1"/>
    <col min="12" max="12" width="14.85546875" style="50" customWidth="1"/>
    <col min="13" max="13" width="13.42578125" style="50" customWidth="1"/>
    <col min="14" max="17" width="9.85546875" style="50" customWidth="1"/>
    <col min="18" max="16384" width="15.28515625" style="50"/>
  </cols>
  <sheetData>
    <row r="1" spans="1:15" s="46" customFormat="1" ht="12.75" customHeight="1">
      <c r="B1" s="103" t="s">
        <v>129</v>
      </c>
      <c r="C1" s="103"/>
      <c r="D1" s="103"/>
      <c r="E1" s="103"/>
      <c r="F1" s="103"/>
      <c r="G1" s="103"/>
    </row>
    <row r="2" spans="1:15" s="46" customFormat="1"/>
    <row r="3" spans="1:15" s="46" customFormat="1" ht="56.25" customHeight="1">
      <c r="A3" s="98" t="s">
        <v>102</v>
      </c>
      <c r="B3" s="98" t="s">
        <v>130</v>
      </c>
      <c r="C3" s="98" t="s">
        <v>131</v>
      </c>
      <c r="D3" s="98" t="s">
        <v>132</v>
      </c>
      <c r="E3" s="98" t="s">
        <v>133</v>
      </c>
      <c r="F3" s="98" t="s">
        <v>134</v>
      </c>
      <c r="G3" s="98" t="s">
        <v>135</v>
      </c>
      <c r="H3" s="98" t="s">
        <v>136</v>
      </c>
      <c r="I3" s="98" t="s">
        <v>137</v>
      </c>
    </row>
    <row r="4" spans="1:15" s="46" customFormat="1">
      <c r="A4" s="99"/>
      <c r="B4" s="99"/>
      <c r="C4" s="99"/>
      <c r="D4" s="99"/>
      <c r="E4" s="99"/>
      <c r="F4" s="99"/>
      <c r="G4" s="99"/>
      <c r="H4" s="99"/>
      <c r="I4" s="99"/>
    </row>
    <row r="5" spans="1:15" ht="54" customHeight="1">
      <c r="A5" s="47">
        <v>1</v>
      </c>
      <c r="B5" s="48" t="s">
        <v>138</v>
      </c>
      <c r="C5" s="48" t="s">
        <v>139</v>
      </c>
      <c r="D5" s="49" t="s">
        <v>6</v>
      </c>
      <c r="E5" s="48">
        <v>1351350</v>
      </c>
      <c r="F5" s="48" t="s">
        <v>140</v>
      </c>
      <c r="G5" s="48">
        <v>56</v>
      </c>
      <c r="H5" s="48">
        <v>76</v>
      </c>
      <c r="I5" s="48" t="s">
        <v>141</v>
      </c>
    </row>
    <row r="7" spans="1:15" ht="49.5" customHeight="1">
      <c r="A7" s="100" t="s">
        <v>102</v>
      </c>
      <c r="B7" s="100" t="s">
        <v>130</v>
      </c>
      <c r="C7" s="100" t="s">
        <v>131</v>
      </c>
      <c r="D7" s="100" t="s">
        <v>132</v>
      </c>
      <c r="E7" s="101" t="s">
        <v>142</v>
      </c>
      <c r="F7" s="102"/>
      <c r="G7" s="101" t="s">
        <v>143</v>
      </c>
      <c r="H7" s="102"/>
      <c r="I7" s="101" t="s">
        <v>144</v>
      </c>
      <c r="J7" s="102"/>
      <c r="K7" s="101" t="s">
        <v>145</v>
      </c>
      <c r="L7" s="102"/>
      <c r="M7" s="98" t="s">
        <v>146</v>
      </c>
    </row>
    <row r="8" spans="1:15" ht="38.25">
      <c r="A8" s="100"/>
      <c r="B8" s="100"/>
      <c r="C8" s="100"/>
      <c r="D8" s="100"/>
      <c r="E8" s="47" t="s">
        <v>147</v>
      </c>
      <c r="F8" s="47" t="s">
        <v>148</v>
      </c>
      <c r="G8" s="47" t="s">
        <v>149</v>
      </c>
      <c r="H8" s="47" t="s">
        <v>150</v>
      </c>
      <c r="I8" s="47" t="s">
        <v>151</v>
      </c>
      <c r="J8" s="47" t="s">
        <v>152</v>
      </c>
      <c r="K8" s="47" t="s">
        <v>153</v>
      </c>
      <c r="L8" s="47" t="s">
        <v>154</v>
      </c>
      <c r="M8" s="99"/>
    </row>
    <row r="9" spans="1:15">
      <c r="A9" s="51">
        <v>2</v>
      </c>
      <c r="B9" s="52" t="s">
        <v>155</v>
      </c>
      <c r="C9" s="52" t="s">
        <v>120</v>
      </c>
      <c r="D9" s="52" t="s">
        <v>155</v>
      </c>
      <c r="E9" s="48">
        <v>90</v>
      </c>
      <c r="F9" s="48">
        <v>10</v>
      </c>
      <c r="G9" s="53" t="s">
        <v>156</v>
      </c>
      <c r="H9" s="53" t="s">
        <v>156</v>
      </c>
      <c r="I9" s="48">
        <v>5</v>
      </c>
      <c r="J9" s="48" t="s">
        <v>157</v>
      </c>
      <c r="K9" s="54">
        <f>((448*(0.68/9))*L13)*0.001+(((448*(0.68/9))*L13)*0.001)*5*0.01</f>
        <v>20635.049343999999</v>
      </c>
      <c r="L9" s="54">
        <f>((430*(0.68/9*1.12))*L13)*0.001+(((430*(0.68/9*1.12))*L13)*0.001)*5*0.01</f>
        <v>22182.678044800006</v>
      </c>
      <c r="M9" s="54">
        <f t="shared" ref="M9" si="0">K9+L9</f>
        <v>42817.727388800005</v>
      </c>
      <c r="N9" s="50">
        <f>53*2*10</f>
        <v>1060</v>
      </c>
      <c r="O9" s="50">
        <f>560*2/2.5</f>
        <v>448</v>
      </c>
    </row>
    <row r="11" spans="1:15" ht="38.25" customHeight="1">
      <c r="A11" s="100">
        <v>3</v>
      </c>
      <c r="B11" s="100" t="s">
        <v>130</v>
      </c>
      <c r="C11" s="98" t="s">
        <v>131</v>
      </c>
      <c r="D11" s="100" t="s">
        <v>132</v>
      </c>
      <c r="E11" s="98" t="s">
        <v>158</v>
      </c>
      <c r="F11" s="101" t="s">
        <v>159</v>
      </c>
      <c r="G11" s="102"/>
      <c r="H11" s="101" t="s">
        <v>160</v>
      </c>
      <c r="I11" s="102"/>
      <c r="J11" s="47" t="s">
        <v>161</v>
      </c>
      <c r="K11" s="47" t="s">
        <v>162</v>
      </c>
      <c r="L11" s="98" t="s">
        <v>163</v>
      </c>
    </row>
    <row r="12" spans="1:15" ht="102" customHeight="1">
      <c r="A12" s="100"/>
      <c r="B12" s="100"/>
      <c r="C12" s="99"/>
      <c r="D12" s="100"/>
      <c r="E12" s="99"/>
      <c r="F12" s="47" t="s">
        <v>164</v>
      </c>
      <c r="G12" s="47" t="s">
        <v>165</v>
      </c>
      <c r="H12" s="47" t="s">
        <v>166</v>
      </c>
      <c r="I12" s="47" t="s">
        <v>167</v>
      </c>
      <c r="J12" s="47" t="s">
        <v>168</v>
      </c>
      <c r="K12" s="47" t="s">
        <v>169</v>
      </c>
      <c r="L12" s="99"/>
    </row>
    <row r="13" spans="1:15">
      <c r="A13" s="100"/>
      <c r="B13" s="48" t="s">
        <v>170</v>
      </c>
      <c r="C13" s="48" t="s">
        <v>121</v>
      </c>
      <c r="D13" s="48" t="s">
        <v>170</v>
      </c>
      <c r="E13" s="48">
        <f>1120/2.5</f>
        <v>448</v>
      </c>
      <c r="F13" s="48">
        <v>40</v>
      </c>
      <c r="G13" s="48">
        <v>43</v>
      </c>
      <c r="H13" s="55">
        <f>(790*(40/2)*5*0.95)/1000</f>
        <v>75.05</v>
      </c>
      <c r="I13" s="55">
        <f>(790*(44/2)*5*0.93)/1000</f>
        <v>80.816999999999993</v>
      </c>
      <c r="J13" s="48">
        <v>2500</v>
      </c>
      <c r="K13" s="48">
        <f>2500*0.076*2*0.56</f>
        <v>212.8</v>
      </c>
      <c r="L13" s="48">
        <v>580593</v>
      </c>
    </row>
    <row r="15" spans="1:15">
      <c r="A15" s="100" t="s">
        <v>102</v>
      </c>
      <c r="B15" s="100" t="s">
        <v>130</v>
      </c>
      <c r="C15" s="100" t="s">
        <v>131</v>
      </c>
      <c r="D15" s="100" t="s">
        <v>132</v>
      </c>
      <c r="E15" s="101" t="s">
        <v>142</v>
      </c>
      <c r="F15" s="102"/>
      <c r="G15" s="98" t="s">
        <v>171</v>
      </c>
      <c r="H15" s="98" t="s">
        <v>172</v>
      </c>
      <c r="I15" s="98" t="s">
        <v>173</v>
      </c>
      <c r="J15" s="98" t="s">
        <v>174</v>
      </c>
      <c r="K15" s="98" t="s">
        <v>175</v>
      </c>
      <c r="L15" s="98" t="s">
        <v>176</v>
      </c>
      <c r="M15" s="98" t="s">
        <v>177</v>
      </c>
    </row>
    <row r="16" spans="1:15" ht="38.25">
      <c r="A16" s="100"/>
      <c r="B16" s="100"/>
      <c r="C16" s="100"/>
      <c r="D16" s="100"/>
      <c r="E16" s="47" t="s">
        <v>178</v>
      </c>
      <c r="F16" s="47" t="s">
        <v>148</v>
      </c>
      <c r="G16" s="99"/>
      <c r="H16" s="99"/>
      <c r="I16" s="99"/>
      <c r="J16" s="99"/>
      <c r="K16" s="99"/>
      <c r="L16" s="99"/>
      <c r="M16" s="99"/>
    </row>
    <row r="17" spans="1:13">
      <c r="A17" s="51">
        <v>4</v>
      </c>
      <c r="B17" s="52" t="s">
        <v>179</v>
      </c>
      <c r="C17" s="52" t="s">
        <v>180</v>
      </c>
      <c r="D17" s="52" t="s">
        <v>179</v>
      </c>
      <c r="E17" s="48">
        <v>96</v>
      </c>
      <c r="F17" s="48">
        <v>4</v>
      </c>
      <c r="G17" s="48">
        <v>58</v>
      </c>
      <c r="H17" s="48">
        <v>105</v>
      </c>
      <c r="I17" s="48">
        <v>106</v>
      </c>
      <c r="J17" s="48">
        <v>19</v>
      </c>
      <c r="K17" s="56">
        <f>(G17*I17*2*J17*0.093)/1000</f>
        <v>21.727031999999998</v>
      </c>
      <c r="L17" s="48"/>
      <c r="M17" s="54">
        <f>L17*K17/1000</f>
        <v>0</v>
      </c>
    </row>
  </sheetData>
  <mergeCells count="39">
    <mergeCell ref="B1:G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A7:A8"/>
    <mergeCell ref="B7:B8"/>
    <mergeCell ref="C7:C8"/>
    <mergeCell ref="D7:D8"/>
    <mergeCell ref="E7:F7"/>
    <mergeCell ref="G7:H7"/>
    <mergeCell ref="I7:J7"/>
    <mergeCell ref="K7:L7"/>
    <mergeCell ref="M7:M8"/>
    <mergeCell ref="A11:A13"/>
    <mergeCell ref="B11:B12"/>
    <mergeCell ref="C11:C12"/>
    <mergeCell ref="D11:D12"/>
    <mergeCell ref="E11:E12"/>
    <mergeCell ref="F11:G11"/>
    <mergeCell ref="H11:I11"/>
    <mergeCell ref="L11:L12"/>
    <mergeCell ref="M15:M16"/>
    <mergeCell ref="A15:A16"/>
    <mergeCell ref="B15:B16"/>
    <mergeCell ref="C15:C16"/>
    <mergeCell ref="D15:D16"/>
    <mergeCell ref="E15:F15"/>
    <mergeCell ref="G15:G16"/>
    <mergeCell ref="H15:H16"/>
    <mergeCell ref="I15:I16"/>
    <mergeCell ref="J15:J16"/>
    <mergeCell ref="K15:K16"/>
    <mergeCell ref="L15:L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9"/>
  <sheetViews>
    <sheetView topLeftCell="B1" zoomScale="80" zoomScaleNormal="80" workbookViewId="0">
      <selection activeCell="P5" sqref="P5"/>
    </sheetView>
  </sheetViews>
  <sheetFormatPr defaultRowHeight="15"/>
  <cols>
    <col min="1" max="1" width="18.28515625" customWidth="1"/>
    <col min="2" max="3" width="20.28515625" customWidth="1"/>
    <col min="4" max="4" width="64.5703125" customWidth="1"/>
    <col min="5" max="5" width="10.42578125" customWidth="1"/>
    <col min="7" max="7" width="14.28515625" customWidth="1"/>
    <col min="9" max="9" width="12.140625" customWidth="1"/>
    <col min="10" max="10" width="18.28515625" customWidth="1"/>
    <col min="11" max="11" width="18.28515625" style="16" customWidth="1"/>
    <col min="13" max="13" width="16" customWidth="1"/>
    <col min="15" max="17" width="12.28515625" customWidth="1"/>
    <col min="18" max="18" width="11.42578125" bestFit="1" customWidth="1"/>
    <col min="19" max="19" width="10.28515625" bestFit="1" customWidth="1"/>
    <col min="20" max="20" width="11.42578125" bestFit="1" customWidth="1"/>
    <col min="22" max="22" width="11.140625" customWidth="1"/>
  </cols>
  <sheetData>
    <row r="1" spans="1:22" ht="45">
      <c r="A1" s="1" t="s">
        <v>4</v>
      </c>
      <c r="B1" s="1" t="s">
        <v>19</v>
      </c>
      <c r="C1" s="1" t="s">
        <v>24</v>
      </c>
      <c r="D1" s="1" t="s">
        <v>0</v>
      </c>
      <c r="E1" s="1" t="s">
        <v>8</v>
      </c>
      <c r="F1" s="1" t="s">
        <v>1</v>
      </c>
      <c r="G1" s="4" t="s">
        <v>9</v>
      </c>
      <c r="H1" s="7" t="s">
        <v>10</v>
      </c>
      <c r="I1" s="2" t="s">
        <v>11</v>
      </c>
      <c r="J1" s="1" t="s">
        <v>7</v>
      </c>
      <c r="K1" s="15" t="s">
        <v>44</v>
      </c>
      <c r="M1" s="2" t="s">
        <v>38</v>
      </c>
      <c r="N1" s="2" t="s">
        <v>26</v>
      </c>
      <c r="O1" s="2" t="s">
        <v>25</v>
      </c>
      <c r="P1" s="2" t="s">
        <v>59</v>
      </c>
      <c r="Q1" s="2" t="s">
        <v>62</v>
      </c>
      <c r="R1" s="2" t="s">
        <v>60</v>
      </c>
      <c r="S1" s="2" t="s">
        <v>27</v>
      </c>
      <c r="T1" s="2" t="s">
        <v>28</v>
      </c>
    </row>
    <row r="2" spans="1:22">
      <c r="A2" s="71" t="s">
        <v>5</v>
      </c>
      <c r="B2" s="71">
        <f>G2+G4</f>
        <v>1504621.0555555555</v>
      </c>
      <c r="C2" s="71">
        <v>1</v>
      </c>
      <c r="D2" s="64" t="s">
        <v>6</v>
      </c>
      <c r="E2" s="69">
        <v>0.11</v>
      </c>
      <c r="F2" s="3" t="s">
        <v>2</v>
      </c>
      <c r="G2" s="5">
        <v>1000000</v>
      </c>
      <c r="H2" s="9"/>
      <c r="I2" s="8">
        <f>H2*100/G2</f>
        <v>0</v>
      </c>
      <c r="J2" s="64" t="s">
        <v>12</v>
      </c>
      <c r="K2" s="108"/>
      <c r="M2" s="11" t="s">
        <v>39</v>
      </c>
      <c r="N2" s="11" t="s">
        <v>2</v>
      </c>
      <c r="O2" s="12">
        <f>G6+G12</f>
        <v>8000</v>
      </c>
      <c r="P2" s="12">
        <f>G6+G8+G10+G12+G14+G16+G18+G20+G22+G24</f>
        <v>65000</v>
      </c>
      <c r="Q2" s="12">
        <f>((G10+G16+G18+G20+G24)*1.05)+((((G10+G16+G18+G20+G24)*1.05)*2)/100)</f>
        <v>26775</v>
      </c>
      <c r="R2" s="12">
        <f>G8+G14+G22</f>
        <v>32000</v>
      </c>
      <c r="S2" s="12">
        <f>G10*2+G16+G18*2+G20+G24*2</f>
        <v>40000</v>
      </c>
      <c r="T2" s="12">
        <f>Q2</f>
        <v>26775</v>
      </c>
    </row>
    <row r="3" spans="1:22">
      <c r="A3" s="72"/>
      <c r="B3" s="72"/>
      <c r="C3" s="72"/>
      <c r="D3" s="65"/>
      <c r="E3" s="70"/>
      <c r="F3" s="3" t="s">
        <v>3</v>
      </c>
      <c r="G3" s="6">
        <f>G2*E2</f>
        <v>110000</v>
      </c>
      <c r="H3" s="10"/>
      <c r="I3" s="8">
        <f>H3*100/G3</f>
        <v>0</v>
      </c>
      <c r="J3" s="65"/>
      <c r="K3" s="109"/>
      <c r="M3" s="11" t="s">
        <v>40</v>
      </c>
      <c r="N3" s="11" t="s">
        <v>2</v>
      </c>
      <c r="O3" s="12">
        <f>G26+G28</f>
        <v>45000</v>
      </c>
      <c r="P3" s="12"/>
      <c r="Q3" s="12"/>
      <c r="R3" s="12"/>
      <c r="S3" s="11">
        <v>0</v>
      </c>
      <c r="T3" s="12"/>
    </row>
    <row r="4" spans="1:22" ht="45">
      <c r="A4" s="72"/>
      <c r="B4" s="72"/>
      <c r="C4" s="71">
        <v>2</v>
      </c>
      <c r="D4" s="64" t="s">
        <v>13</v>
      </c>
      <c r="E4" s="69">
        <f>0.56*1.08*2*0.063+0.003</f>
        <v>7.920480000000002E-2</v>
      </c>
      <c r="F4" s="3" t="s">
        <v>2</v>
      </c>
      <c r="G4" s="5">
        <f>(27*1100*2*30-(((G2+(G2*2/100))*1.03)+T4)-(((27*1100*2*30-(((G2+(G2*2/100))*1.03)+T4))*2)/100))/1.08</f>
        <v>504621.0555555555</v>
      </c>
      <c r="H4" s="9"/>
      <c r="I4" s="8">
        <f>H4*100/G4</f>
        <v>0</v>
      </c>
      <c r="J4" s="64" t="s">
        <v>14</v>
      </c>
      <c r="K4" s="108"/>
      <c r="M4" s="14" t="s">
        <v>43</v>
      </c>
      <c r="N4" s="11" t="s">
        <v>42</v>
      </c>
      <c r="O4" s="11"/>
      <c r="P4" s="11"/>
      <c r="Q4" s="11"/>
      <c r="R4" s="12">
        <f>(3.8+(3.8*2/100))*R2+(3+(3*2/100))*R3</f>
        <v>124032</v>
      </c>
      <c r="S4" s="12">
        <f>(0.6+(0.6*2/100))*S2</f>
        <v>24480</v>
      </c>
      <c r="T4" s="12">
        <f>R4+S4+T2</f>
        <v>175287</v>
      </c>
    </row>
    <row r="5" spans="1:22">
      <c r="A5" s="73"/>
      <c r="B5" s="73"/>
      <c r="C5" s="72"/>
      <c r="D5" s="65"/>
      <c r="E5" s="70"/>
      <c r="F5" s="3" t="s">
        <v>3</v>
      </c>
      <c r="G5" s="6">
        <f>G4*E4</f>
        <v>39968.409781066672</v>
      </c>
      <c r="H5" s="10"/>
      <c r="I5" s="8">
        <f>H5*100/G5</f>
        <v>0</v>
      </c>
      <c r="J5" s="65"/>
      <c r="K5" s="109"/>
      <c r="M5" s="11" t="s">
        <v>41</v>
      </c>
      <c r="N5" s="11" t="s">
        <v>42</v>
      </c>
      <c r="O5" s="11"/>
      <c r="P5" s="12">
        <f>(1.05+(1.05*2/100))*P2</f>
        <v>69615</v>
      </c>
      <c r="Q5" s="12"/>
      <c r="R5" s="11"/>
      <c r="S5" s="12"/>
      <c r="T5" s="12">
        <f>P5</f>
        <v>69615</v>
      </c>
    </row>
    <row r="6" spans="1:22">
      <c r="A6" s="78" t="s">
        <v>15</v>
      </c>
      <c r="B6" s="80">
        <f>G6+G8+G10+G12+G14+G16+G18+G20+G22+G24</f>
        <v>65000</v>
      </c>
      <c r="C6" s="68">
        <v>3</v>
      </c>
      <c r="D6" s="64" t="s">
        <v>16</v>
      </c>
      <c r="E6" s="69">
        <v>1.272</v>
      </c>
      <c r="F6" s="3" t="s">
        <v>2</v>
      </c>
      <c r="G6" s="5">
        <v>5000</v>
      </c>
      <c r="H6" s="9"/>
      <c r="I6" s="8">
        <f t="shared" ref="I6:I29" si="0">H6*100/G6</f>
        <v>0</v>
      </c>
      <c r="J6" s="64" t="s">
        <v>32</v>
      </c>
      <c r="K6" s="104" t="s">
        <v>45</v>
      </c>
    </row>
    <row r="7" spans="1:22">
      <c r="A7" s="78"/>
      <c r="B7" s="80"/>
      <c r="C7" s="68"/>
      <c r="D7" s="65"/>
      <c r="E7" s="70"/>
      <c r="F7" s="3" t="s">
        <v>3</v>
      </c>
      <c r="G7" s="6">
        <f>G6*E6</f>
        <v>6360</v>
      </c>
      <c r="H7" s="10"/>
      <c r="I7" s="8">
        <f t="shared" si="0"/>
        <v>0</v>
      </c>
      <c r="J7" s="65"/>
      <c r="K7" s="105"/>
      <c r="R7" s="11">
        <v>1.9</v>
      </c>
      <c r="S7" s="11">
        <v>1.38</v>
      </c>
      <c r="T7" s="11">
        <v>1.58</v>
      </c>
      <c r="U7" s="11">
        <v>1.88</v>
      </c>
      <c r="V7" s="11" t="s">
        <v>61</v>
      </c>
    </row>
    <row r="8" spans="1:22" ht="25.5" customHeight="1">
      <c r="A8" s="78"/>
      <c r="B8" s="80"/>
      <c r="C8" s="68">
        <v>4</v>
      </c>
      <c r="D8" s="64" t="s">
        <v>17</v>
      </c>
      <c r="E8" s="69">
        <v>1.51</v>
      </c>
      <c r="F8" s="3" t="s">
        <v>2</v>
      </c>
      <c r="G8" s="5">
        <v>20000</v>
      </c>
      <c r="H8" s="9"/>
      <c r="I8" s="8">
        <f t="shared" si="0"/>
        <v>0</v>
      </c>
      <c r="J8" s="64" t="s">
        <v>32</v>
      </c>
      <c r="K8" s="104" t="s">
        <v>46</v>
      </c>
      <c r="M8" s="13"/>
      <c r="R8" s="11">
        <v>140</v>
      </c>
      <c r="S8" s="11">
        <f>(G6+G8+G10+G20)*S7</f>
        <v>48299.999999999993</v>
      </c>
      <c r="T8" s="11">
        <f>(G12+G14+G16)*T7</f>
        <v>23700</v>
      </c>
      <c r="U8" s="11">
        <f>(G18)*U7</f>
        <v>9400</v>
      </c>
      <c r="V8" s="11">
        <f>((S8+T8+U8)+(((S8+T8+U8)*2)/100))</f>
        <v>83028</v>
      </c>
    </row>
    <row r="9" spans="1:22">
      <c r="A9" s="78"/>
      <c r="B9" s="80"/>
      <c r="C9" s="68"/>
      <c r="D9" s="65"/>
      <c r="E9" s="70"/>
      <c r="F9" s="3" t="s">
        <v>3</v>
      </c>
      <c r="G9" s="6">
        <f>G8*E8</f>
        <v>30200</v>
      </c>
      <c r="H9" s="10"/>
      <c r="I9" s="8">
        <f t="shared" si="0"/>
        <v>0</v>
      </c>
      <c r="J9" s="65"/>
      <c r="K9" s="105"/>
      <c r="R9" s="11">
        <v>160</v>
      </c>
      <c r="S9" s="11">
        <f>(G22+G24)*S7</f>
        <v>13799.999999999998</v>
      </c>
      <c r="T9" s="11"/>
      <c r="U9" s="11"/>
      <c r="V9" s="11">
        <f t="shared" ref="V9:V12" si="1">((S9+T9+U9)+(((S9+T9+U9)*2)/100))</f>
        <v>14075.999999999998</v>
      </c>
    </row>
    <row r="10" spans="1:22">
      <c r="A10" s="78"/>
      <c r="B10" s="80"/>
      <c r="C10" s="68">
        <v>5</v>
      </c>
      <c r="D10" s="64" t="s">
        <v>18</v>
      </c>
      <c r="E10" s="69">
        <v>1.605</v>
      </c>
      <c r="F10" s="3" t="s">
        <v>2</v>
      </c>
      <c r="G10" s="5">
        <v>5000</v>
      </c>
      <c r="H10" s="9"/>
      <c r="I10" s="8">
        <f t="shared" si="0"/>
        <v>0</v>
      </c>
      <c r="J10" s="64" t="s">
        <v>32</v>
      </c>
      <c r="K10" s="104" t="s">
        <v>47</v>
      </c>
      <c r="M10" s="22" t="s">
        <v>53</v>
      </c>
      <c r="R10" s="11">
        <v>1.5</v>
      </c>
      <c r="S10" s="11">
        <v>2.2400000000000002</v>
      </c>
      <c r="T10" s="11"/>
      <c r="U10" s="11"/>
      <c r="V10" s="11"/>
    </row>
    <row r="11" spans="1:22">
      <c r="A11" s="78"/>
      <c r="B11" s="80"/>
      <c r="C11" s="68"/>
      <c r="D11" s="65"/>
      <c r="E11" s="70"/>
      <c r="F11" s="3" t="s">
        <v>3</v>
      </c>
      <c r="G11" s="6">
        <f>G10*E10</f>
        <v>8025</v>
      </c>
      <c r="H11" s="10"/>
      <c r="I11" s="8">
        <f t="shared" si="0"/>
        <v>0</v>
      </c>
      <c r="J11" s="65"/>
      <c r="K11" s="105"/>
      <c r="R11" s="11">
        <v>120</v>
      </c>
      <c r="S11" s="12">
        <f>G26*S10</f>
        <v>89600.000000000015</v>
      </c>
      <c r="T11" s="11"/>
      <c r="U11" s="11"/>
      <c r="V11" s="11">
        <f t="shared" si="1"/>
        <v>91392.000000000015</v>
      </c>
    </row>
    <row r="12" spans="1:22" ht="15" customHeight="1">
      <c r="A12" s="78"/>
      <c r="B12" s="80"/>
      <c r="C12" s="68">
        <v>6</v>
      </c>
      <c r="D12" s="64" t="s">
        <v>23</v>
      </c>
      <c r="E12" s="69">
        <v>1.401</v>
      </c>
      <c r="F12" s="3" t="s">
        <v>2</v>
      </c>
      <c r="G12" s="5">
        <v>3000</v>
      </c>
      <c r="H12" s="9"/>
      <c r="I12" s="8">
        <f t="shared" si="0"/>
        <v>0</v>
      </c>
      <c r="J12" s="64" t="s">
        <v>31</v>
      </c>
      <c r="K12" s="104" t="s">
        <v>48</v>
      </c>
      <c r="R12" s="11">
        <v>140</v>
      </c>
      <c r="S12" s="12">
        <f>G28*S10</f>
        <v>11200.000000000002</v>
      </c>
      <c r="T12" s="11"/>
      <c r="U12" s="11"/>
      <c r="V12" s="11">
        <f t="shared" si="1"/>
        <v>11424.000000000002</v>
      </c>
    </row>
    <row r="13" spans="1:22">
      <c r="A13" s="78"/>
      <c r="B13" s="80"/>
      <c r="C13" s="68"/>
      <c r="D13" s="65"/>
      <c r="E13" s="70"/>
      <c r="F13" s="3" t="s">
        <v>3</v>
      </c>
      <c r="G13" s="6">
        <f>G12*E12</f>
        <v>4203</v>
      </c>
      <c r="H13" s="10"/>
      <c r="I13" s="8">
        <f t="shared" si="0"/>
        <v>0</v>
      </c>
      <c r="J13" s="65"/>
      <c r="K13" s="105"/>
      <c r="R13" s="11"/>
      <c r="S13" s="11"/>
      <c r="T13" s="11"/>
      <c r="U13" s="11" t="s">
        <v>28</v>
      </c>
      <c r="V13" s="11">
        <f>SUM(V8:V12)</f>
        <v>199920</v>
      </c>
    </row>
    <row r="14" spans="1:22" s="21" customFormat="1">
      <c r="A14" s="78"/>
      <c r="B14" s="80"/>
      <c r="C14" s="79">
        <v>7</v>
      </c>
      <c r="D14" s="74" t="s">
        <v>22</v>
      </c>
      <c r="E14" s="76">
        <v>1.64</v>
      </c>
      <c r="F14" s="17" t="s">
        <v>2</v>
      </c>
      <c r="G14" s="18">
        <v>7000</v>
      </c>
      <c r="H14" s="19"/>
      <c r="I14" s="20">
        <f t="shared" si="0"/>
        <v>0</v>
      </c>
      <c r="J14" s="74" t="s">
        <v>31</v>
      </c>
      <c r="K14" s="106" t="s">
        <v>49</v>
      </c>
      <c r="V14" s="25">
        <f>V13+T5</f>
        <v>269535</v>
      </c>
    </row>
    <row r="15" spans="1:22" s="21" customFormat="1">
      <c r="A15" s="78"/>
      <c r="B15" s="80"/>
      <c r="C15" s="79"/>
      <c r="D15" s="75"/>
      <c r="E15" s="77"/>
      <c r="F15" s="17" t="s">
        <v>3</v>
      </c>
      <c r="G15" s="23">
        <f>G14*E14</f>
        <v>11480</v>
      </c>
      <c r="H15" s="24"/>
      <c r="I15" s="20">
        <f t="shared" si="0"/>
        <v>0</v>
      </c>
      <c r="J15" s="75"/>
      <c r="K15" s="107"/>
      <c r="M15" s="22" t="s">
        <v>52</v>
      </c>
    </row>
    <row r="16" spans="1:22" s="21" customFormat="1">
      <c r="A16" s="78"/>
      <c r="B16" s="80"/>
      <c r="C16" s="79">
        <v>8</v>
      </c>
      <c r="D16" s="74" t="s">
        <v>58</v>
      </c>
      <c r="E16" s="76">
        <v>1.661</v>
      </c>
      <c r="F16" s="17" t="s">
        <v>2</v>
      </c>
      <c r="G16" s="18">
        <v>5000</v>
      </c>
      <c r="H16" s="19"/>
      <c r="I16" s="20">
        <f t="shared" si="0"/>
        <v>0</v>
      </c>
      <c r="J16" s="74" t="s">
        <v>30</v>
      </c>
      <c r="K16" s="106" t="s">
        <v>50</v>
      </c>
      <c r="V16" s="21">
        <f>8*500*2*30</f>
        <v>240000</v>
      </c>
    </row>
    <row r="17" spans="1:22" s="21" customFormat="1">
      <c r="A17" s="78"/>
      <c r="B17" s="80"/>
      <c r="C17" s="79"/>
      <c r="D17" s="75"/>
      <c r="E17" s="77"/>
      <c r="F17" s="17" t="s">
        <v>3</v>
      </c>
      <c r="G17" s="23">
        <f>G16*E16</f>
        <v>8305</v>
      </c>
      <c r="H17" s="24"/>
      <c r="I17" s="20">
        <f t="shared" si="0"/>
        <v>0</v>
      </c>
      <c r="J17" s="75"/>
      <c r="K17" s="107"/>
      <c r="V17" s="21">
        <f>2*500*2*30</f>
        <v>60000</v>
      </c>
    </row>
    <row r="18" spans="1:22" s="21" customFormat="1">
      <c r="A18" s="78"/>
      <c r="B18" s="80"/>
      <c r="C18" s="79">
        <v>9</v>
      </c>
      <c r="D18" s="74" t="s">
        <v>57</v>
      </c>
      <c r="E18" s="76">
        <v>1.9410000000000001</v>
      </c>
      <c r="F18" s="17" t="s">
        <v>2</v>
      </c>
      <c r="G18" s="18">
        <v>5000</v>
      </c>
      <c r="H18" s="19"/>
      <c r="I18" s="20">
        <f t="shared" si="0"/>
        <v>0</v>
      </c>
      <c r="J18" s="74" t="s">
        <v>30</v>
      </c>
      <c r="K18" s="106" t="s">
        <v>50</v>
      </c>
      <c r="M18" s="22" t="s">
        <v>51</v>
      </c>
    </row>
    <row r="19" spans="1:22" s="21" customFormat="1">
      <c r="A19" s="78"/>
      <c r="B19" s="80"/>
      <c r="C19" s="79"/>
      <c r="D19" s="75"/>
      <c r="E19" s="77"/>
      <c r="F19" s="17" t="s">
        <v>3</v>
      </c>
      <c r="G19" s="23">
        <f>G18*E18</f>
        <v>9705</v>
      </c>
      <c r="H19" s="24"/>
      <c r="I19" s="20">
        <f t="shared" si="0"/>
        <v>0</v>
      </c>
      <c r="J19" s="75"/>
      <c r="K19" s="107"/>
    </row>
    <row r="20" spans="1:22">
      <c r="A20" s="78"/>
      <c r="B20" s="80"/>
      <c r="C20" s="68">
        <v>10</v>
      </c>
      <c r="D20" s="74" t="s">
        <v>63</v>
      </c>
      <c r="E20" s="76">
        <v>1.532</v>
      </c>
      <c r="F20" s="3" t="s">
        <v>2</v>
      </c>
      <c r="G20" s="5">
        <v>5000</v>
      </c>
      <c r="H20" s="9"/>
      <c r="I20" s="8">
        <f t="shared" si="0"/>
        <v>0</v>
      </c>
      <c r="J20" s="64" t="s">
        <v>29</v>
      </c>
      <c r="K20" s="104" t="s">
        <v>50</v>
      </c>
      <c r="N20">
        <f>1000000+(1000000*2/100)</f>
        <v>1020000</v>
      </c>
    </row>
    <row r="21" spans="1:22">
      <c r="A21" s="78"/>
      <c r="B21" s="80"/>
      <c r="C21" s="68"/>
      <c r="D21" s="75"/>
      <c r="E21" s="77"/>
      <c r="F21" s="3" t="s">
        <v>3</v>
      </c>
      <c r="G21" s="6">
        <f>G20*E20</f>
        <v>7660</v>
      </c>
      <c r="H21" s="10"/>
      <c r="I21" s="8">
        <f t="shared" si="0"/>
        <v>0</v>
      </c>
      <c r="J21" s="65"/>
      <c r="K21" s="105"/>
      <c r="P21">
        <f>(G2+(G2*2/100))*1.03</f>
        <v>1050600</v>
      </c>
      <c r="Q21">
        <f>1236187</f>
        <v>1236187</v>
      </c>
    </row>
    <row r="22" spans="1:22">
      <c r="A22" s="78"/>
      <c r="B22" s="80"/>
      <c r="C22" s="68">
        <v>11</v>
      </c>
      <c r="D22" s="64" t="s">
        <v>20</v>
      </c>
      <c r="E22" s="69">
        <v>1.615</v>
      </c>
      <c r="F22" s="3" t="s">
        <v>2</v>
      </c>
      <c r="G22" s="5">
        <v>5000</v>
      </c>
      <c r="H22" s="9"/>
      <c r="I22" s="8">
        <f t="shared" si="0"/>
        <v>0</v>
      </c>
      <c r="J22" s="64" t="s">
        <v>29</v>
      </c>
      <c r="K22" s="104" t="s">
        <v>54</v>
      </c>
      <c r="P22">
        <f>1000000*1.03</f>
        <v>1030000</v>
      </c>
      <c r="Q22">
        <f>27*1100*2*30</f>
        <v>1782000</v>
      </c>
    </row>
    <row r="23" spans="1:22">
      <c r="A23" s="78"/>
      <c r="B23" s="80"/>
      <c r="C23" s="68"/>
      <c r="D23" s="65"/>
      <c r="E23" s="70"/>
      <c r="F23" s="3" t="s">
        <v>3</v>
      </c>
      <c r="G23" s="6">
        <f>G22*E22</f>
        <v>8075</v>
      </c>
      <c r="H23" s="10"/>
      <c r="I23" s="8">
        <f t="shared" si="0"/>
        <v>0</v>
      </c>
      <c r="J23" s="65"/>
      <c r="K23" s="105"/>
      <c r="P23">
        <f>1030000+(1030000*3/100)</f>
        <v>1060900</v>
      </c>
      <c r="Q23">
        <f>Q22-Q21</f>
        <v>545813</v>
      </c>
    </row>
    <row r="24" spans="1:22">
      <c r="A24" s="78"/>
      <c r="B24" s="80"/>
      <c r="C24" s="68">
        <v>12</v>
      </c>
      <c r="D24" s="64" t="s">
        <v>21</v>
      </c>
      <c r="E24" s="69">
        <v>1.71</v>
      </c>
      <c r="F24" s="3" t="s">
        <v>2</v>
      </c>
      <c r="G24" s="5">
        <v>5000</v>
      </c>
      <c r="H24" s="9"/>
      <c r="I24" s="8">
        <f t="shared" si="0"/>
        <v>0</v>
      </c>
      <c r="J24" s="64" t="s">
        <v>29</v>
      </c>
      <c r="K24" s="104" t="s">
        <v>54</v>
      </c>
      <c r="Q24">
        <f>Q23/1.08</f>
        <v>505382.40740740736</v>
      </c>
    </row>
    <row r="25" spans="1:22">
      <c r="A25" s="78"/>
      <c r="B25" s="80"/>
      <c r="C25" s="68"/>
      <c r="D25" s="65"/>
      <c r="E25" s="70"/>
      <c r="F25" s="3" t="s">
        <v>3</v>
      </c>
      <c r="G25" s="6">
        <f>G24*E24</f>
        <v>8550</v>
      </c>
      <c r="H25" s="10"/>
      <c r="I25" s="8">
        <f t="shared" si="0"/>
        <v>0</v>
      </c>
      <c r="J25" s="65"/>
      <c r="K25" s="105"/>
    </row>
    <row r="26" spans="1:22" ht="15" customHeight="1">
      <c r="A26" s="67" t="s">
        <v>37</v>
      </c>
      <c r="B26" s="66">
        <f>G26+G28</f>
        <v>45000</v>
      </c>
      <c r="C26" s="68">
        <v>13</v>
      </c>
      <c r="D26" s="64" t="s">
        <v>35</v>
      </c>
      <c r="E26" s="69">
        <f>0.776</f>
        <v>0.77600000000000002</v>
      </c>
      <c r="F26" s="3" t="s">
        <v>2</v>
      </c>
      <c r="G26" s="5">
        <v>40000</v>
      </c>
      <c r="H26" s="9"/>
      <c r="I26" s="8">
        <f t="shared" si="0"/>
        <v>0</v>
      </c>
      <c r="J26" s="64" t="s">
        <v>33</v>
      </c>
      <c r="K26" s="104" t="s">
        <v>55</v>
      </c>
    </row>
    <row r="27" spans="1:22">
      <c r="A27" s="67"/>
      <c r="B27" s="67"/>
      <c r="C27" s="68"/>
      <c r="D27" s="65"/>
      <c r="E27" s="70"/>
      <c r="F27" s="3" t="s">
        <v>3</v>
      </c>
      <c r="G27" s="6">
        <f>G26*E26</f>
        <v>31040</v>
      </c>
      <c r="H27" s="10"/>
      <c r="I27" s="8">
        <f t="shared" si="0"/>
        <v>0</v>
      </c>
      <c r="J27" s="65"/>
      <c r="K27" s="105"/>
    </row>
    <row r="28" spans="1:22">
      <c r="A28" s="67"/>
      <c r="B28" s="67"/>
      <c r="C28" s="68">
        <v>14</v>
      </c>
      <c r="D28" s="64" t="s">
        <v>36</v>
      </c>
      <c r="E28" s="69">
        <v>0.89900000000000002</v>
      </c>
      <c r="F28" s="3" t="s">
        <v>2</v>
      </c>
      <c r="G28" s="5">
        <v>5000</v>
      </c>
      <c r="H28" s="9"/>
      <c r="I28" s="8">
        <f t="shared" si="0"/>
        <v>0</v>
      </c>
      <c r="J28" s="64" t="s">
        <v>34</v>
      </c>
      <c r="K28" s="104" t="s">
        <v>56</v>
      </c>
    </row>
    <row r="29" spans="1:22">
      <c r="A29" s="67"/>
      <c r="B29" s="67"/>
      <c r="C29" s="68"/>
      <c r="D29" s="65"/>
      <c r="E29" s="70"/>
      <c r="F29" s="3" t="s">
        <v>3</v>
      </c>
      <c r="G29" s="6">
        <f>G28*E28</f>
        <v>4495</v>
      </c>
      <c r="H29" s="10"/>
      <c r="I29" s="8">
        <f t="shared" si="0"/>
        <v>0</v>
      </c>
      <c r="J29" s="65"/>
      <c r="K29" s="105"/>
    </row>
  </sheetData>
  <mergeCells count="76">
    <mergeCell ref="A2:A5"/>
    <mergeCell ref="B2:B5"/>
    <mergeCell ref="C2:C3"/>
    <mergeCell ref="D2:D3"/>
    <mergeCell ref="E2:E3"/>
    <mergeCell ref="K2:K3"/>
    <mergeCell ref="C4:C5"/>
    <mergeCell ref="D4:D5"/>
    <mergeCell ref="E4:E5"/>
    <mergeCell ref="J4:J5"/>
    <mergeCell ref="K4:K5"/>
    <mergeCell ref="J2:J3"/>
    <mergeCell ref="A6:A25"/>
    <mergeCell ref="B6:B25"/>
    <mergeCell ref="C6:C7"/>
    <mergeCell ref="D6:D7"/>
    <mergeCell ref="E6:E7"/>
    <mergeCell ref="C10:C11"/>
    <mergeCell ref="D10:D11"/>
    <mergeCell ref="E10:E11"/>
    <mergeCell ref="K6:K7"/>
    <mergeCell ref="C8:C9"/>
    <mergeCell ref="D8:D9"/>
    <mergeCell ref="E8:E9"/>
    <mergeCell ref="J8:J9"/>
    <mergeCell ref="K8:K9"/>
    <mergeCell ref="J6:J7"/>
    <mergeCell ref="K10:K11"/>
    <mergeCell ref="C12:C13"/>
    <mergeCell ref="D12:D13"/>
    <mergeCell ref="E12:E13"/>
    <mergeCell ref="J12:J13"/>
    <mergeCell ref="K12:K13"/>
    <mergeCell ref="J10:J11"/>
    <mergeCell ref="C16:C17"/>
    <mergeCell ref="D16:D17"/>
    <mergeCell ref="E16:E17"/>
    <mergeCell ref="J16:J17"/>
    <mergeCell ref="K16:K17"/>
    <mergeCell ref="C14:C15"/>
    <mergeCell ref="D14:D15"/>
    <mergeCell ref="E14:E15"/>
    <mergeCell ref="J14:J15"/>
    <mergeCell ref="K14:K15"/>
    <mergeCell ref="C20:C21"/>
    <mergeCell ref="D20:D21"/>
    <mergeCell ref="E20:E21"/>
    <mergeCell ref="J20:J21"/>
    <mergeCell ref="K20:K21"/>
    <mergeCell ref="C18:C19"/>
    <mergeCell ref="D18:D19"/>
    <mergeCell ref="E18:E19"/>
    <mergeCell ref="J18:J19"/>
    <mergeCell ref="K18:K19"/>
    <mergeCell ref="C24:C25"/>
    <mergeCell ref="D24:D25"/>
    <mergeCell ref="E24:E25"/>
    <mergeCell ref="J24:J25"/>
    <mergeCell ref="K24:K25"/>
    <mergeCell ref="C22:C23"/>
    <mergeCell ref="D22:D23"/>
    <mergeCell ref="E22:E23"/>
    <mergeCell ref="J22:J23"/>
    <mergeCell ref="K22:K23"/>
    <mergeCell ref="A26:A29"/>
    <mergeCell ref="B26:B29"/>
    <mergeCell ref="C26:C27"/>
    <mergeCell ref="D26:D27"/>
    <mergeCell ref="E26:E27"/>
    <mergeCell ref="K26:K27"/>
    <mergeCell ref="C28:C29"/>
    <mergeCell ref="D28:D29"/>
    <mergeCell ref="E28:E29"/>
    <mergeCell ref="J28:J29"/>
    <mergeCell ref="K28:K29"/>
    <mergeCell ref="J26:J2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744"/>
  <sheetViews>
    <sheetView topLeftCell="P1" workbookViewId="0">
      <selection activeCell="T5" sqref="T5"/>
    </sheetView>
  </sheetViews>
  <sheetFormatPr defaultColWidth="15.28515625" defaultRowHeight="12.75"/>
  <cols>
    <col min="1" max="1" width="5.85546875" style="58" customWidth="1"/>
    <col min="2" max="2" width="19.7109375" style="61" customWidth="1"/>
    <col min="3" max="3" width="20.28515625" style="61" customWidth="1"/>
    <col min="4" max="6" width="15.28515625" style="61"/>
    <col min="7" max="9" width="7.85546875" style="61" customWidth="1"/>
    <col min="10" max="10" width="9.140625" style="61" customWidth="1"/>
    <col min="11" max="11" width="10.28515625" style="61" customWidth="1"/>
    <col min="12" max="14" width="8.85546875" style="61" customWidth="1"/>
    <col min="15" max="16" width="12.140625" style="61" customWidth="1"/>
    <col min="17" max="24" width="9.85546875" style="61" customWidth="1"/>
    <col min="25" max="27" width="11.28515625" style="61" customWidth="1"/>
    <col min="28" max="16384" width="15.28515625" style="61"/>
  </cols>
  <sheetData>
    <row r="1" spans="1:31" s="58" customFormat="1">
      <c r="F1" s="110" t="s">
        <v>193</v>
      </c>
      <c r="G1" s="110"/>
      <c r="H1" s="110"/>
      <c r="I1" s="110"/>
      <c r="J1" s="110"/>
      <c r="K1" s="110"/>
      <c r="L1" s="110"/>
      <c r="M1" s="110"/>
    </row>
    <row r="2" spans="1:31" s="46" customFormat="1" ht="56.25" customHeight="1">
      <c r="A2" s="98" t="s">
        <v>102</v>
      </c>
      <c r="B2" s="98" t="s">
        <v>130</v>
      </c>
      <c r="C2" s="98" t="s">
        <v>194</v>
      </c>
      <c r="D2" s="98" t="s">
        <v>132</v>
      </c>
      <c r="E2" s="98" t="s">
        <v>195</v>
      </c>
      <c r="F2" s="98" t="s">
        <v>134</v>
      </c>
      <c r="G2" s="98" t="s">
        <v>196</v>
      </c>
      <c r="H2" s="98" t="s">
        <v>197</v>
      </c>
      <c r="I2" s="98" t="s">
        <v>198</v>
      </c>
      <c r="J2" s="98" t="s">
        <v>136</v>
      </c>
      <c r="K2" s="98" t="s">
        <v>137</v>
      </c>
      <c r="L2" s="100" t="s">
        <v>142</v>
      </c>
      <c r="M2" s="100"/>
      <c r="N2" s="100"/>
      <c r="O2" s="100" t="s">
        <v>143</v>
      </c>
      <c r="P2" s="100"/>
      <c r="Q2" s="100" t="s">
        <v>144</v>
      </c>
      <c r="R2" s="100"/>
      <c r="S2" s="101" t="s">
        <v>145</v>
      </c>
      <c r="T2" s="102"/>
      <c r="U2" s="98" t="s">
        <v>146</v>
      </c>
      <c r="V2" s="98" t="s">
        <v>158</v>
      </c>
      <c r="W2" s="100" t="s">
        <v>159</v>
      </c>
      <c r="X2" s="100"/>
      <c r="Y2" s="100" t="s">
        <v>160</v>
      </c>
      <c r="Z2" s="100"/>
      <c r="AA2" s="98" t="s">
        <v>199</v>
      </c>
      <c r="AB2" s="47" t="s">
        <v>161</v>
      </c>
      <c r="AC2" s="47" t="s">
        <v>162</v>
      </c>
      <c r="AD2" s="98" t="s">
        <v>163</v>
      </c>
      <c r="AE2" s="100" t="s">
        <v>200</v>
      </c>
    </row>
    <row r="3" spans="1:31" s="46" customFormat="1" ht="76.5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47" t="s">
        <v>201</v>
      </c>
      <c r="M3" s="47" t="s">
        <v>148</v>
      </c>
      <c r="N3" s="47" t="s">
        <v>202</v>
      </c>
      <c r="O3" s="47" t="s">
        <v>149</v>
      </c>
      <c r="P3" s="47" t="s">
        <v>150</v>
      </c>
      <c r="Q3" s="47" t="s">
        <v>151</v>
      </c>
      <c r="R3" s="47" t="s">
        <v>152</v>
      </c>
      <c r="S3" s="47" t="s">
        <v>153</v>
      </c>
      <c r="T3" s="47" t="s">
        <v>154</v>
      </c>
      <c r="U3" s="99"/>
      <c r="V3" s="99"/>
      <c r="W3" s="47" t="s">
        <v>164</v>
      </c>
      <c r="X3" s="47" t="s">
        <v>165</v>
      </c>
      <c r="Y3" s="47" t="s">
        <v>166</v>
      </c>
      <c r="Z3" s="47" t="s">
        <v>167</v>
      </c>
      <c r="AA3" s="99"/>
      <c r="AB3" s="47" t="s">
        <v>168</v>
      </c>
      <c r="AC3" s="47" t="s">
        <v>169</v>
      </c>
      <c r="AD3" s="99"/>
      <c r="AE3" s="100"/>
    </row>
    <row r="4" spans="1:31" s="50" customFormat="1" ht="25.5">
      <c r="A4" s="47">
        <v>1</v>
      </c>
      <c r="B4" s="59" t="s">
        <v>203</v>
      </c>
      <c r="C4" s="48" t="s">
        <v>204</v>
      </c>
      <c r="D4" s="48" t="s">
        <v>205</v>
      </c>
      <c r="E4" s="60">
        <v>500</v>
      </c>
      <c r="F4" s="48" t="s">
        <v>206</v>
      </c>
      <c r="G4" s="48">
        <v>190</v>
      </c>
      <c r="H4" s="48">
        <v>47.5</v>
      </c>
      <c r="I4" s="48" t="s">
        <v>207</v>
      </c>
      <c r="J4" s="48">
        <v>140</v>
      </c>
      <c r="K4" s="48" t="s">
        <v>141</v>
      </c>
      <c r="L4" s="48">
        <v>93</v>
      </c>
      <c r="M4" s="48">
        <v>5.5</v>
      </c>
      <c r="N4" s="48">
        <v>2</v>
      </c>
      <c r="O4" s="48" t="s">
        <v>208</v>
      </c>
      <c r="P4" s="48" t="s">
        <v>209</v>
      </c>
      <c r="Q4" s="48">
        <v>5.5</v>
      </c>
      <c r="R4" s="48" t="s">
        <v>210</v>
      </c>
      <c r="S4" s="54">
        <f>((V4*(1.7/9))*AD4)*0.001+(((V4*(1.7/9))*AD4)*0.001)*5*0.01</f>
        <v>5798.9295000000002</v>
      </c>
      <c r="T4" s="54">
        <f>((480*(1.55/9*2.1))*AD4)*0.001+(((480*(1.55/9*2.1))*AD4)*0.001)*5*0.01</f>
        <v>6344.7111000000014</v>
      </c>
      <c r="U4" s="54">
        <f t="shared" ref="U4" si="0">S4+T4</f>
        <v>12143.640600000002</v>
      </c>
      <c r="V4" s="48">
        <f>2100/2.5</f>
        <v>840</v>
      </c>
      <c r="W4" s="48">
        <v>40</v>
      </c>
      <c r="X4" s="48">
        <v>48</v>
      </c>
      <c r="Y4" s="55">
        <f>(1500*(40/2)*5.5*0.95)/1000</f>
        <v>156.75</v>
      </c>
      <c r="Z4" s="55">
        <f>(1300*(48/2)*5.5*0.93)/1000</f>
        <v>159.58799999999999</v>
      </c>
      <c r="AA4" s="55" t="s">
        <v>211</v>
      </c>
      <c r="AB4" s="48">
        <v>31800</v>
      </c>
      <c r="AC4" s="48">
        <f>AB4*0.14*2*1.9</f>
        <v>16917.599999999999</v>
      </c>
      <c r="AD4" s="48">
        <v>34807.5</v>
      </c>
      <c r="AE4" s="48">
        <f>AD4*AC4/AB4</f>
        <v>18517.59</v>
      </c>
    </row>
    <row r="6" spans="1:31">
      <c r="AB6" s="61">
        <f>31800/53</f>
        <v>600</v>
      </c>
    </row>
    <row r="7" spans="1:31">
      <c r="H7" s="61">
        <f>95+95</f>
        <v>190</v>
      </c>
    </row>
    <row r="8" spans="1:31">
      <c r="H8" s="61">
        <f>95/2</f>
        <v>47.5</v>
      </c>
    </row>
    <row r="744" spans="30:30">
      <c r="AD744" s="61" t="s">
        <v>212</v>
      </c>
    </row>
  </sheetData>
  <mergeCells count="23">
    <mergeCell ref="S2:T2"/>
    <mergeCell ref="F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N2"/>
    <mergeCell ref="O2:P2"/>
    <mergeCell ref="Q2:R2"/>
    <mergeCell ref="AE2:AE3"/>
    <mergeCell ref="U2:U3"/>
    <mergeCell ref="V2:V3"/>
    <mergeCell ref="W2:X2"/>
    <mergeCell ref="Y2:Z2"/>
    <mergeCell ref="AA2:AA3"/>
    <mergeCell ref="AD2:A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2"/>
  <sheetViews>
    <sheetView topLeftCell="A27" zoomScale="60" zoomScaleNormal="60" workbookViewId="0">
      <selection activeCell="M28" sqref="M28:T29"/>
    </sheetView>
  </sheetViews>
  <sheetFormatPr defaultRowHeight="15"/>
  <cols>
    <col min="1" max="1" width="18.28515625" customWidth="1"/>
    <col min="2" max="2" width="26" customWidth="1"/>
    <col min="3" max="3" width="20.28515625" customWidth="1"/>
    <col min="4" max="4" width="40.140625" customWidth="1"/>
    <col min="5" max="5" width="10.42578125" customWidth="1"/>
    <col min="7" max="7" width="14.28515625" customWidth="1"/>
    <col min="8" max="8" width="11.140625" customWidth="1"/>
    <col min="9" max="9" width="12.140625" customWidth="1"/>
    <col min="10" max="10" width="18.28515625" customWidth="1"/>
    <col min="11" max="11" width="22.140625" customWidth="1"/>
  </cols>
  <sheetData>
    <row r="1" spans="1:11" ht="30">
      <c r="A1" s="1" t="s">
        <v>4</v>
      </c>
      <c r="B1" s="1" t="s">
        <v>19</v>
      </c>
      <c r="C1" s="1" t="s">
        <v>24</v>
      </c>
      <c r="D1" s="1" t="s">
        <v>0</v>
      </c>
      <c r="E1" s="1" t="s">
        <v>8</v>
      </c>
      <c r="F1" s="1" t="s">
        <v>1</v>
      </c>
      <c r="G1" s="4" t="s">
        <v>9</v>
      </c>
      <c r="H1" s="7" t="s">
        <v>10</v>
      </c>
      <c r="I1" s="2" t="s">
        <v>11</v>
      </c>
      <c r="J1" s="1" t="s">
        <v>7</v>
      </c>
      <c r="K1" s="111"/>
    </row>
    <row r="2" spans="1:11" ht="15" customHeight="1">
      <c r="A2" s="78" t="s">
        <v>15</v>
      </c>
      <c r="B2" s="80">
        <f>G2+G4+G6+G8+G10+G12+G14+G16+G18+G20</f>
        <v>65000</v>
      </c>
      <c r="C2" s="68">
        <v>1</v>
      </c>
      <c r="D2" s="64" t="s">
        <v>16</v>
      </c>
      <c r="E2" s="69">
        <v>1.272</v>
      </c>
      <c r="F2" s="3" t="s">
        <v>2</v>
      </c>
      <c r="G2" s="5">
        <v>5000</v>
      </c>
      <c r="H2" s="9"/>
      <c r="I2" s="8">
        <f t="shared" ref="I2:I25" si="0">H2*100/G2</f>
        <v>0</v>
      </c>
      <c r="J2" s="64" t="s">
        <v>32</v>
      </c>
    </row>
    <row r="3" spans="1:11">
      <c r="A3" s="78"/>
      <c r="B3" s="80"/>
      <c r="C3" s="68"/>
      <c r="D3" s="65"/>
      <c r="E3" s="70"/>
      <c r="F3" s="3" t="s">
        <v>3</v>
      </c>
      <c r="G3" s="6">
        <f>G2*E2</f>
        <v>6360</v>
      </c>
      <c r="H3" s="10"/>
      <c r="I3" s="8">
        <f t="shared" si="0"/>
        <v>0</v>
      </c>
      <c r="J3" s="65"/>
    </row>
    <row r="4" spans="1:11" ht="25.5" customHeight="1">
      <c r="A4" s="78"/>
      <c r="B4" s="80"/>
      <c r="C4" s="68">
        <v>2</v>
      </c>
      <c r="D4" s="64" t="s">
        <v>17</v>
      </c>
      <c r="E4" s="69">
        <v>1.51</v>
      </c>
      <c r="F4" s="3" t="s">
        <v>2</v>
      </c>
      <c r="G4" s="5">
        <v>20000</v>
      </c>
      <c r="H4" s="9"/>
      <c r="I4" s="8">
        <f t="shared" si="0"/>
        <v>0</v>
      </c>
      <c r="J4" s="64" t="s">
        <v>32</v>
      </c>
    </row>
    <row r="5" spans="1:11">
      <c r="A5" s="78"/>
      <c r="B5" s="80"/>
      <c r="C5" s="68"/>
      <c r="D5" s="65"/>
      <c r="E5" s="70"/>
      <c r="F5" s="3" t="s">
        <v>3</v>
      </c>
      <c r="G5" s="6">
        <f>G4*E4</f>
        <v>30200</v>
      </c>
      <c r="H5" s="10"/>
      <c r="I5" s="8">
        <f t="shared" si="0"/>
        <v>0</v>
      </c>
      <c r="J5" s="65"/>
    </row>
    <row r="6" spans="1:11">
      <c r="A6" s="78"/>
      <c r="B6" s="80"/>
      <c r="C6" s="68">
        <v>3</v>
      </c>
      <c r="D6" s="64" t="s">
        <v>18</v>
      </c>
      <c r="E6" s="69">
        <v>1.605</v>
      </c>
      <c r="F6" s="3" t="s">
        <v>2</v>
      </c>
      <c r="G6" s="5">
        <v>5000</v>
      </c>
      <c r="H6" s="9"/>
      <c r="I6" s="8">
        <f t="shared" si="0"/>
        <v>0</v>
      </c>
      <c r="J6" s="64" t="s">
        <v>32</v>
      </c>
    </row>
    <row r="7" spans="1:11">
      <c r="A7" s="78"/>
      <c r="B7" s="80"/>
      <c r="C7" s="68"/>
      <c r="D7" s="65"/>
      <c r="E7" s="70"/>
      <c r="F7" s="3" t="s">
        <v>3</v>
      </c>
      <c r="G7" s="6">
        <f>G6*E6</f>
        <v>8025</v>
      </c>
      <c r="H7" s="10"/>
      <c r="I7" s="8">
        <f t="shared" si="0"/>
        <v>0</v>
      </c>
      <c r="J7" s="65"/>
    </row>
    <row r="8" spans="1:11" ht="15" customHeight="1">
      <c r="A8" s="78"/>
      <c r="B8" s="80"/>
      <c r="C8" s="68">
        <v>4</v>
      </c>
      <c r="D8" s="64" t="s">
        <v>23</v>
      </c>
      <c r="E8" s="69">
        <v>1.401</v>
      </c>
      <c r="F8" s="3" t="s">
        <v>2</v>
      </c>
      <c r="G8" s="5">
        <v>3000</v>
      </c>
      <c r="H8" s="9"/>
      <c r="I8" s="8">
        <f t="shared" si="0"/>
        <v>0</v>
      </c>
      <c r="J8" s="64" t="s">
        <v>31</v>
      </c>
    </row>
    <row r="9" spans="1:11">
      <c r="A9" s="78"/>
      <c r="B9" s="80"/>
      <c r="C9" s="68"/>
      <c r="D9" s="65"/>
      <c r="E9" s="70"/>
      <c r="F9" s="3" t="s">
        <v>3</v>
      </c>
      <c r="G9" s="6">
        <f>G8*E8</f>
        <v>4203</v>
      </c>
      <c r="H9" s="10"/>
      <c r="I9" s="8">
        <f t="shared" si="0"/>
        <v>0</v>
      </c>
      <c r="J9" s="65"/>
    </row>
    <row r="10" spans="1:11" s="21" customFormat="1">
      <c r="A10" s="78"/>
      <c r="B10" s="80"/>
      <c r="C10" s="79">
        <v>5</v>
      </c>
      <c r="D10" s="74" t="s">
        <v>22</v>
      </c>
      <c r="E10" s="76">
        <v>1.64</v>
      </c>
      <c r="F10" s="17" t="s">
        <v>2</v>
      </c>
      <c r="G10" s="18">
        <v>7000</v>
      </c>
      <c r="H10" s="19"/>
      <c r="I10" s="20">
        <f t="shared" si="0"/>
        <v>0</v>
      </c>
      <c r="J10" s="74" t="s">
        <v>31</v>
      </c>
    </row>
    <row r="11" spans="1:11" s="21" customFormat="1">
      <c r="A11" s="78"/>
      <c r="B11" s="80"/>
      <c r="C11" s="79"/>
      <c r="D11" s="75"/>
      <c r="E11" s="77"/>
      <c r="F11" s="17" t="s">
        <v>3</v>
      </c>
      <c r="G11" s="23">
        <f>G10*E10</f>
        <v>11480</v>
      </c>
      <c r="H11" s="24"/>
      <c r="I11" s="20">
        <f t="shared" si="0"/>
        <v>0</v>
      </c>
      <c r="J11" s="75"/>
    </row>
    <row r="12" spans="1:11" s="21" customFormat="1">
      <c r="A12" s="78"/>
      <c r="B12" s="80"/>
      <c r="C12" s="79">
        <v>6</v>
      </c>
      <c r="D12" s="74" t="s">
        <v>58</v>
      </c>
      <c r="E12" s="76">
        <v>1.661</v>
      </c>
      <c r="F12" s="17" t="s">
        <v>2</v>
      </c>
      <c r="G12" s="18">
        <v>5000</v>
      </c>
      <c r="H12" s="19"/>
      <c r="I12" s="20">
        <f t="shared" si="0"/>
        <v>0</v>
      </c>
      <c r="J12" s="74" t="s">
        <v>31</v>
      </c>
    </row>
    <row r="13" spans="1:11" s="21" customFormat="1">
      <c r="A13" s="78"/>
      <c r="B13" s="80"/>
      <c r="C13" s="79"/>
      <c r="D13" s="75"/>
      <c r="E13" s="77"/>
      <c r="F13" s="17" t="s">
        <v>3</v>
      </c>
      <c r="G13" s="23">
        <f>G12*E12</f>
        <v>8305</v>
      </c>
      <c r="H13" s="24"/>
      <c r="I13" s="20">
        <f t="shared" si="0"/>
        <v>0</v>
      </c>
      <c r="J13" s="75"/>
    </row>
    <row r="14" spans="1:11" s="21" customFormat="1">
      <c r="A14" s="78"/>
      <c r="B14" s="80"/>
      <c r="C14" s="79">
        <v>7</v>
      </c>
      <c r="D14" s="74" t="s">
        <v>242</v>
      </c>
      <c r="E14" s="76">
        <v>1.9410000000000001</v>
      </c>
      <c r="F14" s="17" t="s">
        <v>2</v>
      </c>
      <c r="G14" s="18">
        <v>5000</v>
      </c>
      <c r="H14" s="19"/>
      <c r="I14" s="20">
        <f t="shared" si="0"/>
        <v>0</v>
      </c>
      <c r="J14" s="74" t="s">
        <v>30</v>
      </c>
    </row>
    <row r="15" spans="1:11" s="21" customFormat="1">
      <c r="A15" s="78"/>
      <c r="B15" s="80"/>
      <c r="C15" s="79"/>
      <c r="D15" s="75"/>
      <c r="E15" s="77"/>
      <c r="F15" s="17" t="s">
        <v>3</v>
      </c>
      <c r="G15" s="23">
        <f>G14*E14</f>
        <v>9705</v>
      </c>
      <c r="H15" s="24"/>
      <c r="I15" s="20">
        <f t="shared" si="0"/>
        <v>0</v>
      </c>
      <c r="J15" s="75"/>
    </row>
    <row r="16" spans="1:11">
      <c r="A16" s="78"/>
      <c r="B16" s="80"/>
      <c r="C16" s="68">
        <v>8</v>
      </c>
      <c r="D16" s="74" t="s">
        <v>63</v>
      </c>
      <c r="E16" s="76">
        <v>1.532</v>
      </c>
      <c r="F16" s="3" t="s">
        <v>2</v>
      </c>
      <c r="G16" s="5">
        <v>5000</v>
      </c>
      <c r="H16" s="9"/>
      <c r="I16" s="8">
        <f t="shared" si="0"/>
        <v>0</v>
      </c>
      <c r="J16" s="64" t="s">
        <v>32</v>
      </c>
    </row>
    <row r="17" spans="1:11">
      <c r="A17" s="78"/>
      <c r="B17" s="80"/>
      <c r="C17" s="68"/>
      <c r="D17" s="75"/>
      <c r="E17" s="77"/>
      <c r="F17" s="3" t="s">
        <v>3</v>
      </c>
      <c r="G17" s="6">
        <f>G16*E16</f>
        <v>7660</v>
      </c>
      <c r="H17" s="10"/>
      <c r="I17" s="8">
        <f t="shared" si="0"/>
        <v>0</v>
      </c>
      <c r="J17" s="65"/>
    </row>
    <row r="18" spans="1:11" ht="15" customHeight="1">
      <c r="A18" s="78"/>
      <c r="B18" s="80"/>
      <c r="C18" s="68">
        <v>9</v>
      </c>
      <c r="D18" s="64" t="s">
        <v>20</v>
      </c>
      <c r="E18" s="69">
        <v>1.615</v>
      </c>
      <c r="F18" s="3" t="s">
        <v>2</v>
      </c>
      <c r="G18" s="5">
        <v>5000</v>
      </c>
      <c r="H18" s="9"/>
      <c r="I18" s="8">
        <f t="shared" si="0"/>
        <v>0</v>
      </c>
      <c r="J18" s="64" t="s">
        <v>29</v>
      </c>
    </row>
    <row r="19" spans="1:11">
      <c r="A19" s="78"/>
      <c r="B19" s="80"/>
      <c r="C19" s="68"/>
      <c r="D19" s="65"/>
      <c r="E19" s="70"/>
      <c r="F19" s="3" t="s">
        <v>3</v>
      </c>
      <c r="G19" s="6">
        <f>G18*E18</f>
        <v>8075</v>
      </c>
      <c r="H19" s="10"/>
      <c r="I19" s="8">
        <f t="shared" si="0"/>
        <v>0</v>
      </c>
      <c r="J19" s="65"/>
    </row>
    <row r="20" spans="1:11" ht="15" customHeight="1">
      <c r="A20" s="78"/>
      <c r="B20" s="80"/>
      <c r="C20" s="68">
        <v>10</v>
      </c>
      <c r="D20" s="64" t="s">
        <v>21</v>
      </c>
      <c r="E20" s="69">
        <v>1.71</v>
      </c>
      <c r="F20" s="3" t="s">
        <v>2</v>
      </c>
      <c r="G20" s="5">
        <v>5000</v>
      </c>
      <c r="H20" s="9"/>
      <c r="I20" s="8">
        <f t="shared" si="0"/>
        <v>0</v>
      </c>
      <c r="J20" s="64" t="s">
        <v>29</v>
      </c>
    </row>
    <row r="21" spans="1:11">
      <c r="A21" s="78"/>
      <c r="B21" s="80"/>
      <c r="C21" s="68"/>
      <c r="D21" s="65"/>
      <c r="E21" s="70"/>
      <c r="F21" s="3" t="s">
        <v>3</v>
      </c>
      <c r="G21" s="6">
        <f>G20*E20</f>
        <v>8550</v>
      </c>
      <c r="H21" s="10"/>
      <c r="I21" s="8">
        <f t="shared" si="0"/>
        <v>0</v>
      </c>
      <c r="J21" s="65"/>
    </row>
    <row r="22" spans="1:11" ht="15" customHeight="1">
      <c r="A22" s="67" t="s">
        <v>37</v>
      </c>
      <c r="B22" s="66">
        <f>G22+G24</f>
        <v>45000</v>
      </c>
      <c r="C22" s="68">
        <v>11</v>
      </c>
      <c r="D22" s="64" t="s">
        <v>35</v>
      </c>
      <c r="E22" s="69">
        <f>0.776</f>
        <v>0.77600000000000002</v>
      </c>
      <c r="F22" s="3" t="s">
        <v>2</v>
      </c>
      <c r="G22" s="5">
        <v>40000</v>
      </c>
      <c r="H22" s="9"/>
      <c r="I22" s="8">
        <f t="shared" si="0"/>
        <v>0</v>
      </c>
      <c r="J22" s="64" t="s">
        <v>33</v>
      </c>
    </row>
    <row r="23" spans="1:11">
      <c r="A23" s="67"/>
      <c r="B23" s="67"/>
      <c r="C23" s="68"/>
      <c r="D23" s="65"/>
      <c r="E23" s="70"/>
      <c r="F23" s="3" t="s">
        <v>3</v>
      </c>
      <c r="G23" s="6">
        <f>G22*E22</f>
        <v>31040</v>
      </c>
      <c r="H23" s="10"/>
      <c r="I23" s="8">
        <f t="shared" si="0"/>
        <v>0</v>
      </c>
      <c r="J23" s="65"/>
    </row>
    <row r="24" spans="1:11">
      <c r="A24" s="67"/>
      <c r="B24" s="67"/>
      <c r="C24" s="68">
        <v>12</v>
      </c>
      <c r="D24" s="64" t="s">
        <v>36</v>
      </c>
      <c r="E24" s="69">
        <v>0.89900000000000002</v>
      </c>
      <c r="F24" s="3" t="s">
        <v>2</v>
      </c>
      <c r="G24" s="5">
        <v>5000</v>
      </c>
      <c r="H24" s="9"/>
      <c r="I24" s="8">
        <f t="shared" si="0"/>
        <v>0</v>
      </c>
      <c r="J24" s="64" t="s">
        <v>34</v>
      </c>
    </row>
    <row r="25" spans="1:11">
      <c r="A25" s="67"/>
      <c r="B25" s="67"/>
      <c r="C25" s="68"/>
      <c r="D25" s="65"/>
      <c r="E25" s="70"/>
      <c r="F25" s="3" t="s">
        <v>3</v>
      </c>
      <c r="G25" s="6">
        <f>G24*E24</f>
        <v>4495</v>
      </c>
      <c r="H25" s="10"/>
      <c r="I25" s="8">
        <f t="shared" si="0"/>
        <v>0</v>
      </c>
      <c r="J25" s="65"/>
    </row>
    <row r="28" spans="1:11" ht="45">
      <c r="A28" s="116" t="s">
        <v>24</v>
      </c>
      <c r="B28" s="116" t="str">
        <f>D1</f>
        <v>Вид продукции</v>
      </c>
      <c r="C28" s="116" t="s">
        <v>225</v>
      </c>
      <c r="D28" s="116" t="s">
        <v>224</v>
      </c>
      <c r="E28" s="112" t="s">
        <v>226</v>
      </c>
      <c r="F28" s="113" t="s">
        <v>227</v>
      </c>
      <c r="G28" s="114" t="s">
        <v>228</v>
      </c>
      <c r="H28" s="114" t="s">
        <v>229</v>
      </c>
      <c r="I28" s="116" t="s">
        <v>8</v>
      </c>
      <c r="J28" s="116" t="s">
        <v>233</v>
      </c>
      <c r="K28" s="116" t="s">
        <v>67</v>
      </c>
    </row>
    <row r="29" spans="1:11" ht="60" customHeight="1">
      <c r="A29" s="117">
        <v>1</v>
      </c>
      <c r="B29" s="119" t="str">
        <f>D2</f>
        <v>МКР 1,3 Л4-1,0 ППР1-Е (95х95х130/140) верх открытый, дно глухое</v>
      </c>
      <c r="C29" s="12">
        <v>5000</v>
      </c>
      <c r="D29" s="11" t="s">
        <v>223</v>
      </c>
      <c r="E29" s="11">
        <v>0.95</v>
      </c>
      <c r="F29" s="11">
        <v>1.38</v>
      </c>
      <c r="G29" s="11">
        <v>4</v>
      </c>
      <c r="H29" s="11">
        <v>0.14000000000000001</v>
      </c>
      <c r="I29" s="118">
        <f>E29*F29*G29*H29</f>
        <v>0.73416000000000003</v>
      </c>
      <c r="J29" s="12">
        <f>I29*C29</f>
        <v>3670.8</v>
      </c>
      <c r="K29" s="11"/>
    </row>
    <row r="30" spans="1:11">
      <c r="A30" s="117"/>
      <c r="B30" s="119"/>
      <c r="C30" s="12">
        <v>5000</v>
      </c>
      <c r="D30" s="11" t="s">
        <v>232</v>
      </c>
      <c r="E30" s="11">
        <v>1.05</v>
      </c>
      <c r="F30" s="11">
        <v>1.05</v>
      </c>
      <c r="G30" s="11">
        <v>1</v>
      </c>
      <c r="H30" s="11">
        <v>0.16</v>
      </c>
      <c r="I30" s="118">
        <f>E30*F30*G30*H30</f>
        <v>0.1764</v>
      </c>
      <c r="J30" s="12">
        <f t="shared" ref="J30:J43" si="1">I30*C30</f>
        <v>882</v>
      </c>
      <c r="K30" s="11"/>
    </row>
    <row r="31" spans="1:11" ht="15" customHeight="1">
      <c r="A31" s="117">
        <v>2</v>
      </c>
      <c r="B31" s="119" t="str">
        <f>D4</f>
        <v>МКР 1,3 Л4-1,0 ППР1-Е (95х95х130/140) верх юбка, дно глухое</v>
      </c>
      <c r="C31" s="12">
        <v>20000</v>
      </c>
      <c r="D31" s="11" t="s">
        <v>223</v>
      </c>
      <c r="E31" s="11">
        <v>0.95</v>
      </c>
      <c r="F31" s="11">
        <v>1.38</v>
      </c>
      <c r="G31" s="11">
        <v>4</v>
      </c>
      <c r="H31" s="11">
        <v>0.14000000000000001</v>
      </c>
      <c r="I31" s="118">
        <f>E31*F31*G31*H31</f>
        <v>0.73416000000000003</v>
      </c>
      <c r="J31" s="12">
        <f t="shared" si="1"/>
        <v>14683.2</v>
      </c>
      <c r="K31" s="11"/>
    </row>
    <row r="32" spans="1:11">
      <c r="A32" s="117"/>
      <c r="B32" s="119"/>
      <c r="C32" s="12">
        <v>20000</v>
      </c>
      <c r="D32" s="11" t="s">
        <v>232</v>
      </c>
      <c r="E32" s="11">
        <v>1.05</v>
      </c>
      <c r="F32" s="11">
        <v>1.05</v>
      </c>
      <c r="G32" s="11">
        <v>1</v>
      </c>
      <c r="H32" s="11">
        <v>0.16</v>
      </c>
      <c r="I32" s="118">
        <f>E32*F32*G32*H32</f>
        <v>0.1764</v>
      </c>
      <c r="J32" s="12">
        <f t="shared" si="1"/>
        <v>3528</v>
      </c>
      <c r="K32" s="11"/>
    </row>
    <row r="33" spans="1:11">
      <c r="A33" s="117"/>
      <c r="B33" s="119"/>
      <c r="C33" s="12">
        <v>20000</v>
      </c>
      <c r="D33" s="11" t="s">
        <v>234</v>
      </c>
      <c r="E33" s="11">
        <v>0.85</v>
      </c>
      <c r="F33" s="11">
        <v>3.8</v>
      </c>
      <c r="G33" s="11">
        <v>1</v>
      </c>
      <c r="H33" s="11">
        <v>0.06</v>
      </c>
      <c r="I33" s="118">
        <f t="shared" ref="I31:I43" si="2">E33*F33*G33*H33</f>
        <v>0.1938</v>
      </c>
      <c r="J33" s="12">
        <f t="shared" si="1"/>
        <v>3876</v>
      </c>
      <c r="K33" s="11"/>
    </row>
    <row r="34" spans="1:11" ht="45" customHeight="1">
      <c r="A34" s="117">
        <v>3</v>
      </c>
      <c r="B34" s="119" t="str">
        <f>D6</f>
        <v>МКР 1,3 Л4-1,0 ППР1-Е (95х95х130/140) верх загр, низ выгр</v>
      </c>
      <c r="C34" s="12">
        <v>5000</v>
      </c>
      <c r="D34" s="11" t="s">
        <v>223</v>
      </c>
      <c r="E34" s="11">
        <v>0.95</v>
      </c>
      <c r="F34" s="11">
        <v>1.4</v>
      </c>
      <c r="G34" s="11">
        <v>4</v>
      </c>
      <c r="H34" s="11">
        <v>0.14000000000000001</v>
      </c>
      <c r="I34" s="118">
        <f>E34*F34*G34*H34</f>
        <v>0.74480000000000002</v>
      </c>
      <c r="J34" s="12">
        <f t="shared" ref="J34:J42" si="3">I34*C34</f>
        <v>3724</v>
      </c>
      <c r="K34" s="11"/>
    </row>
    <row r="35" spans="1:11">
      <c r="A35" s="117"/>
      <c r="B35" s="119"/>
      <c r="C35" s="12">
        <v>5000</v>
      </c>
      <c r="D35" s="11" t="s">
        <v>232</v>
      </c>
      <c r="E35" s="11">
        <v>1.05</v>
      </c>
      <c r="F35" s="11">
        <v>1.05</v>
      </c>
      <c r="G35" s="11">
        <v>1</v>
      </c>
      <c r="H35" s="11">
        <v>0.16</v>
      </c>
      <c r="I35" s="118">
        <f>E35*F35*G35*H35</f>
        <v>0.1764</v>
      </c>
      <c r="J35" s="12">
        <f>I35*C35</f>
        <v>882</v>
      </c>
      <c r="K35" s="11"/>
    </row>
    <row r="36" spans="1:11">
      <c r="A36" s="117"/>
      <c r="B36" s="119"/>
      <c r="C36" s="12">
        <v>10000</v>
      </c>
      <c r="D36" s="11" t="s">
        <v>235</v>
      </c>
      <c r="E36" s="120">
        <v>0.56000000000000005</v>
      </c>
      <c r="F36" s="120">
        <v>0.6</v>
      </c>
      <c r="G36" s="120">
        <v>2</v>
      </c>
      <c r="H36" s="120">
        <v>0.63</v>
      </c>
      <c r="I36" s="118">
        <f t="shared" si="2"/>
        <v>0.42336000000000001</v>
      </c>
      <c r="J36" s="12">
        <f t="shared" si="3"/>
        <v>4233.6000000000004</v>
      </c>
      <c r="K36" s="11"/>
    </row>
    <row r="37" spans="1:11">
      <c r="A37" s="117"/>
      <c r="B37" s="119"/>
      <c r="C37" s="12">
        <v>5000</v>
      </c>
      <c r="D37" s="11" t="s">
        <v>236</v>
      </c>
      <c r="E37" s="120">
        <v>0.53</v>
      </c>
      <c r="F37" s="120">
        <v>1.05</v>
      </c>
      <c r="G37" s="120">
        <v>2</v>
      </c>
      <c r="H37" s="120">
        <v>0.63</v>
      </c>
      <c r="I37" s="118">
        <f t="shared" si="2"/>
        <v>0.70119000000000009</v>
      </c>
      <c r="J37" s="12">
        <f t="shared" si="3"/>
        <v>3505.9500000000003</v>
      </c>
      <c r="K37" s="11"/>
    </row>
    <row r="38" spans="1:11">
      <c r="A38" s="117">
        <v>4</v>
      </c>
      <c r="B38" s="119" t="str">
        <f>D8</f>
        <v>МКР 1,3 Л4-1,0 ППР1-Е (95х95х150/140) верх открытый, дно глухое</v>
      </c>
      <c r="C38" s="12">
        <v>3000</v>
      </c>
      <c r="D38" s="11" t="s">
        <v>237</v>
      </c>
      <c r="E38" s="11">
        <v>0.95</v>
      </c>
      <c r="F38" s="11">
        <v>1.58</v>
      </c>
      <c r="G38" s="11">
        <v>4</v>
      </c>
      <c r="H38" s="11">
        <v>0.14000000000000001</v>
      </c>
      <c r="I38" s="118">
        <f>E38*F38*G38*H38</f>
        <v>0.84055999999999997</v>
      </c>
      <c r="J38" s="12">
        <f>I38*C38</f>
        <v>2521.6799999999998</v>
      </c>
      <c r="K38" s="11"/>
    </row>
    <row r="39" spans="1:11" ht="38.25" customHeight="1">
      <c r="A39" s="117"/>
      <c r="B39" s="119"/>
      <c r="C39" s="12">
        <v>3000</v>
      </c>
      <c r="D39" s="11" t="s">
        <v>238</v>
      </c>
      <c r="E39" s="11">
        <v>1.05</v>
      </c>
      <c r="F39" s="11">
        <v>1.05</v>
      </c>
      <c r="G39" s="11">
        <v>1</v>
      </c>
      <c r="H39" s="11">
        <v>0.16</v>
      </c>
      <c r="I39" s="118">
        <f>E39*F39*G39*H39</f>
        <v>0.1764</v>
      </c>
      <c r="J39" s="12">
        <f t="shared" ref="J39:J43" si="4">I39*C39</f>
        <v>529.20000000000005</v>
      </c>
      <c r="K39" s="11"/>
    </row>
    <row r="40" spans="1:11">
      <c r="A40" s="117">
        <v>5</v>
      </c>
      <c r="B40" s="119" t="str">
        <f>D10</f>
        <v>МКР 1,3 Л4-1,0 ППР1-Е (95х95х150/140) верх юбка, дно глухое</v>
      </c>
      <c r="C40" s="12">
        <v>7000</v>
      </c>
      <c r="D40" s="11" t="s">
        <v>237</v>
      </c>
      <c r="E40" s="11">
        <v>0.95</v>
      </c>
      <c r="F40" s="11">
        <v>1.58</v>
      </c>
      <c r="G40" s="11">
        <v>4</v>
      </c>
      <c r="H40" s="11">
        <v>0.14000000000000001</v>
      </c>
      <c r="I40" s="118">
        <f>E40*F40*G40*H40</f>
        <v>0.84055999999999997</v>
      </c>
      <c r="J40" s="12">
        <f t="shared" si="4"/>
        <v>5883.92</v>
      </c>
      <c r="K40" s="11"/>
    </row>
    <row r="41" spans="1:11">
      <c r="A41" s="117"/>
      <c r="B41" s="119"/>
      <c r="C41" s="12">
        <v>7000</v>
      </c>
      <c r="D41" s="11" t="s">
        <v>238</v>
      </c>
      <c r="E41" s="11">
        <v>1.05</v>
      </c>
      <c r="F41" s="11">
        <v>1.05</v>
      </c>
      <c r="G41" s="11">
        <v>1</v>
      </c>
      <c r="H41" s="11">
        <v>0.16</v>
      </c>
      <c r="I41" s="118">
        <f>E41*F41*G41*H41</f>
        <v>0.1764</v>
      </c>
      <c r="J41" s="12">
        <f t="shared" si="4"/>
        <v>1234.8</v>
      </c>
      <c r="K41" s="11"/>
    </row>
    <row r="42" spans="1:11">
      <c r="A42" s="117"/>
      <c r="B42" s="119"/>
      <c r="C42" s="12">
        <v>7000</v>
      </c>
      <c r="D42" s="11" t="s">
        <v>239</v>
      </c>
      <c r="E42" s="11">
        <v>0.85</v>
      </c>
      <c r="F42" s="11">
        <v>3.8</v>
      </c>
      <c r="G42" s="11">
        <v>1</v>
      </c>
      <c r="H42" s="11">
        <v>0.06</v>
      </c>
      <c r="I42" s="118">
        <f t="shared" ref="I42" si="5">E42*F42*G42*H42</f>
        <v>0.1938</v>
      </c>
      <c r="J42" s="12">
        <f t="shared" si="4"/>
        <v>1356.6</v>
      </c>
      <c r="K42" s="11"/>
    </row>
    <row r="43" spans="1:11" ht="60" customHeight="1">
      <c r="A43" s="117">
        <v>6</v>
      </c>
      <c r="B43" s="119" t="str">
        <f>D12</f>
        <v>МКР 1,3 Л4-1,0 ППР1-Е (95х95х150/140) верх загр, дно глухое</v>
      </c>
      <c r="C43" s="12">
        <v>5000</v>
      </c>
      <c r="D43" s="11" t="s">
        <v>237</v>
      </c>
      <c r="E43" s="11">
        <v>0.95</v>
      </c>
      <c r="F43" s="11">
        <v>1.6</v>
      </c>
      <c r="G43" s="11">
        <v>4</v>
      </c>
      <c r="H43" s="11">
        <v>0.14000000000000001</v>
      </c>
      <c r="I43" s="118">
        <f>E43*F43*G43*H43</f>
        <v>0.85120000000000007</v>
      </c>
      <c r="J43" s="12">
        <f t="shared" si="4"/>
        <v>4256</v>
      </c>
      <c r="K43" s="11"/>
    </row>
    <row r="44" spans="1:11">
      <c r="A44" s="117"/>
      <c r="B44" s="119"/>
      <c r="C44" s="12">
        <v>5000</v>
      </c>
      <c r="D44" s="11" t="s">
        <v>238</v>
      </c>
      <c r="E44" s="11">
        <v>1.05</v>
      </c>
      <c r="F44" s="11">
        <v>1.05</v>
      </c>
      <c r="G44" s="11">
        <v>1</v>
      </c>
      <c r="H44" s="11">
        <v>0.16</v>
      </c>
      <c r="I44" s="118">
        <f>E44*F44*G44*H44</f>
        <v>0.1764</v>
      </c>
      <c r="J44" s="12">
        <f>I44*C44</f>
        <v>882</v>
      </c>
      <c r="K44" s="11"/>
    </row>
    <row r="45" spans="1:11">
      <c r="A45" s="117"/>
      <c r="B45" s="119"/>
      <c r="C45" s="12">
        <v>5000</v>
      </c>
      <c r="D45" s="11" t="s">
        <v>240</v>
      </c>
      <c r="E45" s="120">
        <v>0.56000000000000005</v>
      </c>
      <c r="F45" s="120">
        <v>0.6</v>
      </c>
      <c r="G45" s="120">
        <v>2</v>
      </c>
      <c r="H45" s="120">
        <v>0.63</v>
      </c>
      <c r="I45" s="118">
        <f t="shared" ref="I45:I46" si="6">E45*F45*G45*H45</f>
        <v>0.42336000000000001</v>
      </c>
      <c r="J45" s="12">
        <f t="shared" ref="J45:J47" si="7">I45*C45</f>
        <v>2116.8000000000002</v>
      </c>
      <c r="K45" s="11"/>
    </row>
    <row r="46" spans="1:11">
      <c r="A46" s="117"/>
      <c r="B46" s="119"/>
      <c r="C46" s="12">
        <v>5000</v>
      </c>
      <c r="D46" s="11" t="s">
        <v>241</v>
      </c>
      <c r="E46" s="120">
        <v>0.53</v>
      </c>
      <c r="F46" s="120">
        <v>1.05</v>
      </c>
      <c r="G46" s="120">
        <v>2</v>
      </c>
      <c r="H46" s="120">
        <v>0.63</v>
      </c>
      <c r="I46" s="118">
        <f t="shared" si="6"/>
        <v>0.70119000000000009</v>
      </c>
      <c r="J46" s="12">
        <f t="shared" si="7"/>
        <v>3505.9500000000003</v>
      </c>
      <c r="K46" s="11"/>
    </row>
    <row r="47" spans="1:11" ht="45" customHeight="1">
      <c r="A47" s="117">
        <v>7</v>
      </c>
      <c r="B47" s="119" t="str">
        <f>D14</f>
        <v>МКР 1,3 Л4-1,0 ППР1-Е (95х95х180/140)  верх загр, низ выгр</v>
      </c>
      <c r="C47" s="12">
        <v>5000</v>
      </c>
      <c r="D47" s="11" t="s">
        <v>223</v>
      </c>
      <c r="E47" s="11">
        <v>0.95</v>
      </c>
      <c r="F47" s="11">
        <v>1.9</v>
      </c>
      <c r="G47" s="11">
        <v>4</v>
      </c>
      <c r="H47" s="11">
        <v>0.14000000000000001</v>
      </c>
      <c r="I47" s="118">
        <f>E47*F47*G47*H47</f>
        <v>1.0108000000000001</v>
      </c>
      <c r="J47" s="12">
        <f t="shared" si="7"/>
        <v>5054.0000000000009</v>
      </c>
      <c r="K47" s="11"/>
    </row>
    <row r="48" spans="1:11">
      <c r="A48" s="117"/>
      <c r="B48" s="119"/>
      <c r="C48" s="12">
        <v>5000</v>
      </c>
      <c r="D48" s="11" t="s">
        <v>232</v>
      </c>
      <c r="E48" s="11">
        <v>1.05</v>
      </c>
      <c r="F48" s="11">
        <v>1.05</v>
      </c>
      <c r="G48" s="11">
        <v>1</v>
      </c>
      <c r="H48" s="11">
        <v>0.16</v>
      </c>
      <c r="I48" s="118">
        <f>E48*F48*G48*H48</f>
        <v>0.1764</v>
      </c>
      <c r="J48" s="12">
        <f>I48*C48</f>
        <v>882</v>
      </c>
      <c r="K48" s="11"/>
    </row>
    <row r="49" spans="1:11">
      <c r="A49" s="117"/>
      <c r="B49" s="119"/>
      <c r="C49" s="12">
        <v>10000</v>
      </c>
      <c r="D49" s="11" t="s">
        <v>235</v>
      </c>
      <c r="E49" s="120">
        <v>0.56000000000000005</v>
      </c>
      <c r="F49" s="120">
        <v>0.6</v>
      </c>
      <c r="G49" s="120">
        <v>2</v>
      </c>
      <c r="H49" s="120">
        <v>0.63</v>
      </c>
      <c r="I49" s="118">
        <f t="shared" ref="I49:I50" si="8">E49*F49*G49*H49</f>
        <v>0.42336000000000001</v>
      </c>
      <c r="J49" s="12">
        <f t="shared" ref="J49:J51" si="9">I49*C49</f>
        <v>4233.6000000000004</v>
      </c>
      <c r="K49" s="11"/>
    </row>
    <row r="50" spans="1:11">
      <c r="A50" s="117"/>
      <c r="B50" s="119"/>
      <c r="C50" s="12">
        <v>5000</v>
      </c>
      <c r="D50" s="11" t="s">
        <v>236</v>
      </c>
      <c r="E50" s="120">
        <v>0.53</v>
      </c>
      <c r="F50" s="120">
        <v>1.05</v>
      </c>
      <c r="G50" s="120">
        <v>2</v>
      </c>
      <c r="H50" s="120">
        <v>0.63</v>
      </c>
      <c r="I50" s="118">
        <f t="shared" si="8"/>
        <v>0.70119000000000009</v>
      </c>
      <c r="J50" s="12">
        <f t="shared" si="9"/>
        <v>3505.9500000000003</v>
      </c>
      <c r="K50" s="11"/>
    </row>
    <row r="51" spans="1:11" ht="45" customHeight="1">
      <c r="A51" s="117">
        <v>8</v>
      </c>
      <c r="B51" s="121" t="str">
        <f>D16</f>
        <v>МКР 1,3 Л4-1,0 ППР1-Е (95х95х130/140) верх загр, дно глухое</v>
      </c>
      <c r="C51" s="12">
        <v>5000</v>
      </c>
      <c r="D51" s="11" t="s">
        <v>223</v>
      </c>
      <c r="E51" s="11">
        <v>0.95</v>
      </c>
      <c r="F51" s="11">
        <v>1.4</v>
      </c>
      <c r="G51" s="11">
        <v>4</v>
      </c>
      <c r="H51" s="11">
        <v>0.14000000000000001</v>
      </c>
      <c r="I51" s="118">
        <f>E51*F51*G51*H51</f>
        <v>0.74480000000000002</v>
      </c>
      <c r="J51" s="12">
        <f t="shared" si="9"/>
        <v>3724</v>
      </c>
      <c r="K51" s="11"/>
    </row>
    <row r="52" spans="1:11">
      <c r="A52" s="117"/>
      <c r="B52" s="122"/>
      <c r="C52" s="12">
        <v>5000</v>
      </c>
      <c r="D52" s="11" t="s">
        <v>232</v>
      </c>
      <c r="E52" s="11">
        <v>1.05</v>
      </c>
      <c r="F52" s="11">
        <v>1.05</v>
      </c>
      <c r="G52" s="11">
        <v>1</v>
      </c>
      <c r="H52" s="11">
        <v>0.16</v>
      </c>
      <c r="I52" s="118">
        <f>E52*F52*G52*H52</f>
        <v>0.1764</v>
      </c>
      <c r="J52" s="12">
        <f>I52*C52</f>
        <v>882</v>
      </c>
      <c r="K52" s="11"/>
    </row>
    <row r="53" spans="1:11">
      <c r="A53" s="117"/>
      <c r="B53" s="122"/>
      <c r="C53" s="12">
        <v>5000</v>
      </c>
      <c r="D53" s="11" t="s">
        <v>235</v>
      </c>
      <c r="E53" s="120">
        <v>0.56000000000000005</v>
      </c>
      <c r="F53" s="120">
        <v>0.6</v>
      </c>
      <c r="G53" s="120">
        <v>2</v>
      </c>
      <c r="H53" s="120">
        <v>0.63</v>
      </c>
      <c r="I53" s="118">
        <f t="shared" ref="I53:I54" si="10">E53*F53*G53*H53</f>
        <v>0.42336000000000001</v>
      </c>
      <c r="J53" s="12">
        <f t="shared" ref="J53:J58" si="11">I53*C53</f>
        <v>2116.8000000000002</v>
      </c>
      <c r="K53" s="11"/>
    </row>
    <row r="54" spans="1:11">
      <c r="A54" s="117"/>
      <c r="B54" s="122"/>
      <c r="C54" s="12">
        <v>5000</v>
      </c>
      <c r="D54" s="11" t="s">
        <v>236</v>
      </c>
      <c r="E54" s="120">
        <v>0.53</v>
      </c>
      <c r="F54" s="120">
        <v>1.05</v>
      </c>
      <c r="G54" s="120">
        <v>2</v>
      </c>
      <c r="H54" s="120">
        <v>0.63</v>
      </c>
      <c r="I54" s="118">
        <f t="shared" si="10"/>
        <v>0.70119000000000009</v>
      </c>
      <c r="J54" s="12">
        <f t="shared" si="11"/>
        <v>3505.9500000000003</v>
      </c>
      <c r="K54" s="11"/>
    </row>
    <row r="55" spans="1:11">
      <c r="A55" s="117">
        <v>9</v>
      </c>
      <c r="B55" s="123" t="str">
        <f>D18</f>
        <v>МКР 1,3 Л4-1,0 ППР1-Е (95х95х130/160) верх юбка, дно глухое</v>
      </c>
      <c r="C55" s="12">
        <f>G18</f>
        <v>5000</v>
      </c>
      <c r="D55" s="11" t="s">
        <v>243</v>
      </c>
      <c r="E55" s="11">
        <v>0.95</v>
      </c>
      <c r="F55" s="11">
        <v>1.38</v>
      </c>
      <c r="G55" s="11">
        <v>4</v>
      </c>
      <c r="H55" s="11">
        <v>0.16</v>
      </c>
      <c r="I55" s="118">
        <f>E55*F55*G55*H55</f>
        <v>0.83904000000000001</v>
      </c>
      <c r="J55" s="12">
        <f t="shared" si="11"/>
        <v>4195.2</v>
      </c>
      <c r="K55" s="11"/>
    </row>
    <row r="56" spans="1:11">
      <c r="A56" s="117"/>
      <c r="B56" s="123"/>
      <c r="C56" s="12">
        <v>5000</v>
      </c>
      <c r="D56" s="11" t="s">
        <v>244</v>
      </c>
      <c r="E56" s="11">
        <v>1.05</v>
      </c>
      <c r="F56" s="11">
        <v>1.05</v>
      </c>
      <c r="G56" s="11">
        <v>1</v>
      </c>
      <c r="H56" s="11">
        <v>0.16</v>
      </c>
      <c r="I56" s="118">
        <f>E56*F56*G56*H56</f>
        <v>0.1764</v>
      </c>
      <c r="J56" s="12">
        <f t="shared" si="11"/>
        <v>882</v>
      </c>
      <c r="K56" s="11"/>
    </row>
    <row r="57" spans="1:11">
      <c r="A57" s="117"/>
      <c r="B57" s="123"/>
      <c r="C57" s="12">
        <v>5000</v>
      </c>
      <c r="D57" s="11" t="s">
        <v>245</v>
      </c>
      <c r="E57" s="11">
        <v>0.85</v>
      </c>
      <c r="F57" s="11">
        <v>3.8</v>
      </c>
      <c r="G57" s="11">
        <v>1</v>
      </c>
      <c r="H57" s="11">
        <v>0.06</v>
      </c>
      <c r="I57" s="118">
        <f t="shared" ref="I57" si="12">E57*F57*G57*H57</f>
        <v>0.1938</v>
      </c>
      <c r="J57" s="12">
        <f t="shared" si="11"/>
        <v>969</v>
      </c>
      <c r="K57" s="11"/>
    </row>
    <row r="58" spans="1:11">
      <c r="A58" s="117">
        <v>10</v>
      </c>
      <c r="B58" s="119" t="str">
        <f>D20</f>
        <v>МКР 1,3 Л4-1,0 ППР1-Е (95х95х130/160) верх загр, низ выгр</v>
      </c>
      <c r="C58" s="12">
        <v>5000</v>
      </c>
      <c r="D58" s="11" t="s">
        <v>243</v>
      </c>
      <c r="E58" s="11">
        <v>0.95</v>
      </c>
      <c r="F58" s="11">
        <v>1.4</v>
      </c>
      <c r="G58" s="11">
        <v>4</v>
      </c>
      <c r="H58" s="11">
        <v>0.16</v>
      </c>
      <c r="I58" s="118">
        <f>E58*F58*G58*H58</f>
        <v>0.85119999999999996</v>
      </c>
      <c r="J58" s="12">
        <f t="shared" si="11"/>
        <v>4256</v>
      </c>
      <c r="K58" s="11"/>
    </row>
    <row r="59" spans="1:11">
      <c r="A59" s="117"/>
      <c r="B59" s="119"/>
      <c r="C59" s="12">
        <v>5000</v>
      </c>
      <c r="D59" s="11" t="s">
        <v>244</v>
      </c>
      <c r="E59" s="11">
        <v>1.05</v>
      </c>
      <c r="F59" s="11">
        <v>1.05</v>
      </c>
      <c r="G59" s="11">
        <v>1</v>
      </c>
      <c r="H59" s="11">
        <v>0.16</v>
      </c>
      <c r="I59" s="118">
        <f>E59*F59*G59*H59</f>
        <v>0.1764</v>
      </c>
      <c r="J59" s="12">
        <f>I59*C59</f>
        <v>882</v>
      </c>
      <c r="K59" s="11"/>
    </row>
    <row r="60" spans="1:11">
      <c r="A60" s="117"/>
      <c r="B60" s="119"/>
      <c r="C60" s="12">
        <v>10000</v>
      </c>
      <c r="D60" s="11" t="s">
        <v>246</v>
      </c>
      <c r="E60" s="120">
        <v>0.56000000000000005</v>
      </c>
      <c r="F60" s="120">
        <v>0.6</v>
      </c>
      <c r="G60" s="120">
        <v>2</v>
      </c>
      <c r="H60" s="120">
        <v>0.63</v>
      </c>
      <c r="I60" s="118">
        <f t="shared" ref="I60:I61" si="13">E60*F60*G60*H60</f>
        <v>0.42336000000000001</v>
      </c>
      <c r="J60" s="12">
        <f t="shared" ref="J60:J62" si="14">I60*C60</f>
        <v>4233.6000000000004</v>
      </c>
      <c r="K60" s="11"/>
    </row>
    <row r="61" spans="1:11">
      <c r="A61" s="117"/>
      <c r="B61" s="119"/>
      <c r="C61" s="12">
        <v>5000</v>
      </c>
      <c r="D61" s="11" t="s">
        <v>247</v>
      </c>
      <c r="E61" s="120">
        <v>0.53</v>
      </c>
      <c r="F61" s="120">
        <v>1.05</v>
      </c>
      <c r="G61" s="120">
        <v>2</v>
      </c>
      <c r="H61" s="120">
        <v>0.63</v>
      </c>
      <c r="I61" s="118">
        <f t="shared" si="13"/>
        <v>0.70119000000000009</v>
      </c>
      <c r="J61" s="12">
        <f t="shared" si="14"/>
        <v>3505.9500000000003</v>
      </c>
      <c r="K61" s="11"/>
    </row>
    <row r="62" spans="1:11">
      <c r="A62" s="117">
        <v>11</v>
      </c>
      <c r="B62" s="119" t="str">
        <f>D22</f>
        <v>МКР 0,9 С2-1,0 ППР1-A (75х75х125/120) верх открытый, дно звезда</v>
      </c>
      <c r="C62" s="12">
        <v>40000</v>
      </c>
      <c r="D62" s="11" t="s">
        <v>249</v>
      </c>
      <c r="E62" s="11">
        <v>0.75</v>
      </c>
      <c r="F62" s="11">
        <v>2.2400000000000002</v>
      </c>
      <c r="G62" s="11">
        <v>4</v>
      </c>
      <c r="H62" s="11">
        <v>0.12</v>
      </c>
      <c r="I62" s="118">
        <f>E62*F62*G62*H62</f>
        <v>0.80640000000000001</v>
      </c>
      <c r="J62" s="12">
        <f t="shared" si="14"/>
        <v>32256</v>
      </c>
      <c r="K62" s="11"/>
    </row>
    <row r="63" spans="1:11" ht="39" customHeight="1">
      <c r="A63" s="117"/>
      <c r="B63" s="119"/>
      <c r="C63" s="12">
        <v>80000</v>
      </c>
      <c r="D63" s="120" t="s">
        <v>248</v>
      </c>
      <c r="E63" s="120">
        <v>0.27</v>
      </c>
      <c r="F63" s="120">
        <v>0.2</v>
      </c>
      <c r="G63" s="120">
        <v>1</v>
      </c>
      <c r="H63" s="120">
        <v>0.1</v>
      </c>
      <c r="I63" s="118">
        <f t="shared" ref="I63" si="15">E63*F63*G63*H63</f>
        <v>5.4000000000000012E-3</v>
      </c>
      <c r="J63" s="12">
        <f t="shared" ref="J63:J64" si="16">I63*C63</f>
        <v>432.00000000000011</v>
      </c>
      <c r="K63" s="11"/>
    </row>
    <row r="64" spans="1:11">
      <c r="A64" s="117">
        <v>12</v>
      </c>
      <c r="B64" s="119" t="str">
        <f>D24</f>
        <v>МКР 0,9 С2-1,0 ППР1-A (75х75х125/140) верх открытый, дно звезда</v>
      </c>
      <c r="C64" s="12">
        <v>5000</v>
      </c>
      <c r="D64" s="11" t="s">
        <v>250</v>
      </c>
      <c r="E64" s="11">
        <v>0.75</v>
      </c>
      <c r="F64" s="11">
        <v>2.2400000000000002</v>
      </c>
      <c r="G64" s="11">
        <v>4</v>
      </c>
      <c r="H64" s="11">
        <v>0.12</v>
      </c>
      <c r="I64" s="118">
        <f>E64*F64*G64*H64</f>
        <v>0.80640000000000001</v>
      </c>
      <c r="J64" s="12">
        <f t="shared" si="16"/>
        <v>4032</v>
      </c>
      <c r="K64" s="11"/>
    </row>
    <row r="65" spans="1:11" ht="41.25" customHeight="1">
      <c r="A65" s="117"/>
      <c r="B65" s="119"/>
      <c r="C65" s="12">
        <v>10000</v>
      </c>
      <c r="D65" s="120" t="s">
        <v>248</v>
      </c>
      <c r="E65" s="120">
        <v>0.27</v>
      </c>
      <c r="F65" s="120">
        <v>0.2</v>
      </c>
      <c r="G65" s="120">
        <v>1</v>
      </c>
      <c r="H65" s="120">
        <v>0.1</v>
      </c>
      <c r="I65" s="118">
        <f t="shared" ref="I65" si="17">E65*F65*G65*H65</f>
        <v>5.4000000000000012E-3</v>
      </c>
      <c r="J65" s="12">
        <f t="shared" ref="J65" si="18">I65*C65</f>
        <v>54.000000000000014</v>
      </c>
      <c r="K65" s="11"/>
    </row>
    <row r="66" spans="1:11">
      <c r="A66" s="115" t="s">
        <v>87</v>
      </c>
      <c r="B66" s="115"/>
      <c r="C66" s="13">
        <f>SUM(C29:C65)</f>
        <v>362000</v>
      </c>
      <c r="I66" s="118">
        <f>E66*F66*G66*H66</f>
        <v>0</v>
      </c>
      <c r="J66" s="12">
        <f>I66*C66</f>
        <v>0</v>
      </c>
    </row>
    <row r="67" spans="1:11">
      <c r="C67" s="13"/>
    </row>
    <row r="68" spans="1:11">
      <c r="C68" s="13"/>
    </row>
    <row r="69" spans="1:11">
      <c r="C69" s="13"/>
    </row>
    <row r="70" spans="1:11">
      <c r="C70" s="13"/>
    </row>
    <row r="71" spans="1:11">
      <c r="C71" s="13"/>
    </row>
    <row r="72" spans="1:11">
      <c r="C72" s="13"/>
    </row>
  </sheetData>
  <mergeCells count="77">
    <mergeCell ref="A64:A65"/>
    <mergeCell ref="B64:B65"/>
    <mergeCell ref="A66:B66"/>
    <mergeCell ref="B55:B57"/>
    <mergeCell ref="A55:A57"/>
    <mergeCell ref="B58:B61"/>
    <mergeCell ref="A58:A61"/>
    <mergeCell ref="B62:B63"/>
    <mergeCell ref="A62:A63"/>
    <mergeCell ref="B43:B46"/>
    <mergeCell ref="A43:A46"/>
    <mergeCell ref="B47:B50"/>
    <mergeCell ref="A47:A50"/>
    <mergeCell ref="B51:B54"/>
    <mergeCell ref="A51:A54"/>
    <mergeCell ref="B34:B37"/>
    <mergeCell ref="A34:A37"/>
    <mergeCell ref="A38:A39"/>
    <mergeCell ref="B38:B39"/>
    <mergeCell ref="A40:A42"/>
    <mergeCell ref="B40:B42"/>
    <mergeCell ref="A29:A30"/>
    <mergeCell ref="B29:B30"/>
    <mergeCell ref="B31:B33"/>
    <mergeCell ref="A31:A33"/>
    <mergeCell ref="A22:A25"/>
    <mergeCell ref="B22:B25"/>
    <mergeCell ref="C22:C23"/>
    <mergeCell ref="D22:D23"/>
    <mergeCell ref="E22:E23"/>
    <mergeCell ref="J22:J23"/>
    <mergeCell ref="C24:C25"/>
    <mergeCell ref="D24:D25"/>
    <mergeCell ref="E24:E25"/>
    <mergeCell ref="J24:J25"/>
    <mergeCell ref="C18:C19"/>
    <mergeCell ref="D18:D19"/>
    <mergeCell ref="E18:E19"/>
    <mergeCell ref="J18:J19"/>
    <mergeCell ref="C20:C21"/>
    <mergeCell ref="D20:D21"/>
    <mergeCell ref="E20:E21"/>
    <mergeCell ref="J20:J21"/>
    <mergeCell ref="C14:C15"/>
    <mergeCell ref="D14:D15"/>
    <mergeCell ref="E14:E15"/>
    <mergeCell ref="J14:J15"/>
    <mergeCell ref="C16:C17"/>
    <mergeCell ref="D16:D17"/>
    <mergeCell ref="E16:E17"/>
    <mergeCell ref="J16:J17"/>
    <mergeCell ref="C10:C11"/>
    <mergeCell ref="D10:D11"/>
    <mergeCell ref="E10:E11"/>
    <mergeCell ref="J10:J11"/>
    <mergeCell ref="C12:C13"/>
    <mergeCell ref="D12:D13"/>
    <mergeCell ref="E12:E13"/>
    <mergeCell ref="J12:J13"/>
    <mergeCell ref="C6:C7"/>
    <mergeCell ref="D6:D7"/>
    <mergeCell ref="E6:E7"/>
    <mergeCell ref="J6:J7"/>
    <mergeCell ref="C8:C9"/>
    <mergeCell ref="D8:D9"/>
    <mergeCell ref="E8:E9"/>
    <mergeCell ref="J8:J9"/>
    <mergeCell ref="A2:A21"/>
    <mergeCell ref="B2:B21"/>
    <mergeCell ref="C2:C3"/>
    <mergeCell ref="D2:D3"/>
    <mergeCell ref="E2:E3"/>
    <mergeCell ref="J2:J3"/>
    <mergeCell ref="C4:C5"/>
    <mergeCell ref="D4:D5"/>
    <mergeCell ref="E4:E5"/>
    <mergeCell ref="J4:J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3"/>
  <sheetViews>
    <sheetView topLeftCell="A30" zoomScale="60" zoomScaleNormal="60" workbookViewId="0">
      <selection activeCell="L48" sqref="L48:L49"/>
    </sheetView>
  </sheetViews>
  <sheetFormatPr defaultRowHeight="15"/>
  <cols>
    <col min="1" max="1" width="18.28515625" style="29" customWidth="1"/>
    <col min="2" max="2" width="26" customWidth="1"/>
    <col min="3" max="3" width="20.28515625" customWidth="1"/>
    <col min="4" max="4" width="40.140625" customWidth="1"/>
    <col min="5" max="5" width="10.42578125" customWidth="1"/>
    <col min="7" max="7" width="14.28515625" customWidth="1"/>
    <col min="8" max="8" width="11.140625" customWidth="1"/>
    <col min="9" max="9" width="20.28515625" customWidth="1"/>
    <col min="10" max="10" width="18.28515625" customWidth="1"/>
    <col min="11" max="11" width="22.140625" customWidth="1"/>
  </cols>
  <sheetData>
    <row r="1" spans="1:11" ht="30">
      <c r="A1" s="2" t="s">
        <v>4</v>
      </c>
      <c r="B1" s="1" t="s">
        <v>19</v>
      </c>
      <c r="C1" s="1" t="s">
        <v>24</v>
      </c>
      <c r="D1" s="1" t="s">
        <v>0</v>
      </c>
      <c r="E1" s="1" t="s">
        <v>8</v>
      </c>
      <c r="F1" s="1" t="s">
        <v>1</v>
      </c>
      <c r="G1" s="4" t="s">
        <v>9</v>
      </c>
      <c r="H1" s="7" t="s">
        <v>10</v>
      </c>
      <c r="I1" s="2" t="s">
        <v>11</v>
      </c>
      <c r="J1" s="1" t="s">
        <v>7</v>
      </c>
      <c r="K1" s="111"/>
    </row>
    <row r="2" spans="1:11" ht="15" customHeight="1">
      <c r="A2" s="78" t="s">
        <v>15</v>
      </c>
      <c r="B2" s="80">
        <f>G2+G4+G6+G8+G10+G12+G14+G16+G18+G20</f>
        <v>65000</v>
      </c>
      <c r="C2" s="68">
        <v>1</v>
      </c>
      <c r="D2" s="64" t="s">
        <v>16</v>
      </c>
      <c r="E2" s="69">
        <v>1.272</v>
      </c>
      <c r="F2" s="3" t="s">
        <v>2</v>
      </c>
      <c r="G2" s="5">
        <v>5000</v>
      </c>
      <c r="H2" s="9"/>
      <c r="I2" s="8">
        <f t="shared" ref="I2:I25" si="0">H2*100/G2</f>
        <v>0</v>
      </c>
      <c r="J2" s="64" t="s">
        <v>32</v>
      </c>
    </row>
    <row r="3" spans="1:11">
      <c r="A3" s="78"/>
      <c r="B3" s="80"/>
      <c r="C3" s="68"/>
      <c r="D3" s="65"/>
      <c r="E3" s="70"/>
      <c r="F3" s="3" t="s">
        <v>3</v>
      </c>
      <c r="G3" s="6">
        <f>G2*E2</f>
        <v>6360</v>
      </c>
      <c r="H3" s="10"/>
      <c r="I3" s="8">
        <f t="shared" si="0"/>
        <v>0</v>
      </c>
      <c r="J3" s="65"/>
    </row>
    <row r="4" spans="1:11" ht="25.5" customHeight="1">
      <c r="A4" s="78"/>
      <c r="B4" s="80"/>
      <c r="C4" s="68">
        <v>2</v>
      </c>
      <c r="D4" s="64" t="s">
        <v>17</v>
      </c>
      <c r="E4" s="69">
        <v>1.51</v>
      </c>
      <c r="F4" s="3" t="s">
        <v>2</v>
      </c>
      <c r="G4" s="5">
        <v>20000</v>
      </c>
      <c r="H4" s="9"/>
      <c r="I4" s="8">
        <f t="shared" si="0"/>
        <v>0</v>
      </c>
      <c r="J4" s="64" t="s">
        <v>32</v>
      </c>
    </row>
    <row r="5" spans="1:11">
      <c r="A5" s="78"/>
      <c r="B5" s="80"/>
      <c r="C5" s="68"/>
      <c r="D5" s="65"/>
      <c r="E5" s="70"/>
      <c r="F5" s="3" t="s">
        <v>3</v>
      </c>
      <c r="G5" s="6">
        <f>G4*E4</f>
        <v>30200</v>
      </c>
      <c r="H5" s="10"/>
      <c r="I5" s="8">
        <f t="shared" si="0"/>
        <v>0</v>
      </c>
      <c r="J5" s="65"/>
    </row>
    <row r="6" spans="1:11">
      <c r="A6" s="78"/>
      <c r="B6" s="80"/>
      <c r="C6" s="68">
        <v>3</v>
      </c>
      <c r="D6" s="64" t="s">
        <v>18</v>
      </c>
      <c r="E6" s="69">
        <v>1.605</v>
      </c>
      <c r="F6" s="3" t="s">
        <v>2</v>
      </c>
      <c r="G6" s="5">
        <v>5000</v>
      </c>
      <c r="H6" s="9"/>
      <c r="I6" s="8">
        <f t="shared" si="0"/>
        <v>0</v>
      </c>
      <c r="J6" s="64" t="s">
        <v>32</v>
      </c>
    </row>
    <row r="7" spans="1:11">
      <c r="A7" s="78"/>
      <c r="B7" s="80"/>
      <c r="C7" s="68"/>
      <c r="D7" s="65"/>
      <c r="E7" s="70"/>
      <c r="F7" s="3" t="s">
        <v>3</v>
      </c>
      <c r="G7" s="6">
        <f>G6*E6</f>
        <v>8025</v>
      </c>
      <c r="H7" s="10"/>
      <c r="I7" s="8">
        <f t="shared" si="0"/>
        <v>0</v>
      </c>
      <c r="J7" s="65"/>
    </row>
    <row r="8" spans="1:11" ht="15" customHeight="1">
      <c r="A8" s="78"/>
      <c r="B8" s="80"/>
      <c r="C8" s="68">
        <v>4</v>
      </c>
      <c r="D8" s="64" t="s">
        <v>23</v>
      </c>
      <c r="E8" s="69">
        <v>1.401</v>
      </c>
      <c r="F8" s="3" t="s">
        <v>2</v>
      </c>
      <c r="G8" s="5">
        <v>3000</v>
      </c>
      <c r="H8" s="9"/>
      <c r="I8" s="8">
        <f t="shared" si="0"/>
        <v>0</v>
      </c>
      <c r="J8" s="64" t="s">
        <v>31</v>
      </c>
    </row>
    <row r="9" spans="1:11">
      <c r="A9" s="78"/>
      <c r="B9" s="80"/>
      <c r="C9" s="68"/>
      <c r="D9" s="65"/>
      <c r="E9" s="70"/>
      <c r="F9" s="3" t="s">
        <v>3</v>
      </c>
      <c r="G9" s="6">
        <f>G8*E8</f>
        <v>4203</v>
      </c>
      <c r="H9" s="10"/>
      <c r="I9" s="8">
        <f t="shared" si="0"/>
        <v>0</v>
      </c>
      <c r="J9" s="65"/>
    </row>
    <row r="10" spans="1:11" s="21" customFormat="1">
      <c r="A10" s="78"/>
      <c r="B10" s="80"/>
      <c r="C10" s="79">
        <v>5</v>
      </c>
      <c r="D10" s="74" t="s">
        <v>22</v>
      </c>
      <c r="E10" s="76">
        <v>1.64</v>
      </c>
      <c r="F10" s="17" t="s">
        <v>2</v>
      </c>
      <c r="G10" s="18">
        <v>7000</v>
      </c>
      <c r="H10" s="19"/>
      <c r="I10" s="20">
        <f t="shared" si="0"/>
        <v>0</v>
      </c>
      <c r="J10" s="74" t="s">
        <v>31</v>
      </c>
    </row>
    <row r="11" spans="1:11" s="21" customFormat="1">
      <c r="A11" s="78"/>
      <c r="B11" s="80"/>
      <c r="C11" s="79"/>
      <c r="D11" s="75"/>
      <c r="E11" s="77"/>
      <c r="F11" s="17" t="s">
        <v>3</v>
      </c>
      <c r="G11" s="23">
        <f>G10*E10</f>
        <v>11480</v>
      </c>
      <c r="H11" s="24"/>
      <c r="I11" s="20">
        <f t="shared" si="0"/>
        <v>0</v>
      </c>
      <c r="J11" s="75"/>
    </row>
    <row r="12" spans="1:11" s="21" customFormat="1">
      <c r="A12" s="78"/>
      <c r="B12" s="80"/>
      <c r="C12" s="79">
        <v>6</v>
      </c>
      <c r="D12" s="74" t="s">
        <v>58</v>
      </c>
      <c r="E12" s="76">
        <v>1.661</v>
      </c>
      <c r="F12" s="17" t="s">
        <v>2</v>
      </c>
      <c r="G12" s="18">
        <v>5000</v>
      </c>
      <c r="H12" s="19"/>
      <c r="I12" s="20">
        <f t="shared" si="0"/>
        <v>0</v>
      </c>
      <c r="J12" s="74" t="s">
        <v>31</v>
      </c>
    </row>
    <row r="13" spans="1:11" s="21" customFormat="1">
      <c r="A13" s="78"/>
      <c r="B13" s="80"/>
      <c r="C13" s="79"/>
      <c r="D13" s="75"/>
      <c r="E13" s="77"/>
      <c r="F13" s="17" t="s">
        <v>3</v>
      </c>
      <c r="G13" s="23">
        <f>G12*E12</f>
        <v>8305</v>
      </c>
      <c r="H13" s="24"/>
      <c r="I13" s="20">
        <f t="shared" si="0"/>
        <v>0</v>
      </c>
      <c r="J13" s="75"/>
    </row>
    <row r="14" spans="1:11" s="21" customFormat="1">
      <c r="A14" s="78"/>
      <c r="B14" s="80"/>
      <c r="C14" s="79">
        <v>7</v>
      </c>
      <c r="D14" s="74" t="s">
        <v>242</v>
      </c>
      <c r="E14" s="76">
        <v>1.9410000000000001</v>
      </c>
      <c r="F14" s="17" t="s">
        <v>2</v>
      </c>
      <c r="G14" s="18">
        <v>5000</v>
      </c>
      <c r="H14" s="19"/>
      <c r="I14" s="20">
        <f t="shared" si="0"/>
        <v>0</v>
      </c>
      <c r="J14" s="74" t="s">
        <v>30</v>
      </c>
    </row>
    <row r="15" spans="1:11" s="21" customFormat="1">
      <c r="A15" s="78"/>
      <c r="B15" s="80"/>
      <c r="C15" s="79"/>
      <c r="D15" s="75"/>
      <c r="E15" s="77"/>
      <c r="F15" s="17" t="s">
        <v>3</v>
      </c>
      <c r="G15" s="23">
        <f>G14*E14</f>
        <v>9705</v>
      </c>
      <c r="H15" s="24"/>
      <c r="I15" s="20">
        <f t="shared" si="0"/>
        <v>0</v>
      </c>
      <c r="J15" s="75"/>
    </row>
    <row r="16" spans="1:11">
      <c r="A16" s="78"/>
      <c r="B16" s="80"/>
      <c r="C16" s="68">
        <v>8</v>
      </c>
      <c r="D16" s="74" t="s">
        <v>63</v>
      </c>
      <c r="E16" s="76">
        <v>1.532</v>
      </c>
      <c r="F16" s="3" t="s">
        <v>2</v>
      </c>
      <c r="G16" s="5">
        <v>5000</v>
      </c>
      <c r="H16" s="9"/>
      <c r="I16" s="8">
        <f t="shared" si="0"/>
        <v>0</v>
      </c>
      <c r="J16" s="64" t="s">
        <v>32</v>
      </c>
    </row>
    <row r="17" spans="1:11">
      <c r="A17" s="78"/>
      <c r="B17" s="80"/>
      <c r="C17" s="68"/>
      <c r="D17" s="75"/>
      <c r="E17" s="77"/>
      <c r="F17" s="3" t="s">
        <v>3</v>
      </c>
      <c r="G17" s="6">
        <f>G16*E16</f>
        <v>7660</v>
      </c>
      <c r="H17" s="10"/>
      <c r="I17" s="8">
        <f t="shared" si="0"/>
        <v>0</v>
      </c>
      <c r="J17" s="65"/>
    </row>
    <row r="18" spans="1:11" ht="15" customHeight="1">
      <c r="A18" s="78"/>
      <c r="B18" s="80"/>
      <c r="C18" s="68">
        <v>9</v>
      </c>
      <c r="D18" s="64" t="s">
        <v>20</v>
      </c>
      <c r="E18" s="69">
        <v>1.615</v>
      </c>
      <c r="F18" s="3" t="s">
        <v>2</v>
      </c>
      <c r="G18" s="5">
        <v>5000</v>
      </c>
      <c r="H18" s="9"/>
      <c r="I18" s="8">
        <f t="shared" si="0"/>
        <v>0</v>
      </c>
      <c r="J18" s="64" t="s">
        <v>29</v>
      </c>
    </row>
    <row r="19" spans="1:11">
      <c r="A19" s="78"/>
      <c r="B19" s="80"/>
      <c r="C19" s="68"/>
      <c r="D19" s="65"/>
      <c r="E19" s="70"/>
      <c r="F19" s="3" t="s">
        <v>3</v>
      </c>
      <c r="G19" s="6">
        <f>G18*E18</f>
        <v>8075</v>
      </c>
      <c r="H19" s="10"/>
      <c r="I19" s="8">
        <f t="shared" si="0"/>
        <v>0</v>
      </c>
      <c r="J19" s="65"/>
    </row>
    <row r="20" spans="1:11" ht="15" customHeight="1">
      <c r="A20" s="78"/>
      <c r="B20" s="80"/>
      <c r="C20" s="68">
        <v>10</v>
      </c>
      <c r="D20" s="64" t="s">
        <v>21</v>
      </c>
      <c r="E20" s="69">
        <v>1.71</v>
      </c>
      <c r="F20" s="3" t="s">
        <v>2</v>
      </c>
      <c r="G20" s="5">
        <v>5000</v>
      </c>
      <c r="H20" s="9"/>
      <c r="I20" s="8">
        <f t="shared" si="0"/>
        <v>0</v>
      </c>
      <c r="J20" s="64" t="s">
        <v>29</v>
      </c>
    </row>
    <row r="21" spans="1:11">
      <c r="A21" s="78"/>
      <c r="B21" s="80"/>
      <c r="C21" s="68"/>
      <c r="D21" s="65"/>
      <c r="E21" s="70"/>
      <c r="F21" s="3" t="s">
        <v>3</v>
      </c>
      <c r="G21" s="6">
        <f>G20*E20</f>
        <v>8550</v>
      </c>
      <c r="H21" s="10"/>
      <c r="I21" s="8">
        <f t="shared" si="0"/>
        <v>0</v>
      </c>
      <c r="J21" s="65"/>
    </row>
    <row r="22" spans="1:11" ht="15" customHeight="1">
      <c r="A22" s="78" t="s">
        <v>37</v>
      </c>
      <c r="B22" s="66">
        <f>G22+G24</f>
        <v>45000</v>
      </c>
      <c r="C22" s="68">
        <v>11</v>
      </c>
      <c r="D22" s="64" t="s">
        <v>35</v>
      </c>
      <c r="E22" s="69">
        <f>0.776</f>
        <v>0.77600000000000002</v>
      </c>
      <c r="F22" s="3" t="s">
        <v>2</v>
      </c>
      <c r="G22" s="5">
        <v>40000</v>
      </c>
      <c r="H22" s="9"/>
      <c r="I22" s="8">
        <f t="shared" si="0"/>
        <v>0</v>
      </c>
      <c r="J22" s="64" t="s">
        <v>33</v>
      </c>
    </row>
    <row r="23" spans="1:11">
      <c r="A23" s="78"/>
      <c r="B23" s="67"/>
      <c r="C23" s="68"/>
      <c r="D23" s="65"/>
      <c r="E23" s="70"/>
      <c r="F23" s="3" t="s">
        <v>3</v>
      </c>
      <c r="G23" s="6">
        <f>G22*E22</f>
        <v>31040</v>
      </c>
      <c r="H23" s="10"/>
      <c r="I23" s="8">
        <f t="shared" si="0"/>
        <v>0</v>
      </c>
      <c r="J23" s="65"/>
    </row>
    <row r="24" spans="1:11">
      <c r="A24" s="78"/>
      <c r="B24" s="67"/>
      <c r="C24" s="68">
        <v>12</v>
      </c>
      <c r="D24" s="64" t="s">
        <v>36</v>
      </c>
      <c r="E24" s="69">
        <v>0.89900000000000002</v>
      </c>
      <c r="F24" s="3" t="s">
        <v>2</v>
      </c>
      <c r="G24" s="5">
        <v>5000</v>
      </c>
      <c r="H24" s="9"/>
      <c r="I24" s="8">
        <f t="shared" si="0"/>
        <v>0</v>
      </c>
      <c r="J24" s="64" t="s">
        <v>34</v>
      </c>
    </row>
    <row r="25" spans="1:11">
      <c r="A25" s="78"/>
      <c r="B25" s="67"/>
      <c r="C25" s="68"/>
      <c r="D25" s="65"/>
      <c r="E25" s="70"/>
      <c r="F25" s="3" t="s">
        <v>3</v>
      </c>
      <c r="G25" s="6">
        <f>G24*E24</f>
        <v>4495</v>
      </c>
      <c r="H25" s="10"/>
      <c r="I25" s="8">
        <f t="shared" si="0"/>
        <v>0</v>
      </c>
      <c r="J25" s="65"/>
    </row>
    <row r="28" spans="1:11" ht="45">
      <c r="A28" s="133" t="s">
        <v>24</v>
      </c>
      <c r="B28" s="116" t="str">
        <f>D1</f>
        <v>Вид продукции</v>
      </c>
      <c r="C28" s="116" t="s">
        <v>225</v>
      </c>
      <c r="D28" s="116" t="s">
        <v>224</v>
      </c>
      <c r="E28" s="112" t="s">
        <v>255</v>
      </c>
      <c r="F28" s="112" t="s">
        <v>256</v>
      </c>
      <c r="G28" s="114" t="s">
        <v>257</v>
      </c>
      <c r="H28" s="114" t="s">
        <v>258</v>
      </c>
      <c r="I28" s="116" t="s">
        <v>259</v>
      </c>
      <c r="J28" s="116" t="s">
        <v>233</v>
      </c>
      <c r="K28" s="116" t="s">
        <v>67</v>
      </c>
    </row>
    <row r="29" spans="1:11" ht="60" customHeight="1">
      <c r="A29" s="129">
        <v>1</v>
      </c>
      <c r="B29" s="127" t="str">
        <f>D2</f>
        <v>МКР 1,3 Л4-1,0 ППР1-Е (95х95х130/140) верх открытый, дно глухое</v>
      </c>
      <c r="C29" s="12">
        <v>5000</v>
      </c>
      <c r="D29" s="11" t="s">
        <v>254</v>
      </c>
      <c r="E29" s="11">
        <v>4.5</v>
      </c>
      <c r="F29" s="11">
        <f>0.45+0.9+0.5</f>
        <v>1.85</v>
      </c>
      <c r="G29" s="11">
        <v>4</v>
      </c>
      <c r="H29" s="11">
        <f>0.03866</f>
        <v>3.866E-2</v>
      </c>
      <c r="I29" s="118">
        <f>G29*H29*F29</f>
        <v>0.286084</v>
      </c>
      <c r="J29" s="12">
        <f>I29*C29</f>
        <v>1430.42</v>
      </c>
      <c r="K29" s="11"/>
    </row>
    <row r="30" spans="1:11" ht="15" customHeight="1">
      <c r="A30" s="130">
        <v>2</v>
      </c>
      <c r="B30" s="124" t="str">
        <f>D4</f>
        <v>МКР 1,3 Л4-1,0 ППР1-Е (95х95х130/140) верх юбка, дно глухое</v>
      </c>
      <c r="C30" s="12">
        <v>20000</v>
      </c>
      <c r="D30" s="11" t="s">
        <v>254</v>
      </c>
      <c r="E30" s="11">
        <v>4.5</v>
      </c>
      <c r="F30" s="11">
        <f>0.45+0.9+0.5</f>
        <v>1.85</v>
      </c>
      <c r="G30" s="11">
        <v>4</v>
      </c>
      <c r="H30" s="11">
        <f>0.03866</f>
        <v>3.866E-2</v>
      </c>
      <c r="I30" s="118">
        <f t="shared" ref="I30:I31" si="1">G30*H30*F30</f>
        <v>0.286084</v>
      </c>
      <c r="J30" s="12">
        <f t="shared" ref="J30:J31" si="2">I30*C30</f>
        <v>5721.68</v>
      </c>
      <c r="K30" s="11"/>
    </row>
    <row r="31" spans="1:11" ht="39.75" customHeight="1">
      <c r="A31" s="131"/>
      <c r="B31" s="126"/>
      <c r="C31" s="12">
        <v>20000</v>
      </c>
      <c r="D31" s="11" t="s">
        <v>260</v>
      </c>
      <c r="E31" s="11">
        <v>1.5</v>
      </c>
      <c r="F31" s="11">
        <v>2</v>
      </c>
      <c r="G31" s="11">
        <v>1</v>
      </c>
      <c r="H31" s="11">
        <v>1.4999999999999999E-2</v>
      </c>
      <c r="I31" s="118">
        <f t="shared" si="1"/>
        <v>0.03</v>
      </c>
      <c r="J31" s="12">
        <f t="shared" si="2"/>
        <v>600</v>
      </c>
      <c r="K31" s="11"/>
    </row>
    <row r="32" spans="1:11" ht="45" customHeight="1">
      <c r="A32" s="130">
        <v>3</v>
      </c>
      <c r="B32" s="124" t="str">
        <f>D6</f>
        <v>МКР 1,3 Л4-1,0 ППР1-Е (95х95х130/140) верх загр, низ выгр</v>
      </c>
      <c r="C32" s="12">
        <v>5000</v>
      </c>
      <c r="D32" s="11" t="s">
        <v>254</v>
      </c>
      <c r="E32" s="11">
        <v>4.5</v>
      </c>
      <c r="F32" s="11">
        <f>0.45+0.9+0.5</f>
        <v>1.85</v>
      </c>
      <c r="G32" s="11">
        <v>4</v>
      </c>
      <c r="H32" s="11">
        <f>0.03866</f>
        <v>3.866E-2</v>
      </c>
      <c r="I32" s="118">
        <f t="shared" ref="I32:I35" si="3">G32*H32*F32</f>
        <v>0.286084</v>
      </c>
      <c r="J32" s="12">
        <f>I32*C32</f>
        <v>1430.42</v>
      </c>
      <c r="K32" s="11"/>
    </row>
    <row r="33" spans="1:12">
      <c r="A33" s="131"/>
      <c r="B33" s="126"/>
      <c r="C33" s="12">
        <v>10000</v>
      </c>
      <c r="D33" s="11" t="s">
        <v>260</v>
      </c>
      <c r="E33" s="11">
        <v>1.5</v>
      </c>
      <c r="F33" s="11">
        <v>1.5</v>
      </c>
      <c r="G33" s="11">
        <v>1</v>
      </c>
      <c r="H33" s="11">
        <v>1.4999999999999999E-2</v>
      </c>
      <c r="I33" s="118">
        <f>G33*H33*F33</f>
        <v>2.2499999999999999E-2</v>
      </c>
      <c r="J33" s="12">
        <f>I33*C33</f>
        <v>225</v>
      </c>
      <c r="K33" s="11"/>
      <c r="L33">
        <f>0.015*10000</f>
        <v>150</v>
      </c>
    </row>
    <row r="34" spans="1:12" ht="60" customHeight="1">
      <c r="A34" s="129">
        <v>4</v>
      </c>
      <c r="B34" s="127" t="str">
        <f>D8</f>
        <v>МКР 1,3 Л4-1,0 ППР1-Е (95х95х150/140) верх открытый, дно глухое</v>
      </c>
      <c r="C34" s="12">
        <v>5000</v>
      </c>
      <c r="D34" s="11" t="s">
        <v>254</v>
      </c>
      <c r="E34" s="11">
        <v>4.5</v>
      </c>
      <c r="F34" s="11">
        <f>F35</f>
        <v>2</v>
      </c>
      <c r="G34" s="11">
        <v>4</v>
      </c>
      <c r="H34" s="11">
        <f>0.03866</f>
        <v>3.866E-2</v>
      </c>
      <c r="I34" s="118">
        <f>G34*H34*F34</f>
        <v>0.30928</v>
      </c>
      <c r="J34" s="12">
        <f>I34*C34</f>
        <v>1546.4</v>
      </c>
      <c r="K34" s="11"/>
    </row>
    <row r="35" spans="1:12" ht="15" customHeight="1">
      <c r="A35" s="130">
        <v>5</v>
      </c>
      <c r="B35" s="124" t="str">
        <f>D10</f>
        <v>МКР 1,3 Л4-1,0 ППР1-Е (95х95х150/140) верх юбка, дно глухое</v>
      </c>
      <c r="C35" s="12">
        <v>7000</v>
      </c>
      <c r="D35" s="11" t="s">
        <v>254</v>
      </c>
      <c r="E35" s="11">
        <v>4.5</v>
      </c>
      <c r="F35" s="11">
        <f>0.5+1+0.5</f>
        <v>2</v>
      </c>
      <c r="G35" s="11">
        <v>4</v>
      </c>
      <c r="H35" s="11">
        <f>0.03866</f>
        <v>3.866E-2</v>
      </c>
      <c r="I35" s="118">
        <f t="shared" si="3"/>
        <v>0.30928</v>
      </c>
      <c r="J35" s="12">
        <f t="shared" ref="J35" si="4">I35*C35</f>
        <v>2164.96</v>
      </c>
      <c r="K35" s="11"/>
    </row>
    <row r="36" spans="1:12" ht="35.25" customHeight="1">
      <c r="A36" s="132"/>
      <c r="B36" s="125"/>
      <c r="C36" s="12">
        <v>7000</v>
      </c>
      <c r="D36" s="11" t="s">
        <v>260</v>
      </c>
      <c r="E36" s="11">
        <v>1.5</v>
      </c>
      <c r="F36" s="11">
        <v>2</v>
      </c>
      <c r="G36" s="11">
        <v>1</v>
      </c>
      <c r="H36" s="11">
        <v>1.4999999999999999E-2</v>
      </c>
      <c r="I36" s="118">
        <f t="shared" ref="I36:I37" si="5">G36*H36*F36</f>
        <v>0.03</v>
      </c>
      <c r="J36" s="12">
        <f t="shared" ref="J36:J37" si="6">I36*C36</f>
        <v>210</v>
      </c>
      <c r="K36" s="11"/>
    </row>
    <row r="37" spans="1:12" ht="60" customHeight="1">
      <c r="A37" s="130">
        <v>6</v>
      </c>
      <c r="B37" s="124" t="str">
        <f>D12</f>
        <v>МКР 1,3 Л4-1,0 ППР1-Е (95х95х150/140) верх загр, дно глухое</v>
      </c>
      <c r="C37" s="12">
        <v>7000</v>
      </c>
      <c r="D37" s="11" t="s">
        <v>254</v>
      </c>
      <c r="E37" s="11">
        <v>4.5</v>
      </c>
      <c r="F37" s="11">
        <f>0.5+1+0.5</f>
        <v>2</v>
      </c>
      <c r="G37" s="11">
        <v>4</v>
      </c>
      <c r="H37" s="11">
        <f>0.03866</f>
        <v>3.866E-2</v>
      </c>
      <c r="I37" s="118">
        <f t="shared" si="5"/>
        <v>0.30928</v>
      </c>
      <c r="J37" s="12">
        <f t="shared" si="6"/>
        <v>2164.96</v>
      </c>
      <c r="K37" s="11"/>
    </row>
    <row r="38" spans="1:12">
      <c r="A38" s="132"/>
      <c r="B38" s="125"/>
      <c r="C38" s="12">
        <v>7000</v>
      </c>
      <c r="D38" s="11" t="s">
        <v>260</v>
      </c>
      <c r="E38" s="11">
        <v>1.5</v>
      </c>
      <c r="F38" s="11">
        <v>1.5</v>
      </c>
      <c r="G38" s="11">
        <v>1</v>
      </c>
      <c r="H38" s="11">
        <v>1.4999999999999999E-2</v>
      </c>
      <c r="I38" s="118">
        <f t="shared" ref="I38:I39" si="7">G38*H38*F38</f>
        <v>2.2499999999999999E-2</v>
      </c>
      <c r="J38" s="12">
        <f t="shared" ref="J38:J39" si="8">I38*C38</f>
        <v>157.5</v>
      </c>
      <c r="K38" s="11"/>
    </row>
    <row r="39" spans="1:12" ht="45" customHeight="1">
      <c r="A39" s="130">
        <v>7</v>
      </c>
      <c r="B39" s="124" t="str">
        <f>D14</f>
        <v>МКР 1,3 Л4-1,0 ППР1-Е (95х95х180/140)  верх загр, низ выгр</v>
      </c>
      <c r="C39" s="12">
        <v>5000</v>
      </c>
      <c r="D39" s="11" t="s">
        <v>254</v>
      </c>
      <c r="E39" s="11">
        <v>4.5</v>
      </c>
      <c r="F39" s="11">
        <f>0.6+1.2+0.5</f>
        <v>2.2999999999999998</v>
      </c>
      <c r="G39" s="11">
        <v>4</v>
      </c>
      <c r="H39" s="11">
        <f>0.03866</f>
        <v>3.866E-2</v>
      </c>
      <c r="I39" s="118">
        <f t="shared" si="7"/>
        <v>0.35567199999999999</v>
      </c>
      <c r="J39" s="12">
        <f t="shared" si="8"/>
        <v>1778.36</v>
      </c>
      <c r="K39" s="11"/>
    </row>
    <row r="40" spans="1:12">
      <c r="A40" s="131"/>
      <c r="B40" s="126"/>
      <c r="C40" s="12">
        <v>10000</v>
      </c>
      <c r="D40" s="11" t="s">
        <v>260</v>
      </c>
      <c r="E40" s="11">
        <v>1.5</v>
      </c>
      <c r="F40" s="11">
        <v>1.5</v>
      </c>
      <c r="G40" s="11">
        <v>1</v>
      </c>
      <c r="H40" s="11">
        <v>1.4999999999999999E-2</v>
      </c>
      <c r="I40" s="118">
        <f t="shared" ref="I40:I41" si="9">G40*H40*F40</f>
        <v>2.2499999999999999E-2</v>
      </c>
      <c r="J40" s="12">
        <f t="shared" ref="J40" si="10">I40*C40</f>
        <v>225</v>
      </c>
      <c r="K40" s="11"/>
    </row>
    <row r="41" spans="1:12" ht="45" customHeight="1">
      <c r="A41" s="97">
        <v>8</v>
      </c>
      <c r="B41" s="119" t="str">
        <f>D16</f>
        <v>МКР 1,3 Л4-1,0 ППР1-Е (95х95х130/140) верх загр, дно глухое</v>
      </c>
      <c r="C41" s="12">
        <v>5000</v>
      </c>
      <c r="D41" s="11" t="s">
        <v>254</v>
      </c>
      <c r="E41" s="11">
        <v>4.5</v>
      </c>
      <c r="F41" s="11">
        <f>0.45+0.9+0.5</f>
        <v>1.85</v>
      </c>
      <c r="G41" s="11">
        <v>4</v>
      </c>
      <c r="H41" s="11">
        <f>0.03866</f>
        <v>3.866E-2</v>
      </c>
      <c r="I41" s="118">
        <f t="shared" si="9"/>
        <v>0.286084</v>
      </c>
      <c r="J41" s="12">
        <f>I41*C41</f>
        <v>1430.42</v>
      </c>
      <c r="K41" s="11"/>
    </row>
    <row r="42" spans="1:12">
      <c r="A42" s="97"/>
      <c r="B42" s="119"/>
      <c r="C42" s="12">
        <v>5000</v>
      </c>
      <c r="D42" s="11" t="s">
        <v>260</v>
      </c>
      <c r="E42" s="11">
        <v>1.5</v>
      </c>
      <c r="F42" s="11">
        <v>1.5</v>
      </c>
      <c r="G42" s="11">
        <v>1</v>
      </c>
      <c r="H42" s="11">
        <v>1.4999999999999999E-2</v>
      </c>
      <c r="I42" s="118">
        <f>G42*H42*F42</f>
        <v>2.2499999999999999E-2</v>
      </c>
      <c r="J42" s="12">
        <f>I42*C42</f>
        <v>112.5</v>
      </c>
      <c r="K42" s="11"/>
    </row>
    <row r="43" spans="1:12" ht="15" customHeight="1">
      <c r="A43" s="130">
        <v>9</v>
      </c>
      <c r="B43" s="124" t="str">
        <f>D18</f>
        <v>МКР 1,3 Л4-1,0 ППР1-Е (95х95х130/160) верх юбка, дно глухое</v>
      </c>
      <c r="C43" s="12">
        <f>G18</f>
        <v>5000</v>
      </c>
      <c r="D43" s="11" t="s">
        <v>254</v>
      </c>
      <c r="E43" s="11">
        <v>4.5</v>
      </c>
      <c r="F43" s="11">
        <f>0.45+0.9+0.5</f>
        <v>1.85</v>
      </c>
      <c r="G43" s="11">
        <v>4</v>
      </c>
      <c r="H43" s="11">
        <f>0.03866</f>
        <v>3.866E-2</v>
      </c>
      <c r="I43" s="118">
        <f t="shared" ref="I43:I45" si="11">G43*H43*F43</f>
        <v>0.286084</v>
      </c>
      <c r="J43" s="12">
        <f t="shared" ref="J43:J44" si="12">I43*C43</f>
        <v>1430.42</v>
      </c>
      <c r="K43" s="11"/>
    </row>
    <row r="44" spans="1:12" ht="35.25" customHeight="1">
      <c r="A44" s="131"/>
      <c r="B44" s="125"/>
      <c r="C44" s="12">
        <v>5000</v>
      </c>
      <c r="D44" s="11" t="s">
        <v>260</v>
      </c>
      <c r="E44" s="11">
        <v>1.5</v>
      </c>
      <c r="F44" s="11">
        <v>2</v>
      </c>
      <c r="G44" s="11">
        <v>1</v>
      </c>
      <c r="H44" s="11">
        <v>1.4999999999999999E-2</v>
      </c>
      <c r="I44" s="118">
        <f t="shared" si="11"/>
        <v>0.03</v>
      </c>
      <c r="J44" s="12">
        <f t="shared" si="12"/>
        <v>150</v>
      </c>
      <c r="K44" s="11"/>
    </row>
    <row r="45" spans="1:12" ht="15" customHeight="1">
      <c r="A45" s="130">
        <v>10</v>
      </c>
      <c r="B45" s="124" t="str">
        <f>D20</f>
        <v>МКР 1,3 Л4-1,0 ППР1-Е (95х95х130/160) верх загр, низ выгр</v>
      </c>
      <c r="C45" s="12">
        <v>5000</v>
      </c>
      <c r="D45" s="11" t="s">
        <v>254</v>
      </c>
      <c r="E45" s="11">
        <v>4.5</v>
      </c>
      <c r="F45" s="11">
        <f>0.45+0.9+0.5</f>
        <v>1.85</v>
      </c>
      <c r="G45" s="11">
        <v>4</v>
      </c>
      <c r="H45" s="11">
        <f>0.03866</f>
        <v>3.866E-2</v>
      </c>
      <c r="I45" s="118">
        <f t="shared" si="11"/>
        <v>0.286084</v>
      </c>
      <c r="J45" s="12">
        <f>I45*C45</f>
        <v>1430.42</v>
      </c>
      <c r="K45" s="11"/>
    </row>
    <row r="46" spans="1:12" ht="33.75" customHeight="1">
      <c r="A46" s="132"/>
      <c r="B46" s="125"/>
      <c r="C46" s="12">
        <v>5000</v>
      </c>
      <c r="D46" s="11" t="s">
        <v>260</v>
      </c>
      <c r="E46" s="11">
        <v>1.5</v>
      </c>
      <c r="F46" s="11">
        <v>1.5</v>
      </c>
      <c r="G46" s="11">
        <v>1</v>
      </c>
      <c r="H46" s="11">
        <v>1.4999999999999999E-2</v>
      </c>
      <c r="I46" s="118">
        <f>G46*H46*F46</f>
        <v>2.2499999999999999E-2</v>
      </c>
      <c r="J46" s="12">
        <f>I46*C46</f>
        <v>112.5</v>
      </c>
      <c r="K46" s="11"/>
    </row>
    <row r="47" spans="1:12">
      <c r="A47" s="134" t="s">
        <v>87</v>
      </c>
      <c r="B47" s="128"/>
      <c r="C47" s="13">
        <f>SUM(C29:C46)</f>
        <v>138000</v>
      </c>
      <c r="I47" s="118">
        <f>E47*F47*G47*H47</f>
        <v>0</v>
      </c>
      <c r="J47" s="12">
        <f>SUM(J29:J46)</f>
        <v>22320.959999999999</v>
      </c>
      <c r="K47" t="s">
        <v>261</v>
      </c>
    </row>
    <row r="48" spans="1:12">
      <c r="C48" s="13"/>
      <c r="I48" s="135" t="str">
        <f>D45</f>
        <v xml:space="preserve">ПФ ТЛБ 4,5см </v>
      </c>
      <c r="J48" s="136">
        <f>J29+J30+J32+J34+J35+J37+J39+J41+J43+J45</f>
        <v>20528.46</v>
      </c>
      <c r="K48">
        <v>5</v>
      </c>
      <c r="L48" s="138">
        <f>'план производства '!D9</f>
        <v>21554.882999999998</v>
      </c>
    </row>
    <row r="49" spans="3:12">
      <c r="C49" s="13"/>
      <c r="I49" s="137" t="str">
        <f>D46</f>
        <v xml:space="preserve">ПФ ТЛБ 1,5см </v>
      </c>
      <c r="J49" s="136">
        <f>J46+J44+J42+J40+J36+J33+J31+J38</f>
        <v>1792.5</v>
      </c>
      <c r="K49">
        <v>5</v>
      </c>
      <c r="L49" s="138">
        <f>'план производства '!D10</f>
        <v>1882.125</v>
      </c>
    </row>
    <row r="50" spans="3:12">
      <c r="C50" s="13"/>
    </row>
    <row r="51" spans="3:12">
      <c r="C51" s="13"/>
    </row>
    <row r="52" spans="3:12">
      <c r="C52" s="13"/>
    </row>
    <row r="53" spans="3:12">
      <c r="C53" s="13"/>
    </row>
  </sheetData>
  <mergeCells count="68">
    <mergeCell ref="B39:B40"/>
    <mergeCell ref="B45:B46"/>
    <mergeCell ref="A45:A46"/>
    <mergeCell ref="B30:B31"/>
    <mergeCell ref="A30:A31"/>
    <mergeCell ref="A32:A33"/>
    <mergeCell ref="B32:B33"/>
    <mergeCell ref="B35:B36"/>
    <mergeCell ref="A35:A36"/>
    <mergeCell ref="B37:B38"/>
    <mergeCell ref="A37:A38"/>
    <mergeCell ref="B41:B42"/>
    <mergeCell ref="A41:A42"/>
    <mergeCell ref="B43:B44"/>
    <mergeCell ref="A43:A44"/>
    <mergeCell ref="A39:A40"/>
    <mergeCell ref="A22:A25"/>
    <mergeCell ref="B22:B25"/>
    <mergeCell ref="C22:C23"/>
    <mergeCell ref="D22:D23"/>
    <mergeCell ref="E22:E23"/>
    <mergeCell ref="J22:J23"/>
    <mergeCell ref="C24:C25"/>
    <mergeCell ref="D24:D25"/>
    <mergeCell ref="E24:E25"/>
    <mergeCell ref="J24:J25"/>
    <mergeCell ref="C18:C19"/>
    <mergeCell ref="D18:D19"/>
    <mergeCell ref="E18:E19"/>
    <mergeCell ref="J18:J19"/>
    <mergeCell ref="C20:C21"/>
    <mergeCell ref="D20:D21"/>
    <mergeCell ref="E20:E21"/>
    <mergeCell ref="J20:J21"/>
    <mergeCell ref="C14:C15"/>
    <mergeCell ref="D14:D15"/>
    <mergeCell ref="E14:E15"/>
    <mergeCell ref="J14:J15"/>
    <mergeCell ref="C16:C17"/>
    <mergeCell ref="D16:D17"/>
    <mergeCell ref="E16:E17"/>
    <mergeCell ref="J16:J17"/>
    <mergeCell ref="C10:C11"/>
    <mergeCell ref="D10:D11"/>
    <mergeCell ref="E10:E11"/>
    <mergeCell ref="J10:J11"/>
    <mergeCell ref="C12:C13"/>
    <mergeCell ref="D12:D13"/>
    <mergeCell ref="E12:E13"/>
    <mergeCell ref="J12:J13"/>
    <mergeCell ref="C6:C7"/>
    <mergeCell ref="D6:D7"/>
    <mergeCell ref="E6:E7"/>
    <mergeCell ref="J6:J7"/>
    <mergeCell ref="C8:C9"/>
    <mergeCell ref="D8:D9"/>
    <mergeCell ref="E8:E9"/>
    <mergeCell ref="J8:J9"/>
    <mergeCell ref="A2:A21"/>
    <mergeCell ref="B2:B21"/>
    <mergeCell ref="C2:C3"/>
    <mergeCell ref="D2:D3"/>
    <mergeCell ref="E2:E3"/>
    <mergeCell ref="J2:J3"/>
    <mergeCell ref="C4:C5"/>
    <mergeCell ref="D4:D5"/>
    <mergeCell ref="E4:E5"/>
    <mergeCell ref="J4:J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план продаж</vt:lpstr>
      <vt:lpstr>план производства </vt:lpstr>
      <vt:lpstr>экструдер </vt:lpstr>
      <vt:lpstr>план бб</vt:lpstr>
      <vt:lpstr>план ткацкий просте станки</vt:lpstr>
      <vt:lpstr>расчет мешочное </vt:lpstr>
      <vt:lpstr>черновик с расчетами</vt:lpstr>
      <vt:lpstr>расчет бб</vt:lpstr>
      <vt:lpstr>раскрой бб</vt:lpstr>
      <vt:lpstr>тлб лента</vt:lpstr>
    </vt:vector>
  </TitlesOfParts>
  <Company>Reanimator Extreme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2025-05-30T04:20:44Z</dcterms:created>
  <dcterms:modified xsi:type="dcterms:W3CDTF">2025-06-02T05:03:37Z</dcterms:modified>
</cp:coreProperties>
</file>