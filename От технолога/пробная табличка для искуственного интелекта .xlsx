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65" yWindow="180" windowWidth="15120" windowHeight="8010" activeTab="1"/>
  </bookViews>
  <sheets>
    <sheet name="план продаж" sheetId="1" r:id="rId1"/>
    <sheet name="сырье" sheetId="6" r:id="rId2"/>
    <sheet name="план производства" sheetId="2" r:id="rId3"/>
    <sheet name="МФН нити прошивочные" sheetId="5" r:id="rId4"/>
    <sheet name="лента" sheetId="3" r:id="rId5"/>
    <sheet name="чехол стропа" sheetId="4" r:id="rId6"/>
    <sheet name="ткацкий" sheetId="7" r:id="rId7"/>
    <sheet name="экструзия" sheetId="8" r:id="rId8"/>
  </sheets>
  <calcPr calcId="124519"/>
</workbook>
</file>

<file path=xl/calcChain.xml><?xml version="1.0" encoding="utf-8"?>
<calcChain xmlns="http://schemas.openxmlformats.org/spreadsheetml/2006/main">
  <c r="C8" i="6"/>
  <c r="C7"/>
  <c r="C6"/>
  <c r="F9" i="2"/>
  <c r="C3" i="6" s="1"/>
  <c r="X7" i="8"/>
  <c r="Y7"/>
  <c r="U7"/>
  <c r="W7"/>
  <c r="V7"/>
  <c r="I11" i="2"/>
  <c r="J11" s="1"/>
  <c r="F8"/>
  <c r="R7" i="7"/>
  <c r="I10" i="2"/>
  <c r="F10"/>
  <c r="M7" i="7"/>
  <c r="C4" i="6" l="1"/>
  <c r="J10" i="2"/>
  <c r="I9"/>
  <c r="V3" i="8"/>
  <c r="W3"/>
  <c r="V4"/>
  <c r="W4"/>
  <c r="V5"/>
  <c r="W5"/>
  <c r="V6"/>
  <c r="W6"/>
  <c r="J9" i="2" l="1"/>
  <c r="C5" i="6"/>
  <c r="W2" i="8"/>
  <c r="V2" l="1"/>
  <c r="I3" l="1"/>
  <c r="I4"/>
  <c r="I5"/>
  <c r="I6"/>
  <c r="I2"/>
  <c r="U3" l="1"/>
  <c r="U4"/>
  <c r="U5"/>
  <c r="U6"/>
  <c r="U2" l="1"/>
  <c r="G3" l="1"/>
  <c r="G4"/>
  <c r="G5"/>
  <c r="G6"/>
  <c r="G2"/>
  <c r="I8" i="2"/>
  <c r="J8" s="1"/>
  <c r="C8"/>
  <c r="R4" i="7"/>
  <c r="R3"/>
  <c r="R5"/>
  <c r="R6"/>
  <c r="R2"/>
  <c r="Q4"/>
  <c r="Q6"/>
  <c r="Q5"/>
  <c r="Q3"/>
  <c r="Q2"/>
  <c r="F7" i="2"/>
  <c r="O2" i="5"/>
  <c r="O3"/>
  <c r="O5"/>
  <c r="O6"/>
  <c r="O6" i="4"/>
  <c r="P6" s="1"/>
  <c r="O5"/>
  <c r="O3"/>
  <c r="P3"/>
  <c r="P4"/>
  <c r="P5"/>
  <c r="P2"/>
  <c r="O2"/>
  <c r="N4"/>
  <c r="L4"/>
  <c r="I7" i="2"/>
  <c r="P2" i="3"/>
  <c r="P3"/>
  <c r="P5"/>
  <c r="P6"/>
  <c r="P4"/>
  <c r="N4"/>
  <c r="L4"/>
  <c r="O4" i="1"/>
  <c r="M4"/>
  <c r="O4" i="5"/>
  <c r="I3" i="2"/>
  <c r="J3" s="1"/>
  <c r="I4"/>
  <c r="J4" s="1"/>
  <c r="I5"/>
  <c r="J5" s="1"/>
  <c r="I6"/>
  <c r="J6" s="1"/>
  <c r="I2"/>
  <c r="J2" s="1"/>
  <c r="Y3" i="8" l="1"/>
  <c r="X3"/>
  <c r="Y4"/>
  <c r="X4"/>
  <c r="Y5"/>
  <c r="X5"/>
  <c r="Y2"/>
  <c r="X2"/>
  <c r="Y6"/>
  <c r="X6"/>
  <c r="J7" i="2"/>
  <c r="C2" i="6"/>
</calcChain>
</file>

<file path=xl/sharedStrings.xml><?xml version="1.0" encoding="utf-8"?>
<sst xmlns="http://schemas.openxmlformats.org/spreadsheetml/2006/main" count="440" uniqueCount="123">
  <si>
    <t>Код_изделия</t>
  </si>
  <si>
    <t>Наименование</t>
  </si>
  <si>
    <t>Тип</t>
  </si>
  <si>
    <t>Количество</t>
  </si>
  <si>
    <t>Документ_основание</t>
  </si>
  <si>
    <t>FIBC-2S-1000</t>
  </si>
  <si>
    <t>Биг-бег 2-стропный 1000 кг</t>
  </si>
  <si>
    <t>Биг-бег</t>
  </si>
  <si>
    <t>100 шт</t>
  </si>
  <si>
    <t>QC-00001</t>
  </si>
  <si>
    <t>QC-00002</t>
  </si>
  <si>
    <t>FIBC-4S-1500</t>
  </si>
  <si>
    <t>Биг-бег 4-стропный 1500 кг</t>
  </si>
  <si>
    <t>1000 шт</t>
  </si>
  <si>
    <t>QC-00003</t>
  </si>
  <si>
    <t>10 шт</t>
  </si>
  <si>
    <t>QC-00004</t>
  </si>
  <si>
    <t>200 шт</t>
  </si>
  <si>
    <t>QC-00005</t>
  </si>
  <si>
    <t>пошив_стропы</t>
  </si>
  <si>
    <t>1/3</t>
  </si>
  <si>
    <t>2/3</t>
  </si>
  <si>
    <t>Размеры_ширина_МКР_см</t>
  </si>
  <si>
    <t>Размеры_высота_МКР_см</t>
  </si>
  <si>
    <t>Размеры_дно_МКР_см</t>
  </si>
  <si>
    <t>Размеры_высота_стромпы_петли_МКР_см</t>
  </si>
  <si>
    <t>поверхностная_плотность _полотна_гр/м2</t>
  </si>
  <si>
    <t>Структура_плетения_полотна</t>
  </si>
  <si>
    <t>шахматка</t>
  </si>
  <si>
    <t>обычное</t>
  </si>
  <si>
    <t>произведено_шт</t>
  </si>
  <si>
    <t>Количество_шт</t>
  </si>
  <si>
    <t>вес_10 см_шва</t>
  </si>
  <si>
    <t>размеры_МКР</t>
  </si>
  <si>
    <t>75/75/140(140)</t>
  </si>
  <si>
    <t>80/80/155(160)</t>
  </si>
  <si>
    <t>90/90/130(160)</t>
  </si>
  <si>
    <t>90/90/140(180)</t>
  </si>
  <si>
    <t>60/60/145(120)</t>
  </si>
  <si>
    <t>-</t>
  </si>
  <si>
    <t>Код_сырья</t>
  </si>
  <si>
    <t>Исполнение</t>
  </si>
  <si>
    <t>верх открытый, дно звезда</t>
  </si>
  <si>
    <t>верх открытый, дно глухое</t>
  </si>
  <si>
    <t>количество_для_производства_кг</t>
  </si>
  <si>
    <t>Количество_кг</t>
  </si>
  <si>
    <t>МФН нить</t>
  </si>
  <si>
    <t>ПП 030</t>
  </si>
  <si>
    <t>Карбонат кальция</t>
  </si>
  <si>
    <t>УФ стабилизатор</t>
  </si>
  <si>
    <t>ПП 270</t>
  </si>
  <si>
    <t>ПЭ ПВД</t>
  </si>
  <si>
    <t>лента_для исполнения_кг</t>
  </si>
  <si>
    <t>Количество_лент</t>
  </si>
  <si>
    <t>вес_1_метра_стропы_кг</t>
  </si>
  <si>
    <t>%_исполнения</t>
  </si>
  <si>
    <t>плоскоткацкий</t>
  </si>
  <si>
    <t>размеры_см</t>
  </si>
  <si>
    <t>лента</t>
  </si>
  <si>
    <t>ST-50-BLUE</t>
  </si>
  <si>
    <t>Стропа 50мм голубая</t>
  </si>
  <si>
    <t>вес_1_шт_кг</t>
  </si>
  <si>
    <t>Количество_строп</t>
  </si>
  <si>
    <t>защитный слой стропы  ламинат  синий</t>
  </si>
  <si>
    <t>30/30(90)</t>
  </si>
  <si>
    <t>PL-00001-BLUE</t>
  </si>
  <si>
    <t>пплам полотно синее</t>
  </si>
  <si>
    <t>TK-150-140-WHT</t>
  </si>
  <si>
    <t>Ткань рукав 150см 140г/м² белая</t>
  </si>
  <si>
    <t>Код_ткани</t>
  </si>
  <si>
    <t>наименование</t>
  </si>
  <si>
    <t>Длина-заготовки_1шт_м</t>
  </si>
  <si>
    <t>TK-160-160-WHT</t>
  </si>
  <si>
    <t>TK-180-160-WHT</t>
  </si>
  <si>
    <t>TK-180-180-WHT</t>
  </si>
  <si>
    <t>TK-120-120-WHT</t>
  </si>
  <si>
    <t>Ткань рукав 180см 160г/м² белая</t>
  </si>
  <si>
    <t>длина_на_исполнение_заказа_м</t>
  </si>
  <si>
    <t>полотно_количество_слоев_шт</t>
  </si>
  <si>
    <t>TK-WHT</t>
  </si>
  <si>
    <t>Ткань рукав белая</t>
  </si>
  <si>
    <t>нить_основа_мм</t>
  </si>
  <si>
    <t>нить_основа_Дн</t>
  </si>
  <si>
    <t>количество_нити_основы_на_10см_шт</t>
  </si>
  <si>
    <t>нить_уток_мм</t>
  </si>
  <si>
    <t>нить_уток_Дн</t>
  </si>
  <si>
    <t>количество_нити_утка_на_10см_шт</t>
  </si>
  <si>
    <t>плотность_полотна_гр/м2</t>
  </si>
  <si>
    <t>Ткань фальц 75см 140г/м² белая</t>
  </si>
  <si>
    <t>Ткань фальц 80см 160г/м² белая</t>
  </si>
  <si>
    <t>Ткань фальц 90см 180г/м² белая</t>
  </si>
  <si>
    <t>Ткань фальц 60см 120г/м² белая</t>
  </si>
  <si>
    <t>ширина_полотна_в_развороте_м</t>
  </si>
  <si>
    <t>ширина полотна_в_развороте_мм</t>
  </si>
  <si>
    <t>плотность_полотна_математически_расчетная_гр/м2</t>
  </si>
  <si>
    <t>денье_м</t>
  </si>
  <si>
    <t>разрывная_основы_КГС</t>
  </si>
  <si>
    <t>разрывная_утка_КГС</t>
  </si>
  <si>
    <t>нить_основы_кг</t>
  </si>
  <si>
    <t>нить_оутка_кг</t>
  </si>
  <si>
    <t>количество_нитей_основы_на_заправку_шт</t>
  </si>
  <si>
    <t>NIT-1650-WHT</t>
  </si>
  <si>
    <t>NIT-1570-WHT</t>
  </si>
  <si>
    <t>NIT-1800-WHT</t>
  </si>
  <si>
    <t>NIT-2000-WHT</t>
  </si>
  <si>
    <t>NIT-1350-WHT</t>
  </si>
  <si>
    <t>NIT-1600-WHT</t>
  </si>
  <si>
    <t>код_нити_утка</t>
  </si>
  <si>
    <t>код_нити_основы</t>
  </si>
  <si>
    <t>NIT-WHT</t>
  </si>
  <si>
    <t>нить</t>
  </si>
  <si>
    <t>раскрой</t>
  </si>
  <si>
    <t>крой</t>
  </si>
  <si>
    <t>TK-98-78-WHT</t>
  </si>
  <si>
    <t>Ткань рукав 196см 78г/м² белая</t>
  </si>
  <si>
    <t>TK-98-72-WHT</t>
  </si>
  <si>
    <t>Ткань рукав 98см 72г/м² белая</t>
  </si>
  <si>
    <t>NIT-950-BLUE</t>
  </si>
  <si>
    <t>краситель синий</t>
  </si>
  <si>
    <t>ед_измерения</t>
  </si>
  <si>
    <t>шт</t>
  </si>
  <si>
    <t>кг</t>
  </si>
  <si>
    <t>м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</si>
</sst>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5">
    <font>
      <sz val="11"/>
      <color theme="1"/>
      <name val="Calibri"/>
      <family val="2"/>
      <charset val="204"/>
      <scheme val="minor"/>
    </font>
    <font>
      <b/>
      <sz val="14"/>
      <color rgb="FFFFFFFF"/>
      <name val="Roboto"/>
    </font>
    <font>
      <sz val="10"/>
      <color theme="1"/>
      <name val="Arial"/>
      <family val="2"/>
      <charset val="204"/>
    </font>
    <font>
      <sz val="10"/>
      <color rgb="FFFFFFFF"/>
      <name val="Arial"/>
      <family val="2"/>
      <charset val="204"/>
    </font>
    <font>
      <b/>
      <sz val="12"/>
      <color rgb="FF00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98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000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wrapText="1"/>
    </xf>
    <xf numFmtId="165" fontId="2" fillId="0" borderId="2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2" fillId="0" borderId="1" xfId="0" applyNumberFormat="1" applyFont="1" applyBorder="1" applyAlignment="1">
      <alignment horizontal="center" vertical="center" wrapText="1"/>
    </xf>
    <xf numFmtId="1" fontId="2" fillId="0" borderId="2" xfId="0" applyNumberFormat="1" applyFont="1" applyFill="1" applyBorder="1" applyAlignment="1">
      <alignment horizontal="center" vertical="center" wrapText="1"/>
    </xf>
    <xf numFmtId="14" fontId="1" fillId="2" borderId="3" xfId="0" applyNumberFormat="1" applyFont="1" applyFill="1" applyBorder="1" applyAlignment="1">
      <alignment horizontal="center" vertical="center" wrapText="1"/>
    </xf>
    <xf numFmtId="14" fontId="1" fillId="2" borderId="0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2" fillId="0" borderId="2" xfId="0" applyFont="1" applyFill="1" applyBorder="1" applyAlignment="1">
      <alignment horizontal="center" vertical="center" wrapText="1"/>
    </xf>
    <xf numFmtId="165" fontId="0" fillId="0" borderId="0" xfId="0" applyNumberFormat="1"/>
    <xf numFmtId="165" fontId="2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zoomScale="80" zoomScaleNormal="80" workbookViewId="0">
      <selection sqref="A1:Q6"/>
    </sheetView>
  </sheetViews>
  <sheetFormatPr defaultRowHeight="15"/>
  <cols>
    <col min="1" max="1" width="20.28515625" customWidth="1"/>
    <col min="2" max="2" width="33.42578125" customWidth="1"/>
    <col min="4" max="4" width="15.28515625" customWidth="1"/>
    <col min="5" max="5" width="22.7109375" customWidth="1"/>
    <col min="6" max="6" width="21.5703125" customWidth="1"/>
    <col min="7" max="11" width="33.42578125" customWidth="1"/>
    <col min="12" max="13" width="12.5703125" customWidth="1"/>
    <col min="14" max="15" width="13" customWidth="1"/>
    <col min="16" max="16" width="14.7109375" customWidth="1"/>
    <col min="17" max="17" width="18.85546875" customWidth="1"/>
  </cols>
  <sheetData>
    <row r="1" spans="1:17" ht="36.75" thickBot="1">
      <c r="A1" s="1" t="s">
        <v>0</v>
      </c>
      <c r="B1" s="1" t="s">
        <v>1</v>
      </c>
      <c r="C1" s="1" t="s">
        <v>2</v>
      </c>
      <c r="D1" s="1" t="s">
        <v>33</v>
      </c>
      <c r="E1" s="1" t="s">
        <v>41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2" t="s">
        <v>19</v>
      </c>
      <c r="M1" s="2" t="s">
        <v>19</v>
      </c>
      <c r="N1" s="2" t="s">
        <v>19</v>
      </c>
      <c r="O1" s="2" t="s">
        <v>19</v>
      </c>
      <c r="P1" s="1" t="s">
        <v>3</v>
      </c>
      <c r="Q1" s="1" t="s">
        <v>4</v>
      </c>
    </row>
    <row r="2" spans="1:17" ht="26.25" thickBot="1">
      <c r="A2" s="3" t="s">
        <v>5</v>
      </c>
      <c r="B2" s="3" t="s">
        <v>6</v>
      </c>
      <c r="C2" s="3" t="s">
        <v>7</v>
      </c>
      <c r="D2" s="3" t="s">
        <v>34</v>
      </c>
      <c r="E2" s="3" t="s">
        <v>42</v>
      </c>
      <c r="F2" s="3">
        <v>75</v>
      </c>
      <c r="G2" s="3">
        <v>140</v>
      </c>
      <c r="H2" s="3">
        <v>75</v>
      </c>
      <c r="I2" s="3">
        <v>50</v>
      </c>
      <c r="J2" s="3">
        <v>140</v>
      </c>
      <c r="K2" s="3" t="s">
        <v>28</v>
      </c>
      <c r="L2" s="4" t="s">
        <v>39</v>
      </c>
      <c r="M2" s="4"/>
      <c r="N2" s="4" t="s">
        <v>39</v>
      </c>
      <c r="O2" s="4"/>
      <c r="P2" s="3" t="s">
        <v>8</v>
      </c>
      <c r="Q2" s="3" t="s">
        <v>9</v>
      </c>
    </row>
    <row r="3" spans="1:17" ht="26.25" thickBot="1">
      <c r="A3" s="3" t="s">
        <v>5</v>
      </c>
      <c r="B3" s="3" t="s">
        <v>6</v>
      </c>
      <c r="C3" s="3" t="s">
        <v>7</v>
      </c>
      <c r="D3" s="3" t="s">
        <v>35</v>
      </c>
      <c r="E3" s="3" t="s">
        <v>42</v>
      </c>
      <c r="F3" s="3">
        <v>80</v>
      </c>
      <c r="G3" s="3">
        <v>155</v>
      </c>
      <c r="H3" s="3">
        <v>80</v>
      </c>
      <c r="I3" s="3">
        <v>55</v>
      </c>
      <c r="J3" s="3">
        <v>160</v>
      </c>
      <c r="K3" s="3" t="s">
        <v>28</v>
      </c>
      <c r="L3" s="4" t="s">
        <v>39</v>
      </c>
      <c r="M3" s="4"/>
      <c r="N3" s="4" t="s">
        <v>39</v>
      </c>
      <c r="O3" s="4"/>
      <c r="P3" s="3" t="s">
        <v>8</v>
      </c>
      <c r="Q3" s="3" t="s">
        <v>10</v>
      </c>
    </row>
    <row r="4" spans="1:17" ht="26.25" thickBot="1">
      <c r="A4" s="3" t="s">
        <v>11</v>
      </c>
      <c r="B4" s="3" t="s">
        <v>12</v>
      </c>
      <c r="C4" s="3" t="s">
        <v>7</v>
      </c>
      <c r="D4" s="3" t="s">
        <v>36</v>
      </c>
      <c r="E4" s="3" t="s">
        <v>43</v>
      </c>
      <c r="F4" s="3">
        <v>90</v>
      </c>
      <c r="G4" s="3">
        <v>130</v>
      </c>
      <c r="H4" s="3">
        <v>90</v>
      </c>
      <c r="I4" s="3">
        <v>25</v>
      </c>
      <c r="J4" s="3">
        <v>160</v>
      </c>
      <c r="K4" s="3" t="s">
        <v>29</v>
      </c>
      <c r="L4" s="4" t="s">
        <v>20</v>
      </c>
      <c r="M4" s="6">
        <f>1/3</f>
        <v>0.33333333333333331</v>
      </c>
      <c r="N4" s="4" t="s">
        <v>21</v>
      </c>
      <c r="O4" s="6">
        <f>2/3</f>
        <v>0.66666666666666663</v>
      </c>
      <c r="P4" s="3" t="s">
        <v>13</v>
      </c>
      <c r="Q4" s="3" t="s">
        <v>14</v>
      </c>
    </row>
    <row r="5" spans="1:17" ht="26.25" thickBot="1">
      <c r="A5" s="3" t="s">
        <v>5</v>
      </c>
      <c r="B5" s="3" t="s">
        <v>6</v>
      </c>
      <c r="C5" s="3" t="s">
        <v>7</v>
      </c>
      <c r="D5" s="3" t="s">
        <v>37</v>
      </c>
      <c r="E5" s="3" t="s">
        <v>42</v>
      </c>
      <c r="F5" s="3">
        <v>90</v>
      </c>
      <c r="G5" s="3">
        <v>140</v>
      </c>
      <c r="H5" s="3">
        <v>90</v>
      </c>
      <c r="I5" s="3">
        <v>60</v>
      </c>
      <c r="J5" s="3">
        <v>180</v>
      </c>
      <c r="K5" s="3" t="s">
        <v>28</v>
      </c>
      <c r="L5" s="4" t="s">
        <v>39</v>
      </c>
      <c r="M5" s="4"/>
      <c r="N5" s="4" t="s">
        <v>39</v>
      </c>
      <c r="O5" s="4"/>
      <c r="P5" s="3" t="s">
        <v>15</v>
      </c>
      <c r="Q5" s="3" t="s">
        <v>16</v>
      </c>
    </row>
    <row r="6" spans="1:17" ht="26.25" thickBot="1">
      <c r="A6" s="3" t="s">
        <v>5</v>
      </c>
      <c r="B6" s="3" t="s">
        <v>6</v>
      </c>
      <c r="C6" s="3" t="s">
        <v>7</v>
      </c>
      <c r="D6" s="3" t="s">
        <v>38</v>
      </c>
      <c r="E6" s="3" t="s">
        <v>42</v>
      </c>
      <c r="F6" s="3">
        <v>60</v>
      </c>
      <c r="G6" s="3">
        <v>145</v>
      </c>
      <c r="H6" s="3">
        <v>60</v>
      </c>
      <c r="I6" s="3">
        <v>50</v>
      </c>
      <c r="J6" s="3">
        <v>120</v>
      </c>
      <c r="K6" s="3" t="s">
        <v>28</v>
      </c>
      <c r="L6" s="4" t="s">
        <v>39</v>
      </c>
      <c r="M6" s="4"/>
      <c r="N6" s="4" t="s">
        <v>39</v>
      </c>
      <c r="O6" s="4"/>
      <c r="P6" s="3" t="s">
        <v>17</v>
      </c>
      <c r="Q6" s="3" t="s">
        <v>18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>
      <selection activeCell="B15" sqref="B15"/>
    </sheetView>
  </sheetViews>
  <sheetFormatPr defaultRowHeight="15"/>
  <cols>
    <col min="1" max="1" width="15.28515625" customWidth="1"/>
    <col min="2" max="2" width="18" customWidth="1"/>
    <col min="3" max="3" width="13.140625" customWidth="1"/>
  </cols>
  <sheetData>
    <row r="1" spans="1:3" ht="36.75" thickBot="1">
      <c r="A1" s="1" t="s">
        <v>40</v>
      </c>
      <c r="B1" s="1" t="s">
        <v>1</v>
      </c>
      <c r="C1" s="1" t="s">
        <v>45</v>
      </c>
    </row>
    <row r="2" spans="1:3" ht="15.75" thickBot="1">
      <c r="A2" s="3"/>
      <c r="B2" s="3" t="s">
        <v>46</v>
      </c>
      <c r="C2" s="6">
        <f>'МФН нити прошивочные'!O2+'МФН нити прошивочные'!O3+'МФН нити прошивочные'!O4+'МФН нити прошивочные'!O5+'МФН нити прошивочные'!O6+(лента!P2*7/100)+(лента!P3*7/100)+(лента!P4*7/100)+(лента!P5*7/100)+(лента!P6*7/100)</f>
        <v>92.915199999999999</v>
      </c>
    </row>
    <row r="3" spans="1:3" ht="15.75" thickBot="1">
      <c r="A3" s="3"/>
      <c r="B3" s="3" t="s">
        <v>47</v>
      </c>
      <c r="C3" s="19">
        <f>(92*'план производства'!F9)/100+(91*((экструзия!X7+экструзия!Y7)/100))</f>
        <v>2986.4169178365592</v>
      </c>
    </row>
    <row r="4" spans="1:3" ht="15.75" thickBot="1">
      <c r="A4" s="3"/>
      <c r="B4" s="3" t="s">
        <v>48</v>
      </c>
      <c r="C4" s="19">
        <f>(4*'план производства'!F9)/100</f>
        <v>129.63809363154121</v>
      </c>
    </row>
    <row r="5" spans="1:3" ht="15.75" thickBot="1">
      <c r="A5" s="3"/>
      <c r="B5" s="3" t="s">
        <v>49</v>
      </c>
      <c r="C5" s="19">
        <f>(2*'план производства'!F9)/100</f>
        <v>64.819046815770605</v>
      </c>
    </row>
    <row r="6" spans="1:3" ht="15.75" thickBot="1">
      <c r="A6" s="3"/>
      <c r="B6" s="3" t="s">
        <v>118</v>
      </c>
      <c r="C6" s="6">
        <f>1*(SUM(экструзия!X7:Y7)/100)</f>
        <v>5.2096311111111113E-2</v>
      </c>
    </row>
    <row r="7" spans="1:3" ht="15.75" thickBot="1">
      <c r="A7" s="3"/>
      <c r="B7" s="3" t="s">
        <v>50</v>
      </c>
      <c r="C7" s="6">
        <f>(38*0.0392)*85/100</f>
        <v>1.26616</v>
      </c>
    </row>
    <row r="8" spans="1:3" ht="15.75" thickBot="1">
      <c r="A8" s="3"/>
      <c r="B8" s="3" t="s">
        <v>51</v>
      </c>
      <c r="C8" s="6">
        <f>(38*0.0392)*15/100</f>
        <v>0.22344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T11"/>
  <sheetViews>
    <sheetView workbookViewId="0">
      <selection activeCell="G13" sqref="G13"/>
    </sheetView>
  </sheetViews>
  <sheetFormatPr defaultRowHeight="15"/>
  <cols>
    <col min="1" max="1" width="18.42578125" customWidth="1"/>
    <col min="2" max="4" width="21.28515625" customWidth="1"/>
    <col min="5" max="5" width="22.7109375" customWidth="1"/>
    <col min="6" max="8" width="13.140625" customWidth="1"/>
    <col min="9" max="10" width="15.85546875" customWidth="1"/>
    <col min="11" max="12" width="12" customWidth="1"/>
  </cols>
  <sheetData>
    <row r="1" spans="1:72" ht="54.75" thickBot="1">
      <c r="A1" s="1" t="s">
        <v>0</v>
      </c>
      <c r="B1" s="1" t="s">
        <v>1</v>
      </c>
      <c r="C1" s="1" t="s">
        <v>2</v>
      </c>
      <c r="D1" s="1" t="s">
        <v>57</v>
      </c>
      <c r="E1" s="1" t="s">
        <v>41</v>
      </c>
      <c r="F1" s="1" t="s">
        <v>3</v>
      </c>
      <c r="G1" s="1" t="s">
        <v>119</v>
      </c>
      <c r="H1" s="1" t="s">
        <v>4</v>
      </c>
      <c r="I1" s="1" t="s">
        <v>30</v>
      </c>
      <c r="J1" s="8" t="s">
        <v>55</v>
      </c>
      <c r="K1" s="14">
        <v>45658</v>
      </c>
      <c r="L1" s="15"/>
      <c r="M1" s="14">
        <v>45659</v>
      </c>
      <c r="N1" s="15"/>
      <c r="O1" s="14">
        <v>45660</v>
      </c>
      <c r="P1" s="15"/>
      <c r="Q1" s="14">
        <v>45661</v>
      </c>
      <c r="R1" s="15"/>
      <c r="S1" s="14">
        <v>45662</v>
      </c>
      <c r="T1" s="15"/>
      <c r="U1" s="14">
        <v>45663</v>
      </c>
      <c r="V1" s="15"/>
      <c r="W1" s="14">
        <v>45664</v>
      </c>
      <c r="X1" s="15"/>
      <c r="Y1" s="14">
        <v>45665</v>
      </c>
      <c r="Z1" s="15"/>
      <c r="AA1" s="14">
        <v>45666</v>
      </c>
      <c r="AB1" s="15"/>
      <c r="AC1" s="14">
        <v>45667</v>
      </c>
      <c r="AD1" s="15"/>
      <c r="AE1" s="14">
        <v>45668</v>
      </c>
      <c r="AF1" s="15"/>
      <c r="AG1" s="14">
        <v>45669</v>
      </c>
      <c r="AH1" s="15"/>
      <c r="AI1" s="14">
        <v>45670</v>
      </c>
      <c r="AJ1" s="15"/>
      <c r="AK1" s="14">
        <v>45671</v>
      </c>
      <c r="AL1" s="15"/>
      <c r="AM1" s="14">
        <v>45672</v>
      </c>
      <c r="AN1" s="15"/>
      <c r="AO1" s="14">
        <v>45673</v>
      </c>
      <c r="AP1" s="15"/>
      <c r="AQ1" s="14">
        <v>45674</v>
      </c>
      <c r="AR1" s="15"/>
      <c r="AS1" s="14">
        <v>45675</v>
      </c>
      <c r="AT1" s="15"/>
      <c r="AU1" s="14">
        <v>45676</v>
      </c>
      <c r="AV1" s="15"/>
      <c r="AW1" s="14">
        <v>45677</v>
      </c>
      <c r="AX1" s="15"/>
      <c r="AY1" s="14">
        <v>45678</v>
      </c>
      <c r="AZ1" s="15"/>
      <c r="BA1" s="14">
        <v>45679</v>
      </c>
      <c r="BB1" s="15"/>
      <c r="BC1" s="14">
        <v>45680</v>
      </c>
      <c r="BD1" s="15"/>
      <c r="BE1" s="14">
        <v>45681</v>
      </c>
      <c r="BF1" s="15"/>
      <c r="BG1" s="14">
        <v>45682</v>
      </c>
      <c r="BH1" s="15"/>
      <c r="BI1" s="14">
        <v>45683</v>
      </c>
      <c r="BJ1" s="15"/>
      <c r="BK1" s="14">
        <v>45684</v>
      </c>
      <c r="BL1" s="15"/>
      <c r="BM1" s="14">
        <v>45685</v>
      </c>
      <c r="BN1" s="15"/>
      <c r="BO1" s="14">
        <v>45686</v>
      </c>
      <c r="BP1" s="15"/>
      <c r="BQ1" s="14">
        <v>45687</v>
      </c>
      <c r="BR1" s="15"/>
      <c r="BS1" s="14">
        <v>45688</v>
      </c>
      <c r="BT1" s="15"/>
    </row>
    <row r="2" spans="1:72" ht="26.25" thickBot="1">
      <c r="A2" s="3" t="s">
        <v>5</v>
      </c>
      <c r="B2" s="3" t="s">
        <v>6</v>
      </c>
      <c r="C2" s="3" t="s">
        <v>7</v>
      </c>
      <c r="D2" s="3" t="s">
        <v>34</v>
      </c>
      <c r="E2" s="3" t="s">
        <v>42</v>
      </c>
      <c r="F2" s="3">
        <v>100</v>
      </c>
      <c r="G2" s="3" t="s">
        <v>120</v>
      </c>
      <c r="H2" s="3" t="s">
        <v>9</v>
      </c>
      <c r="I2" s="3">
        <f>SUM(O2:BT2)</f>
        <v>100</v>
      </c>
      <c r="J2" s="3">
        <f>I2*100/F2</f>
        <v>100</v>
      </c>
      <c r="K2" s="3"/>
      <c r="L2" s="3"/>
      <c r="M2" s="3"/>
      <c r="N2" s="3"/>
      <c r="O2" s="3">
        <v>10</v>
      </c>
      <c r="P2" s="3">
        <v>22</v>
      </c>
      <c r="Q2" s="3">
        <v>12</v>
      </c>
      <c r="R2" s="3">
        <v>32</v>
      </c>
      <c r="S2" s="3">
        <v>14</v>
      </c>
      <c r="T2" s="3">
        <v>10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</row>
    <row r="3" spans="1:72" ht="26.25" thickBot="1">
      <c r="A3" s="3" t="s">
        <v>5</v>
      </c>
      <c r="B3" s="3" t="s">
        <v>6</v>
      </c>
      <c r="C3" s="3" t="s">
        <v>7</v>
      </c>
      <c r="D3" s="3" t="s">
        <v>35</v>
      </c>
      <c r="E3" s="3" t="s">
        <v>42</v>
      </c>
      <c r="F3" s="3">
        <v>100</v>
      </c>
      <c r="G3" s="3" t="s">
        <v>120</v>
      </c>
      <c r="H3" s="3" t="s">
        <v>10</v>
      </c>
      <c r="I3" s="3">
        <f>SUM(O3:BT3)</f>
        <v>100</v>
      </c>
      <c r="J3" s="3">
        <f t="shared" ref="J3:J7" si="0">I3*100/F3</f>
        <v>100</v>
      </c>
      <c r="K3" s="3"/>
      <c r="L3" s="3"/>
      <c r="M3" s="3"/>
      <c r="N3" s="3"/>
      <c r="O3" s="3"/>
      <c r="P3" s="3"/>
      <c r="Q3" s="3"/>
      <c r="R3" s="3"/>
      <c r="S3" s="3"/>
      <c r="T3" s="3">
        <v>5</v>
      </c>
      <c r="U3" s="3">
        <v>17</v>
      </c>
      <c r="V3" s="3">
        <v>44</v>
      </c>
      <c r="W3" s="3">
        <v>16</v>
      </c>
      <c r="X3" s="3">
        <v>18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</row>
    <row r="4" spans="1:72" ht="26.25" thickBot="1">
      <c r="A4" s="3" t="s">
        <v>11</v>
      </c>
      <c r="B4" s="3" t="s">
        <v>12</v>
      </c>
      <c r="C4" s="3" t="s">
        <v>7</v>
      </c>
      <c r="D4" s="3" t="s">
        <v>36</v>
      </c>
      <c r="E4" s="3" t="s">
        <v>43</v>
      </c>
      <c r="F4" s="3">
        <v>1000</v>
      </c>
      <c r="G4" s="3" t="s">
        <v>120</v>
      </c>
      <c r="H4" s="3" t="s">
        <v>14</v>
      </c>
      <c r="I4" s="3">
        <f>SUM(O4:BT4)</f>
        <v>1000</v>
      </c>
      <c r="J4" s="3">
        <f t="shared" si="0"/>
        <v>100</v>
      </c>
      <c r="K4" s="3"/>
      <c r="L4" s="3"/>
      <c r="M4" s="3"/>
      <c r="N4" s="3"/>
      <c r="O4" s="3">
        <v>200</v>
      </c>
      <c r="P4" s="3">
        <v>100</v>
      </c>
      <c r="Q4" s="3">
        <v>140</v>
      </c>
      <c r="R4" s="3">
        <v>70</v>
      </c>
      <c r="S4" s="3">
        <v>80</v>
      </c>
      <c r="T4" s="3">
        <v>74</v>
      </c>
      <c r="U4" s="3">
        <v>25</v>
      </c>
      <c r="V4" s="3"/>
      <c r="W4" s="3">
        <v>13</v>
      </c>
      <c r="X4" s="3">
        <v>14</v>
      </c>
      <c r="Y4" s="3">
        <v>140</v>
      </c>
      <c r="Z4" s="3">
        <v>144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</row>
    <row r="5" spans="1:72" ht="26.25" thickBot="1">
      <c r="A5" s="3" t="s">
        <v>5</v>
      </c>
      <c r="B5" s="3" t="s">
        <v>6</v>
      </c>
      <c r="C5" s="3" t="s">
        <v>7</v>
      </c>
      <c r="D5" s="3" t="s">
        <v>37</v>
      </c>
      <c r="E5" s="3" t="s">
        <v>42</v>
      </c>
      <c r="F5" s="3">
        <v>10</v>
      </c>
      <c r="G5" s="3" t="s">
        <v>120</v>
      </c>
      <c r="H5" s="3" t="s">
        <v>16</v>
      </c>
      <c r="I5" s="3">
        <f t="shared" ref="I3:I7" si="1">SUM(K5:BT5)</f>
        <v>10</v>
      </c>
      <c r="J5" s="3">
        <f t="shared" si="0"/>
        <v>100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>
        <v>3</v>
      </c>
      <c r="AA5" s="3">
        <v>7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</row>
    <row r="6" spans="1:72" ht="26.25" thickBot="1">
      <c r="A6" s="3" t="s">
        <v>5</v>
      </c>
      <c r="B6" s="3" t="s">
        <v>6</v>
      </c>
      <c r="C6" s="3" t="s">
        <v>7</v>
      </c>
      <c r="D6" s="3" t="s">
        <v>38</v>
      </c>
      <c r="E6" s="3" t="s">
        <v>42</v>
      </c>
      <c r="F6" s="3">
        <v>200</v>
      </c>
      <c r="G6" s="3" t="s">
        <v>120</v>
      </c>
      <c r="H6" s="3" t="s">
        <v>18</v>
      </c>
      <c r="I6" s="3">
        <f t="shared" si="1"/>
        <v>200</v>
      </c>
      <c r="J6" s="3">
        <f t="shared" si="0"/>
        <v>100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>
        <v>45</v>
      </c>
      <c r="AB6" s="3">
        <v>24</v>
      </c>
      <c r="AC6" s="3">
        <v>95</v>
      </c>
      <c r="AD6" s="3">
        <v>36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</row>
    <row r="7" spans="1:72" ht="15.75" thickBot="1">
      <c r="A7" s="3" t="s">
        <v>59</v>
      </c>
      <c r="B7" s="3" t="s">
        <v>60</v>
      </c>
      <c r="C7" s="3" t="s">
        <v>58</v>
      </c>
      <c r="D7" s="3">
        <v>5</v>
      </c>
      <c r="E7" s="3" t="s">
        <v>56</v>
      </c>
      <c r="F7" s="12">
        <f>лента!P4*1.02</f>
        <v>257.04000000000002</v>
      </c>
      <c r="G7" s="12" t="s">
        <v>121</v>
      </c>
      <c r="H7" s="3"/>
      <c r="I7" s="12">
        <f t="shared" si="1"/>
        <v>257.03999999999996</v>
      </c>
      <c r="J7" s="3">
        <f t="shared" si="0"/>
        <v>99.999999999999972</v>
      </c>
      <c r="K7" s="12">
        <v>55.04</v>
      </c>
      <c r="L7" s="3">
        <v>50</v>
      </c>
      <c r="M7" s="3">
        <v>50</v>
      </c>
      <c r="N7" s="3">
        <v>50</v>
      </c>
      <c r="O7" s="3">
        <v>52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</row>
    <row r="8" spans="1:72" ht="15.75" thickBot="1">
      <c r="A8" s="3" t="s">
        <v>79</v>
      </c>
      <c r="B8" s="3" t="s">
        <v>80</v>
      </c>
      <c r="C8" s="3" t="str">
        <f>ткацкий!L2</f>
        <v>шахматка</v>
      </c>
      <c r="D8" s="3"/>
      <c r="E8" s="3"/>
      <c r="F8" s="12">
        <f>SUM(ткацкий!R2:R6)+ткацкий!R7</f>
        <v>6540.771559694047</v>
      </c>
      <c r="G8" s="12" t="s">
        <v>122</v>
      </c>
      <c r="H8" s="12"/>
      <c r="I8" s="12">
        <f t="shared" ref="I8" si="2">SUM(K8:BT8)</f>
        <v>6542</v>
      </c>
      <c r="J8" s="12">
        <f t="shared" ref="J8" si="3">I8*100/F8</f>
        <v>100.0187812751866</v>
      </c>
      <c r="K8" s="3"/>
      <c r="L8" s="3">
        <v>1800</v>
      </c>
      <c r="M8" s="3">
        <v>1800</v>
      </c>
      <c r="N8" s="3">
        <v>1800</v>
      </c>
      <c r="O8" s="3">
        <v>642</v>
      </c>
      <c r="P8" s="3">
        <v>500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</row>
    <row r="9" spans="1:72" ht="15.75" thickBot="1">
      <c r="A9" s="3" t="s">
        <v>109</v>
      </c>
      <c r="B9" s="3" t="s">
        <v>110</v>
      </c>
      <c r="C9" s="3" t="s">
        <v>110</v>
      </c>
      <c r="D9" s="3"/>
      <c r="E9" s="3" t="s">
        <v>110</v>
      </c>
      <c r="F9" s="12">
        <f>SUM(экструзия!X2:Y6)+экструзия!X7+экструзия!Y7</f>
        <v>3240.9523407885304</v>
      </c>
      <c r="G9" s="12" t="s">
        <v>121</v>
      </c>
      <c r="H9" s="12"/>
      <c r="I9" s="12">
        <f t="shared" ref="I9" si="4">SUM(K9:BT9)</f>
        <v>3241</v>
      </c>
      <c r="J9" s="12">
        <f t="shared" ref="J9" si="5">I9*100/F9</f>
        <v>100.00147053108032</v>
      </c>
      <c r="K9" s="3">
        <v>1700</v>
      </c>
      <c r="L9" s="3">
        <v>1541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</row>
    <row r="10" spans="1:72" ht="15.75" thickBot="1">
      <c r="A10" s="3"/>
      <c r="B10" s="3" t="s">
        <v>111</v>
      </c>
      <c r="C10" s="3" t="s">
        <v>112</v>
      </c>
      <c r="D10" s="3"/>
      <c r="E10" s="3" t="s">
        <v>112</v>
      </c>
      <c r="F10" s="12">
        <f>F2+F3+F4+F4*2+F5+F6</f>
        <v>3410</v>
      </c>
      <c r="G10" s="12" t="s">
        <v>120</v>
      </c>
      <c r="H10" s="12"/>
      <c r="I10" s="12">
        <f t="shared" ref="I10" si="6">SUM(K10:BT10)</f>
        <v>3410</v>
      </c>
      <c r="J10" s="12">
        <f t="shared" ref="J10" si="7">I10*100/F10</f>
        <v>100</v>
      </c>
      <c r="K10" s="3"/>
      <c r="L10" s="3"/>
      <c r="M10" s="3">
        <v>1000</v>
      </c>
      <c r="N10" s="3">
        <v>1000</v>
      </c>
      <c r="O10" s="3">
        <v>1000</v>
      </c>
      <c r="P10" s="3">
        <v>410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</row>
    <row r="11" spans="1:72" ht="26.25" thickBot="1">
      <c r="A11" s="3" t="s">
        <v>65</v>
      </c>
      <c r="B11" s="3" t="s">
        <v>63</v>
      </c>
      <c r="C11" s="3" t="s">
        <v>66</v>
      </c>
      <c r="D11" s="3" t="s">
        <v>64</v>
      </c>
      <c r="E11" s="3" t="s">
        <v>66</v>
      </c>
      <c r="F11" s="12">
        <v>38</v>
      </c>
      <c r="G11" s="12" t="s">
        <v>122</v>
      </c>
      <c r="H11" s="12"/>
      <c r="I11" s="12">
        <f t="shared" ref="I11" si="8">SUM(K11:BT11)</f>
        <v>38</v>
      </c>
      <c r="J11" s="12">
        <f t="shared" ref="J11" si="9">I11*100/F11</f>
        <v>100</v>
      </c>
      <c r="K11" s="3"/>
      <c r="L11" s="3"/>
      <c r="M11" s="3">
        <v>38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</row>
  </sheetData>
  <mergeCells count="31">
    <mergeCell ref="BS1:BT1"/>
    <mergeCell ref="BG1:BH1"/>
    <mergeCell ref="BI1:BJ1"/>
    <mergeCell ref="BK1:BL1"/>
    <mergeCell ref="BM1:BN1"/>
    <mergeCell ref="BO1:BP1"/>
    <mergeCell ref="BQ1:BR1"/>
    <mergeCell ref="BE1:BF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AG1:AH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</mergeCells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"/>
  <sheetViews>
    <sheetView topLeftCell="B1" zoomScale="80" zoomScaleNormal="80" workbookViewId="0">
      <selection activeCell="O2" sqref="O2"/>
    </sheetView>
  </sheetViews>
  <sheetFormatPr defaultRowHeight="15"/>
  <cols>
    <col min="3" max="3" width="19.140625" customWidth="1"/>
    <col min="4" max="5" width="22.7109375" customWidth="1"/>
    <col min="6" max="6" width="13.28515625" customWidth="1"/>
    <col min="7" max="8" width="12.42578125" customWidth="1"/>
    <col min="9" max="9" width="15.28515625" customWidth="1"/>
    <col min="10" max="10" width="21.5703125" customWidth="1"/>
    <col min="11" max="14" width="33.42578125" customWidth="1"/>
    <col min="15" max="15" width="10.7109375" customWidth="1"/>
  </cols>
  <sheetData>
    <row r="1" spans="1:15" ht="108.75" thickBot="1">
      <c r="A1" s="1" t="s">
        <v>0</v>
      </c>
      <c r="B1" s="1" t="s">
        <v>1</v>
      </c>
      <c r="C1" s="1" t="s">
        <v>2</v>
      </c>
      <c r="D1" s="1" t="s">
        <v>33</v>
      </c>
      <c r="E1" s="1" t="s">
        <v>41</v>
      </c>
      <c r="F1" s="1" t="s">
        <v>31</v>
      </c>
      <c r="G1" s="1" t="s">
        <v>4</v>
      </c>
      <c r="H1" s="1" t="s">
        <v>40</v>
      </c>
      <c r="I1" s="5" t="s">
        <v>32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2" t="s">
        <v>44</v>
      </c>
    </row>
    <row r="2" spans="1:15" ht="39" thickBot="1">
      <c r="A2" s="3" t="s">
        <v>5</v>
      </c>
      <c r="B2" s="3" t="s">
        <v>6</v>
      </c>
      <c r="C2" s="3" t="s">
        <v>7</v>
      </c>
      <c r="D2" s="3" t="s">
        <v>34</v>
      </c>
      <c r="E2" s="3" t="s">
        <v>42</v>
      </c>
      <c r="F2" s="3">
        <v>100</v>
      </c>
      <c r="G2" s="3" t="s">
        <v>9</v>
      </c>
      <c r="H2" s="3"/>
      <c r="I2" s="3">
        <v>7.6999999999999999E-2</v>
      </c>
      <c r="J2" s="3">
        <v>75</v>
      </c>
      <c r="K2" s="3">
        <v>140</v>
      </c>
      <c r="L2" s="3">
        <v>75</v>
      </c>
      <c r="M2" s="3">
        <v>50</v>
      </c>
      <c r="N2" s="3">
        <v>140</v>
      </c>
      <c r="O2" s="6">
        <f>((J2*4)*I2*F2)/1000+(I2*0.2*F2*2)</f>
        <v>5.3900000000000006</v>
      </c>
    </row>
    <row r="3" spans="1:15" ht="39" thickBot="1">
      <c r="A3" s="3" t="s">
        <v>5</v>
      </c>
      <c r="B3" s="3" t="s">
        <v>6</v>
      </c>
      <c r="C3" s="3" t="s">
        <v>7</v>
      </c>
      <c r="D3" s="3" t="s">
        <v>35</v>
      </c>
      <c r="E3" s="3" t="s">
        <v>42</v>
      </c>
      <c r="F3" s="3">
        <v>100</v>
      </c>
      <c r="G3" s="3" t="s">
        <v>10</v>
      </c>
      <c r="H3" s="3"/>
      <c r="I3" s="3">
        <v>7.6999999999999999E-2</v>
      </c>
      <c r="J3" s="3">
        <v>80</v>
      </c>
      <c r="K3" s="3">
        <v>155</v>
      </c>
      <c r="L3" s="3">
        <v>80</v>
      </c>
      <c r="M3" s="3">
        <v>55</v>
      </c>
      <c r="N3" s="3">
        <v>160</v>
      </c>
      <c r="O3" s="6">
        <f>((J3*4)*I3*F3)/1000+(I3*0.2*F3*2)</f>
        <v>5.5440000000000005</v>
      </c>
    </row>
    <row r="4" spans="1:15" ht="39" thickBot="1">
      <c r="A4" s="3" t="s">
        <v>11</v>
      </c>
      <c r="B4" s="3" t="s">
        <v>12</v>
      </c>
      <c r="C4" s="3" t="s">
        <v>7</v>
      </c>
      <c r="D4" s="3" t="s">
        <v>36</v>
      </c>
      <c r="E4" s="3" t="s">
        <v>43</v>
      </c>
      <c r="F4" s="3">
        <v>1000</v>
      </c>
      <c r="G4" s="3" t="s">
        <v>14</v>
      </c>
      <c r="H4" s="3"/>
      <c r="I4" s="3">
        <v>7.6999999999999999E-2</v>
      </c>
      <c r="J4" s="3">
        <v>90</v>
      </c>
      <c r="K4" s="3">
        <v>130</v>
      </c>
      <c r="L4" s="3">
        <v>90</v>
      </c>
      <c r="M4" s="3">
        <v>25</v>
      </c>
      <c r="N4" s="3">
        <v>160</v>
      </c>
      <c r="O4" s="6">
        <f>((K4*2+J4)*2*I4*F4)/1000</f>
        <v>53.9</v>
      </c>
    </row>
    <row r="5" spans="1:15" ht="39" thickBot="1">
      <c r="A5" s="3" t="s">
        <v>5</v>
      </c>
      <c r="B5" s="3" t="s">
        <v>6</v>
      </c>
      <c r="C5" s="3" t="s">
        <v>7</v>
      </c>
      <c r="D5" s="3" t="s">
        <v>37</v>
      </c>
      <c r="E5" s="3" t="s">
        <v>42</v>
      </c>
      <c r="F5" s="3">
        <v>10</v>
      </c>
      <c r="G5" s="3" t="s">
        <v>16</v>
      </c>
      <c r="H5" s="3"/>
      <c r="I5" s="3">
        <v>7.6999999999999999E-2</v>
      </c>
      <c r="J5" s="3">
        <v>90</v>
      </c>
      <c r="K5" s="3">
        <v>140</v>
      </c>
      <c r="L5" s="3">
        <v>90</v>
      </c>
      <c r="M5" s="3">
        <v>60</v>
      </c>
      <c r="N5" s="3">
        <v>180</v>
      </c>
      <c r="O5" s="6">
        <f>((J5*4)*I5*F5)/1000+(I5*0.2*F5*2)</f>
        <v>0.58519999999999994</v>
      </c>
    </row>
    <row r="6" spans="1:15" ht="39" thickBot="1">
      <c r="A6" s="3" t="s">
        <v>5</v>
      </c>
      <c r="B6" s="3" t="s">
        <v>6</v>
      </c>
      <c r="C6" s="3" t="s">
        <v>7</v>
      </c>
      <c r="D6" s="3" t="s">
        <v>38</v>
      </c>
      <c r="E6" s="3" t="s">
        <v>42</v>
      </c>
      <c r="F6" s="3">
        <v>200</v>
      </c>
      <c r="G6" s="3" t="s">
        <v>18</v>
      </c>
      <c r="H6" s="3"/>
      <c r="I6" s="3">
        <v>7.6999999999999999E-2</v>
      </c>
      <c r="J6" s="3">
        <v>60</v>
      </c>
      <c r="K6" s="3">
        <v>145</v>
      </c>
      <c r="L6" s="3">
        <v>60</v>
      </c>
      <c r="M6" s="3">
        <v>50</v>
      </c>
      <c r="N6" s="3">
        <v>120</v>
      </c>
      <c r="O6" s="6">
        <f>((J6*4)*I6*F6)/1000+(I6*0.2*F6*2)</f>
        <v>9.8559999999999999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6"/>
  <sheetViews>
    <sheetView workbookViewId="0">
      <selection sqref="A1:XFD1048576"/>
    </sheetView>
  </sheetViews>
  <sheetFormatPr defaultRowHeight="15"/>
  <cols>
    <col min="2" max="2" width="13" customWidth="1"/>
    <col min="3" max="3" width="19.140625" customWidth="1"/>
    <col min="4" max="5" width="22.7109375" customWidth="1"/>
    <col min="6" max="6" width="13.28515625" customWidth="1"/>
    <col min="7" max="7" width="12.42578125" customWidth="1"/>
    <col min="8" max="10" width="33.42578125" customWidth="1"/>
    <col min="11" max="12" width="12.5703125" customWidth="1"/>
    <col min="13" max="16" width="13" customWidth="1"/>
  </cols>
  <sheetData>
    <row r="1" spans="1:16" ht="72.75" thickBot="1">
      <c r="A1" s="1" t="s">
        <v>0</v>
      </c>
      <c r="B1" s="1" t="s">
        <v>1</v>
      </c>
      <c r="C1" s="1" t="s">
        <v>2</v>
      </c>
      <c r="D1" s="1" t="s">
        <v>33</v>
      </c>
      <c r="E1" s="1" t="s">
        <v>41</v>
      </c>
      <c r="F1" s="1" t="s">
        <v>31</v>
      </c>
      <c r="G1" s="1" t="s">
        <v>4</v>
      </c>
      <c r="H1" s="1" t="s">
        <v>23</v>
      </c>
      <c r="I1" s="1" t="s">
        <v>25</v>
      </c>
      <c r="J1" s="2" t="s">
        <v>53</v>
      </c>
      <c r="K1" s="2" t="s">
        <v>19</v>
      </c>
      <c r="L1" s="2" t="s">
        <v>19</v>
      </c>
      <c r="M1" s="2" t="s">
        <v>19</v>
      </c>
      <c r="N1" s="2" t="s">
        <v>19</v>
      </c>
      <c r="O1" s="5" t="s">
        <v>54</v>
      </c>
      <c r="P1" s="2" t="s">
        <v>52</v>
      </c>
    </row>
    <row r="2" spans="1:16" ht="39" thickBot="1">
      <c r="A2" s="3" t="s">
        <v>5</v>
      </c>
      <c r="B2" s="3" t="s">
        <v>6</v>
      </c>
      <c r="C2" s="3" t="s">
        <v>7</v>
      </c>
      <c r="D2" s="3" t="s">
        <v>34</v>
      </c>
      <c r="E2" s="3" t="s">
        <v>42</v>
      </c>
      <c r="F2" s="3">
        <v>100</v>
      </c>
      <c r="G2" s="3" t="s">
        <v>9</v>
      </c>
      <c r="H2" s="3">
        <v>140</v>
      </c>
      <c r="I2" s="3">
        <v>50</v>
      </c>
      <c r="J2" s="3">
        <v>0</v>
      </c>
      <c r="K2" s="4" t="s">
        <v>39</v>
      </c>
      <c r="L2" s="4"/>
      <c r="M2" s="4" t="s">
        <v>39</v>
      </c>
      <c r="N2" s="4"/>
      <c r="O2" s="4"/>
      <c r="P2" s="6">
        <f t="shared" ref="P2:P3" si="0">(((L2*H2+N2*H2+I2*2)/100)*J2*F2)*O2</f>
        <v>0</v>
      </c>
    </row>
    <row r="3" spans="1:16" ht="39" thickBot="1">
      <c r="A3" s="3" t="s">
        <v>5</v>
      </c>
      <c r="B3" s="3" t="s">
        <v>6</v>
      </c>
      <c r="C3" s="3" t="s">
        <v>7</v>
      </c>
      <c r="D3" s="3" t="s">
        <v>35</v>
      </c>
      <c r="E3" s="3" t="s">
        <v>42</v>
      </c>
      <c r="F3" s="3">
        <v>100</v>
      </c>
      <c r="G3" s="3" t="s">
        <v>10</v>
      </c>
      <c r="H3" s="3">
        <v>155</v>
      </c>
      <c r="I3" s="3">
        <v>55</v>
      </c>
      <c r="J3" s="3">
        <v>0</v>
      </c>
      <c r="K3" s="4" t="s">
        <v>39</v>
      </c>
      <c r="L3" s="4"/>
      <c r="M3" s="4" t="s">
        <v>39</v>
      </c>
      <c r="N3" s="4"/>
      <c r="O3" s="4"/>
      <c r="P3" s="6">
        <f t="shared" si="0"/>
        <v>0</v>
      </c>
    </row>
    <row r="4" spans="1:16" ht="39" thickBot="1">
      <c r="A4" s="3" t="s">
        <v>11</v>
      </c>
      <c r="B4" s="3" t="s">
        <v>12</v>
      </c>
      <c r="C4" s="3" t="s">
        <v>7</v>
      </c>
      <c r="D4" s="3" t="s">
        <v>36</v>
      </c>
      <c r="E4" s="3" t="s">
        <v>43</v>
      </c>
      <c r="F4" s="3">
        <v>1000</v>
      </c>
      <c r="G4" s="3" t="s">
        <v>14</v>
      </c>
      <c r="H4" s="3">
        <v>130</v>
      </c>
      <c r="I4" s="3">
        <v>25</v>
      </c>
      <c r="J4" s="3">
        <v>4</v>
      </c>
      <c r="K4" s="4" t="s">
        <v>20</v>
      </c>
      <c r="L4" s="6">
        <f>1/3</f>
        <v>0.33333333333333331</v>
      </c>
      <c r="M4" s="4" t="s">
        <v>21</v>
      </c>
      <c r="N4" s="6">
        <f>2/3</f>
        <v>0.66666666666666663</v>
      </c>
      <c r="O4" s="7">
        <v>3.5000000000000003E-2</v>
      </c>
      <c r="P4" s="6">
        <f>(((L4*H4+N4*H4+I4*2)/100)*J4*F4)*O4</f>
        <v>252.00000000000003</v>
      </c>
    </row>
    <row r="5" spans="1:16" ht="39" thickBot="1">
      <c r="A5" s="3" t="s">
        <v>5</v>
      </c>
      <c r="B5" s="3" t="s">
        <v>6</v>
      </c>
      <c r="C5" s="3" t="s">
        <v>7</v>
      </c>
      <c r="D5" s="3" t="s">
        <v>37</v>
      </c>
      <c r="E5" s="3" t="s">
        <v>42</v>
      </c>
      <c r="F5" s="3">
        <v>10</v>
      </c>
      <c r="G5" s="3" t="s">
        <v>16</v>
      </c>
      <c r="H5" s="3">
        <v>140</v>
      </c>
      <c r="I5" s="3">
        <v>60</v>
      </c>
      <c r="J5" s="3">
        <v>0</v>
      </c>
      <c r="K5" s="4" t="s">
        <v>39</v>
      </c>
      <c r="L5" s="4"/>
      <c r="M5" s="4" t="s">
        <v>39</v>
      </c>
      <c r="N5" s="4"/>
      <c r="O5" s="4"/>
      <c r="P5" s="6">
        <f t="shared" ref="P5:P6" si="1">(((L5*H5+N5*H5+I5*2)/100)*J5*F5)*O5</f>
        <v>0</v>
      </c>
    </row>
    <row r="6" spans="1:16" ht="39" thickBot="1">
      <c r="A6" s="3" t="s">
        <v>5</v>
      </c>
      <c r="B6" s="3" t="s">
        <v>6</v>
      </c>
      <c r="C6" s="3" t="s">
        <v>7</v>
      </c>
      <c r="D6" s="3" t="s">
        <v>38</v>
      </c>
      <c r="E6" s="3" t="s">
        <v>42</v>
      </c>
      <c r="F6" s="3">
        <v>200</v>
      </c>
      <c r="G6" s="3" t="s">
        <v>18</v>
      </c>
      <c r="H6" s="3">
        <v>145</v>
      </c>
      <c r="I6" s="3">
        <v>50</v>
      </c>
      <c r="J6" s="3">
        <v>0</v>
      </c>
      <c r="K6" s="4" t="s">
        <v>39</v>
      </c>
      <c r="L6" s="4"/>
      <c r="M6" s="4" t="s">
        <v>39</v>
      </c>
      <c r="N6" s="4"/>
      <c r="O6" s="4"/>
      <c r="P6" s="6">
        <f t="shared" si="1"/>
        <v>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P6"/>
  <sheetViews>
    <sheetView workbookViewId="0">
      <selection activeCell="P6" sqref="P6"/>
    </sheetView>
  </sheetViews>
  <sheetFormatPr defaultRowHeight="15"/>
  <cols>
    <col min="2" max="2" width="13" customWidth="1"/>
    <col min="3" max="3" width="19.140625" customWidth="1"/>
    <col min="4" max="5" width="22.7109375" customWidth="1"/>
    <col min="6" max="6" width="13.28515625" customWidth="1"/>
    <col min="7" max="7" width="12.42578125" customWidth="1"/>
    <col min="8" max="10" width="33.42578125" customWidth="1"/>
    <col min="11" max="12" width="12.5703125" customWidth="1"/>
    <col min="13" max="16" width="13" customWidth="1"/>
  </cols>
  <sheetData>
    <row r="1" spans="1:16" ht="72.75" thickBot="1">
      <c r="A1" s="1" t="s">
        <v>0</v>
      </c>
      <c r="B1" s="1" t="s">
        <v>1</v>
      </c>
      <c r="C1" s="1" t="s">
        <v>2</v>
      </c>
      <c r="D1" s="1" t="s">
        <v>33</v>
      </c>
      <c r="E1" s="1" t="s">
        <v>41</v>
      </c>
      <c r="F1" s="1" t="s">
        <v>31</v>
      </c>
      <c r="G1" s="1" t="s">
        <v>4</v>
      </c>
      <c r="H1" s="1" t="s">
        <v>23</v>
      </c>
      <c r="I1" s="1" t="s">
        <v>25</v>
      </c>
      <c r="J1" s="2" t="s">
        <v>62</v>
      </c>
      <c r="K1" s="2" t="s">
        <v>19</v>
      </c>
      <c r="L1" s="2" t="s">
        <v>19</v>
      </c>
      <c r="M1" s="2" t="s">
        <v>19</v>
      </c>
      <c r="N1" s="2" t="s">
        <v>19</v>
      </c>
      <c r="O1" s="5" t="s">
        <v>61</v>
      </c>
      <c r="P1" s="2" t="s">
        <v>52</v>
      </c>
    </row>
    <row r="2" spans="1:16" ht="39" thickBot="1">
      <c r="A2" s="3" t="s">
        <v>5</v>
      </c>
      <c r="B2" s="3" t="s">
        <v>6</v>
      </c>
      <c r="C2" s="3" t="s">
        <v>7</v>
      </c>
      <c r="D2" s="3" t="s">
        <v>34</v>
      </c>
      <c r="E2" s="3" t="s">
        <v>42</v>
      </c>
      <c r="F2" s="3">
        <v>100</v>
      </c>
      <c r="G2" s="3" t="s">
        <v>9</v>
      </c>
      <c r="H2" s="3">
        <v>140</v>
      </c>
      <c r="I2" s="3">
        <v>50</v>
      </c>
      <c r="J2" s="3">
        <v>2</v>
      </c>
      <c r="K2" s="4" t="s">
        <v>39</v>
      </c>
      <c r="L2" s="4"/>
      <c r="M2" s="4" t="s">
        <v>39</v>
      </c>
      <c r="N2" s="4"/>
      <c r="O2" s="6">
        <f>0.3*0.3*0.09</f>
        <v>8.0999999999999996E-3</v>
      </c>
      <c r="P2" s="6">
        <f>O2*F2*J2</f>
        <v>1.6199999999999999</v>
      </c>
    </row>
    <row r="3" spans="1:16" ht="39" thickBot="1">
      <c r="A3" s="3" t="s">
        <v>5</v>
      </c>
      <c r="B3" s="3" t="s">
        <v>6</v>
      </c>
      <c r="C3" s="3" t="s">
        <v>7</v>
      </c>
      <c r="D3" s="3" t="s">
        <v>35</v>
      </c>
      <c r="E3" s="3" t="s">
        <v>42</v>
      </c>
      <c r="F3" s="3">
        <v>100</v>
      </c>
      <c r="G3" s="3" t="s">
        <v>10</v>
      </c>
      <c r="H3" s="3">
        <v>155</v>
      </c>
      <c r="I3" s="3">
        <v>55</v>
      </c>
      <c r="J3" s="3">
        <v>2</v>
      </c>
      <c r="K3" s="4" t="s">
        <v>39</v>
      </c>
      <c r="L3" s="4"/>
      <c r="M3" s="4" t="s">
        <v>39</v>
      </c>
      <c r="N3" s="4"/>
      <c r="O3" s="6">
        <f t="shared" ref="O3:O6" si="0">0.3*0.3*0.09</f>
        <v>8.0999999999999996E-3</v>
      </c>
      <c r="P3" s="6">
        <f t="shared" ref="P3:P6" si="1">O3*F3*J3</f>
        <v>1.6199999999999999</v>
      </c>
    </row>
    <row r="4" spans="1:16" ht="39" thickBot="1">
      <c r="A4" s="3" t="s">
        <v>11</v>
      </c>
      <c r="B4" s="3" t="s">
        <v>12</v>
      </c>
      <c r="C4" s="3" t="s">
        <v>7</v>
      </c>
      <c r="D4" s="3" t="s">
        <v>36</v>
      </c>
      <c r="E4" s="3" t="s">
        <v>43</v>
      </c>
      <c r="F4" s="3">
        <v>1000</v>
      </c>
      <c r="G4" s="3" t="s">
        <v>14</v>
      </c>
      <c r="H4" s="3">
        <v>130</v>
      </c>
      <c r="I4" s="3">
        <v>25</v>
      </c>
      <c r="J4" s="3">
        <v>0</v>
      </c>
      <c r="K4" s="4" t="s">
        <v>20</v>
      </c>
      <c r="L4" s="6">
        <f>1/3</f>
        <v>0.33333333333333331</v>
      </c>
      <c r="M4" s="4" t="s">
        <v>21</v>
      </c>
      <c r="N4" s="6">
        <f>2/3</f>
        <v>0.66666666666666663</v>
      </c>
      <c r="O4" s="6">
        <v>0</v>
      </c>
      <c r="P4" s="6">
        <f t="shared" si="1"/>
        <v>0</v>
      </c>
    </row>
    <row r="5" spans="1:16" ht="39" thickBot="1">
      <c r="A5" s="3" t="s">
        <v>5</v>
      </c>
      <c r="B5" s="3" t="s">
        <v>6</v>
      </c>
      <c r="C5" s="3" t="s">
        <v>7</v>
      </c>
      <c r="D5" s="3" t="s">
        <v>37</v>
      </c>
      <c r="E5" s="3" t="s">
        <v>42</v>
      </c>
      <c r="F5" s="3">
        <v>10</v>
      </c>
      <c r="G5" s="3" t="s">
        <v>16</v>
      </c>
      <c r="H5" s="3">
        <v>140</v>
      </c>
      <c r="I5" s="3">
        <v>60</v>
      </c>
      <c r="J5" s="3">
        <v>2</v>
      </c>
      <c r="K5" s="4" t="s">
        <v>39</v>
      </c>
      <c r="L5" s="4"/>
      <c r="M5" s="4" t="s">
        <v>39</v>
      </c>
      <c r="N5" s="4"/>
      <c r="O5" s="6">
        <f t="shared" si="0"/>
        <v>8.0999999999999996E-3</v>
      </c>
      <c r="P5" s="6">
        <f t="shared" si="1"/>
        <v>0.16199999999999998</v>
      </c>
    </row>
    <row r="6" spans="1:16" ht="39" thickBot="1">
      <c r="A6" s="3" t="s">
        <v>5</v>
      </c>
      <c r="B6" s="3" t="s">
        <v>6</v>
      </c>
      <c r="C6" s="3" t="s">
        <v>7</v>
      </c>
      <c r="D6" s="3" t="s">
        <v>38</v>
      </c>
      <c r="E6" s="3" t="s">
        <v>42</v>
      </c>
      <c r="F6" s="3">
        <v>200</v>
      </c>
      <c r="G6" s="3" t="s">
        <v>18</v>
      </c>
      <c r="H6" s="3">
        <v>145</v>
      </c>
      <c r="I6" s="3">
        <v>50</v>
      </c>
      <c r="J6" s="3">
        <v>2</v>
      </c>
      <c r="K6" s="4" t="s">
        <v>39</v>
      </c>
      <c r="L6" s="4"/>
      <c r="M6" s="4" t="s">
        <v>39</v>
      </c>
      <c r="N6" s="4"/>
      <c r="O6" s="6">
        <f t="shared" si="0"/>
        <v>8.0999999999999996E-3</v>
      </c>
      <c r="P6" s="6">
        <f t="shared" si="1"/>
        <v>3.2399999999999998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1"/>
  <sheetViews>
    <sheetView topLeftCell="G2" workbookViewId="0">
      <selection activeCell="R7" sqref="R7"/>
    </sheetView>
  </sheetViews>
  <sheetFormatPr defaultRowHeight="15"/>
  <cols>
    <col min="1" max="14" width="14.28515625" customWidth="1"/>
    <col min="15" max="15" width="19.7109375" customWidth="1"/>
    <col min="16" max="16" width="21" customWidth="1"/>
    <col min="17" max="17" width="11.5703125" bestFit="1" customWidth="1"/>
  </cols>
  <sheetData>
    <row r="1" spans="1:18" ht="126.75" thickBot="1">
      <c r="A1" s="1" t="s">
        <v>0</v>
      </c>
      <c r="B1" s="1" t="s">
        <v>1</v>
      </c>
      <c r="C1" s="1" t="s">
        <v>2</v>
      </c>
      <c r="D1" s="1" t="s">
        <v>33</v>
      </c>
      <c r="E1" s="1" t="s">
        <v>41</v>
      </c>
      <c r="F1" s="1" t="s">
        <v>78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31</v>
      </c>
      <c r="N1" s="1" t="s">
        <v>4</v>
      </c>
      <c r="O1" s="2" t="s">
        <v>69</v>
      </c>
      <c r="P1" s="2" t="s">
        <v>70</v>
      </c>
      <c r="Q1" s="2" t="s">
        <v>71</v>
      </c>
      <c r="R1" s="2" t="s">
        <v>77</v>
      </c>
    </row>
    <row r="2" spans="1:18" ht="39" thickBot="1">
      <c r="A2" s="3" t="s">
        <v>5</v>
      </c>
      <c r="B2" s="3" t="s">
        <v>6</v>
      </c>
      <c r="C2" s="3" t="s">
        <v>7</v>
      </c>
      <c r="D2" s="3" t="s">
        <v>34</v>
      </c>
      <c r="E2" s="3" t="s">
        <v>42</v>
      </c>
      <c r="F2" s="3">
        <v>1</v>
      </c>
      <c r="G2" s="3">
        <v>75</v>
      </c>
      <c r="H2" s="3">
        <v>140</v>
      </c>
      <c r="I2" s="3">
        <v>75</v>
      </c>
      <c r="J2" s="3">
        <v>50</v>
      </c>
      <c r="K2" s="3">
        <v>140</v>
      </c>
      <c r="L2" s="3" t="s">
        <v>28</v>
      </c>
      <c r="M2" s="3">
        <v>100</v>
      </c>
      <c r="N2" s="3" t="s">
        <v>9</v>
      </c>
      <c r="O2" s="3" t="s">
        <v>67</v>
      </c>
      <c r="P2" s="3" t="s">
        <v>88</v>
      </c>
      <c r="Q2" s="10">
        <f>(H2+J2+20+I2/1.55)/100</f>
        <v>2.5838709677419356</v>
      </c>
      <c r="R2" s="11">
        <f>Q2*M2*1.02</f>
        <v>263.55483870967743</v>
      </c>
    </row>
    <row r="3" spans="1:18" ht="39" thickBot="1">
      <c r="A3" s="3" t="s">
        <v>5</v>
      </c>
      <c r="B3" s="3" t="s">
        <v>6</v>
      </c>
      <c r="C3" s="3" t="s">
        <v>7</v>
      </c>
      <c r="D3" s="3" t="s">
        <v>35</v>
      </c>
      <c r="E3" s="3" t="s">
        <v>42</v>
      </c>
      <c r="F3" s="3">
        <v>1</v>
      </c>
      <c r="G3" s="3">
        <v>80</v>
      </c>
      <c r="H3" s="3">
        <v>155</v>
      </c>
      <c r="I3" s="3">
        <v>80</v>
      </c>
      <c r="J3" s="3">
        <v>55</v>
      </c>
      <c r="K3" s="3">
        <v>160</v>
      </c>
      <c r="L3" s="3" t="s">
        <v>28</v>
      </c>
      <c r="M3" s="3">
        <v>100</v>
      </c>
      <c r="N3" s="3" t="s">
        <v>10</v>
      </c>
      <c r="O3" s="3" t="s">
        <v>72</v>
      </c>
      <c r="P3" s="3" t="s">
        <v>89</v>
      </c>
      <c r="Q3" s="10">
        <f>(H3+J3+20+I3/1.55)/100</f>
        <v>2.8161290322580648</v>
      </c>
      <c r="R3" s="11">
        <f t="shared" ref="R3:R6" si="0">Q3*M3*1.02</f>
        <v>287.24516129032259</v>
      </c>
    </row>
    <row r="4" spans="1:18" ht="39" thickBot="1">
      <c r="A4" s="3" t="s">
        <v>11</v>
      </c>
      <c r="B4" s="3" t="s">
        <v>12</v>
      </c>
      <c r="C4" s="3" t="s">
        <v>7</v>
      </c>
      <c r="D4" s="3" t="s">
        <v>36</v>
      </c>
      <c r="E4" s="3" t="s">
        <v>43</v>
      </c>
      <c r="F4" s="3">
        <v>2</v>
      </c>
      <c r="G4" s="3">
        <v>90</v>
      </c>
      <c r="H4" s="3">
        <v>130</v>
      </c>
      <c r="I4" s="3">
        <v>90</v>
      </c>
      <c r="J4" s="3">
        <v>25</v>
      </c>
      <c r="K4" s="3">
        <v>160</v>
      </c>
      <c r="L4" s="3" t="s">
        <v>29</v>
      </c>
      <c r="M4" s="3">
        <v>1000</v>
      </c>
      <c r="N4" s="3" t="s">
        <v>14</v>
      </c>
      <c r="O4" s="3" t="s">
        <v>73</v>
      </c>
      <c r="P4" s="3" t="s">
        <v>76</v>
      </c>
      <c r="Q4" s="10">
        <f>(H4+G4+H4+I4*2)/100</f>
        <v>5.3</v>
      </c>
      <c r="R4" s="11">
        <f>Q4*M4*1.02</f>
        <v>5406</v>
      </c>
    </row>
    <row r="5" spans="1:18" ht="39" thickBot="1">
      <c r="A5" s="3" t="s">
        <v>5</v>
      </c>
      <c r="B5" s="3" t="s">
        <v>6</v>
      </c>
      <c r="C5" s="3" t="s">
        <v>7</v>
      </c>
      <c r="D5" s="3" t="s">
        <v>37</v>
      </c>
      <c r="E5" s="3" t="s">
        <v>42</v>
      </c>
      <c r="F5" s="3">
        <v>1</v>
      </c>
      <c r="G5" s="3">
        <v>90</v>
      </c>
      <c r="H5" s="3">
        <v>140</v>
      </c>
      <c r="I5" s="3">
        <v>90</v>
      </c>
      <c r="J5" s="3">
        <v>60</v>
      </c>
      <c r="K5" s="3">
        <v>180</v>
      </c>
      <c r="L5" s="3" t="s">
        <v>28</v>
      </c>
      <c r="M5" s="3">
        <v>10</v>
      </c>
      <c r="N5" s="3" t="s">
        <v>16</v>
      </c>
      <c r="O5" s="3" t="s">
        <v>74</v>
      </c>
      <c r="P5" s="3" t="s">
        <v>90</v>
      </c>
      <c r="Q5" s="10">
        <f>(H5+J5+20+I5/1.55)/100</f>
        <v>2.7806451612903227</v>
      </c>
      <c r="R5" s="11">
        <f t="shared" si="0"/>
        <v>28.362580645161295</v>
      </c>
    </row>
    <row r="6" spans="1:18" ht="39" thickBot="1">
      <c r="A6" s="3" t="s">
        <v>5</v>
      </c>
      <c r="B6" s="3" t="s">
        <v>6</v>
      </c>
      <c r="C6" s="3" t="s">
        <v>7</v>
      </c>
      <c r="D6" s="3" t="s">
        <v>38</v>
      </c>
      <c r="E6" s="3" t="s">
        <v>42</v>
      </c>
      <c r="F6" s="3">
        <v>1</v>
      </c>
      <c r="G6" s="3">
        <v>60</v>
      </c>
      <c r="H6" s="3">
        <v>145</v>
      </c>
      <c r="I6" s="3">
        <v>60</v>
      </c>
      <c r="J6" s="3">
        <v>50</v>
      </c>
      <c r="K6" s="3">
        <v>120</v>
      </c>
      <c r="L6" s="3" t="s">
        <v>28</v>
      </c>
      <c r="M6" s="3">
        <v>200</v>
      </c>
      <c r="N6" s="3" t="s">
        <v>18</v>
      </c>
      <c r="O6" s="3" t="s">
        <v>75</v>
      </c>
      <c r="P6" s="3" t="s">
        <v>91</v>
      </c>
      <c r="Q6" s="10">
        <f>(H6+J6+20+I6/1.55)/100</f>
        <v>2.5370967741935484</v>
      </c>
      <c r="R6" s="11">
        <f t="shared" si="0"/>
        <v>517.56774193548392</v>
      </c>
    </row>
    <row r="7" spans="1:18" ht="26.25" thickBot="1">
      <c r="L7" s="17" t="s">
        <v>28</v>
      </c>
      <c r="M7">
        <f>(M2+M3+M5+M6)*2</f>
        <v>820</v>
      </c>
      <c r="O7" s="3" t="s">
        <v>113</v>
      </c>
      <c r="P7" s="3" t="s">
        <v>114</v>
      </c>
      <c r="Q7">
        <v>0.3</v>
      </c>
      <c r="R7" s="18">
        <f>(M7/((196-2)/30))*Q7</f>
        <v>38.041237113402062</v>
      </c>
    </row>
    <row r="20" spans="7:8" ht="15.75" thickBot="1"/>
    <row r="21" spans="7:8" ht="39.75" thickBot="1">
      <c r="G21" s="9" t="s">
        <v>67</v>
      </c>
      <c r="H21" s="9" t="s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D7"/>
  <sheetViews>
    <sheetView topLeftCell="H4" zoomScale="90" zoomScaleNormal="90" workbookViewId="0">
      <selection activeCell="N9" sqref="N9"/>
    </sheetView>
  </sheetViews>
  <sheetFormatPr defaultRowHeight="15"/>
  <cols>
    <col min="1" max="4" width="14.28515625" customWidth="1"/>
    <col min="5" max="5" width="19.7109375" customWidth="1"/>
    <col min="6" max="6" width="21" customWidth="1"/>
    <col min="13" max="13" width="25.140625" customWidth="1"/>
    <col min="17" max="17" width="19.140625" customWidth="1"/>
    <col min="24" max="24" width="11.5703125" bestFit="1" customWidth="1"/>
  </cols>
  <sheetData>
    <row r="1" spans="1:56" ht="180.75" thickBot="1">
      <c r="A1" s="1" t="s">
        <v>0</v>
      </c>
      <c r="B1" s="1" t="s">
        <v>1</v>
      </c>
      <c r="C1" s="1" t="s">
        <v>27</v>
      </c>
      <c r="D1" s="1" t="s">
        <v>4</v>
      </c>
      <c r="E1" s="2" t="s">
        <v>69</v>
      </c>
      <c r="F1" s="2" t="s">
        <v>70</v>
      </c>
      <c r="G1" s="2" t="s">
        <v>77</v>
      </c>
      <c r="H1" s="2" t="s">
        <v>87</v>
      </c>
      <c r="I1" s="2" t="s">
        <v>100</v>
      </c>
      <c r="J1" s="2" t="s">
        <v>93</v>
      </c>
      <c r="K1" s="2" t="s">
        <v>92</v>
      </c>
      <c r="L1" s="2" t="s">
        <v>95</v>
      </c>
      <c r="M1" s="2" t="s">
        <v>108</v>
      </c>
      <c r="N1" s="2" t="s">
        <v>81</v>
      </c>
      <c r="O1" s="2" t="s">
        <v>82</v>
      </c>
      <c r="P1" s="2" t="s">
        <v>83</v>
      </c>
      <c r="Q1" s="2" t="s">
        <v>107</v>
      </c>
      <c r="R1" s="2" t="s">
        <v>84</v>
      </c>
      <c r="S1" s="2" t="s">
        <v>85</v>
      </c>
      <c r="T1" s="2" t="s">
        <v>86</v>
      </c>
      <c r="U1" s="2" t="s">
        <v>94</v>
      </c>
      <c r="V1" s="2" t="s">
        <v>96</v>
      </c>
      <c r="W1" s="2" t="s">
        <v>97</v>
      </c>
      <c r="X1" s="2" t="s">
        <v>98</v>
      </c>
      <c r="Y1" s="2" t="s">
        <v>99</v>
      </c>
    </row>
    <row r="2" spans="1:56" ht="39" thickBot="1">
      <c r="A2" s="3" t="s">
        <v>5</v>
      </c>
      <c r="B2" s="3" t="s">
        <v>6</v>
      </c>
      <c r="C2" s="3" t="s">
        <v>28</v>
      </c>
      <c r="D2" s="3" t="s">
        <v>9</v>
      </c>
      <c r="E2" s="3" t="s">
        <v>67</v>
      </c>
      <c r="F2" s="3" t="s">
        <v>88</v>
      </c>
      <c r="G2" s="10">
        <f>ткацкий!R2</f>
        <v>263.55483870967743</v>
      </c>
      <c r="H2" s="10">
        <v>140</v>
      </c>
      <c r="I2" s="10">
        <f>J2/N2</f>
        <v>1200</v>
      </c>
      <c r="J2" s="10">
        <v>3000</v>
      </c>
      <c r="K2" s="10">
        <v>3</v>
      </c>
      <c r="L2" s="10">
        <v>9</v>
      </c>
      <c r="M2" s="16" t="s">
        <v>102</v>
      </c>
      <c r="N2" s="10">
        <v>2.5</v>
      </c>
      <c r="O2" s="10">
        <v>1570</v>
      </c>
      <c r="P2" s="10">
        <v>40</v>
      </c>
      <c r="Q2" s="16" t="s">
        <v>102</v>
      </c>
      <c r="R2" s="10">
        <v>2.5</v>
      </c>
      <c r="S2" s="10">
        <v>1570</v>
      </c>
      <c r="T2" s="10">
        <v>40</v>
      </c>
      <c r="U2" s="13">
        <f>O2/9*P2/100+S2/9*T2/100</f>
        <v>139.55555555555557</v>
      </c>
      <c r="V2" s="10">
        <f>(O2*(P2/2)*5)*0.95/1000</f>
        <v>149.15</v>
      </c>
      <c r="W2" s="10">
        <f>(S2*(T2/2)*5)*0.93/1000</f>
        <v>146.01</v>
      </c>
      <c r="X2" s="10">
        <f>(((I2*((O2/1000)/L2))*G2))*0.001</f>
        <v>55.170812903225809</v>
      </c>
      <c r="Y2" s="10">
        <f>(((P2*10)*(S2/1000)/L2)*K2)*G2*0.001</f>
        <v>55.170812903225801</v>
      </c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</row>
    <row r="3" spans="1:56" ht="39" thickBot="1">
      <c r="A3" s="3" t="s">
        <v>5</v>
      </c>
      <c r="B3" s="3" t="s">
        <v>6</v>
      </c>
      <c r="C3" s="3" t="s">
        <v>28</v>
      </c>
      <c r="D3" s="3" t="s">
        <v>10</v>
      </c>
      <c r="E3" s="3" t="s">
        <v>72</v>
      </c>
      <c r="F3" s="3" t="s">
        <v>89</v>
      </c>
      <c r="G3" s="10">
        <f>ткацкий!R3</f>
        <v>287.24516129032259</v>
      </c>
      <c r="H3" s="10">
        <v>160</v>
      </c>
      <c r="I3" s="10">
        <f t="shared" ref="I3:I6" si="0">J3/N3</f>
        <v>1280</v>
      </c>
      <c r="J3" s="10">
        <v>3200</v>
      </c>
      <c r="K3" s="10">
        <v>3.2</v>
      </c>
      <c r="L3" s="10">
        <v>9</v>
      </c>
      <c r="M3" s="16" t="s">
        <v>103</v>
      </c>
      <c r="N3" s="10">
        <v>2.5</v>
      </c>
      <c r="O3" s="10">
        <v>1800</v>
      </c>
      <c r="P3" s="10">
        <v>40</v>
      </c>
      <c r="Q3" s="16" t="s">
        <v>103</v>
      </c>
      <c r="R3" s="10">
        <v>2.5</v>
      </c>
      <c r="S3" s="10">
        <v>1800</v>
      </c>
      <c r="T3" s="10">
        <v>40</v>
      </c>
      <c r="U3" s="13">
        <f t="shared" ref="U3:U7" si="1">O3/9*P3/100+S3/9*T3/100</f>
        <v>160</v>
      </c>
      <c r="V3" s="10">
        <f t="shared" ref="V3:V7" si="2">(O3*(P3/2)*5)*0.95/1000</f>
        <v>171</v>
      </c>
      <c r="W3" s="10">
        <f t="shared" ref="W3:W7" si="3">(S3*(T3/2)*5)*0.93/1000</f>
        <v>167.4</v>
      </c>
      <c r="X3" s="10">
        <f t="shared" ref="X3:X6" si="4">(((I3*((O3/1000)/L3))*G3))*0.001</f>
        <v>73.534761290322578</v>
      </c>
      <c r="Y3" s="10">
        <f t="shared" ref="Y3:Y6" si="5">(((P3*10)*(S3/1000)/L3)*K3)*G3*0.001</f>
        <v>73.534761290322578</v>
      </c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</row>
    <row r="4" spans="1:56" ht="39" thickBot="1">
      <c r="A4" s="3" t="s">
        <v>11</v>
      </c>
      <c r="B4" s="3" t="s">
        <v>12</v>
      </c>
      <c r="C4" s="3" t="s">
        <v>29</v>
      </c>
      <c r="D4" s="3" t="s">
        <v>14</v>
      </c>
      <c r="E4" s="3" t="s">
        <v>73</v>
      </c>
      <c r="F4" s="3" t="s">
        <v>76</v>
      </c>
      <c r="G4" s="10">
        <f>ткацкий!R4</f>
        <v>5406</v>
      </c>
      <c r="H4" s="10">
        <v>160</v>
      </c>
      <c r="I4" s="10">
        <f t="shared" si="0"/>
        <v>1440</v>
      </c>
      <c r="J4" s="10">
        <v>3600</v>
      </c>
      <c r="K4" s="10">
        <v>3.6</v>
      </c>
      <c r="L4" s="10">
        <v>9</v>
      </c>
      <c r="M4" s="16" t="s">
        <v>101</v>
      </c>
      <c r="N4" s="10">
        <v>2.5</v>
      </c>
      <c r="O4" s="10">
        <v>1650</v>
      </c>
      <c r="P4" s="10">
        <v>40</v>
      </c>
      <c r="Q4" s="16" t="s">
        <v>106</v>
      </c>
      <c r="R4" s="10">
        <v>4.5</v>
      </c>
      <c r="S4" s="10">
        <v>1600</v>
      </c>
      <c r="T4" s="10">
        <v>48</v>
      </c>
      <c r="U4" s="13">
        <f t="shared" si="1"/>
        <v>158.66666666666666</v>
      </c>
      <c r="V4" s="10">
        <f t="shared" si="2"/>
        <v>156.75</v>
      </c>
      <c r="W4" s="10">
        <f t="shared" si="3"/>
        <v>178.56</v>
      </c>
      <c r="X4" s="10">
        <f t="shared" si="4"/>
        <v>1427.184</v>
      </c>
      <c r="Y4" s="10">
        <f t="shared" si="5"/>
        <v>1383.9359999999999</v>
      </c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</row>
    <row r="5" spans="1:56" ht="39" thickBot="1">
      <c r="A5" s="3" t="s">
        <v>5</v>
      </c>
      <c r="B5" s="3" t="s">
        <v>6</v>
      </c>
      <c r="C5" s="3" t="s">
        <v>28</v>
      </c>
      <c r="D5" s="3" t="s">
        <v>16</v>
      </c>
      <c r="E5" s="3" t="s">
        <v>74</v>
      </c>
      <c r="F5" s="3" t="s">
        <v>90</v>
      </c>
      <c r="G5" s="10">
        <f>ткацкий!R5</f>
        <v>28.362580645161295</v>
      </c>
      <c r="H5" s="10">
        <v>180</v>
      </c>
      <c r="I5" s="10">
        <f t="shared" si="0"/>
        <v>1440</v>
      </c>
      <c r="J5" s="10">
        <v>3600</v>
      </c>
      <c r="K5" s="10">
        <v>3.6</v>
      </c>
      <c r="L5" s="10">
        <v>9</v>
      </c>
      <c r="M5" s="16" t="s">
        <v>104</v>
      </c>
      <c r="N5" s="10">
        <v>2.5</v>
      </c>
      <c r="O5" s="10">
        <v>2000</v>
      </c>
      <c r="P5" s="10">
        <v>40</v>
      </c>
      <c r="Q5" s="16" t="s">
        <v>104</v>
      </c>
      <c r="R5" s="10">
        <v>2.5</v>
      </c>
      <c r="S5" s="10">
        <v>2000</v>
      </c>
      <c r="T5" s="10">
        <v>40</v>
      </c>
      <c r="U5" s="13">
        <f t="shared" si="1"/>
        <v>177.77777777777777</v>
      </c>
      <c r="V5" s="10">
        <f t="shared" si="2"/>
        <v>190</v>
      </c>
      <c r="W5" s="10">
        <f t="shared" si="3"/>
        <v>186</v>
      </c>
      <c r="X5" s="10">
        <f t="shared" si="4"/>
        <v>9.0760258064516144</v>
      </c>
      <c r="Y5" s="10">
        <f t="shared" si="5"/>
        <v>9.0760258064516144</v>
      </c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</row>
    <row r="6" spans="1:56" ht="39" thickBot="1">
      <c r="A6" s="3" t="s">
        <v>5</v>
      </c>
      <c r="B6" s="3" t="s">
        <v>6</v>
      </c>
      <c r="C6" s="3" t="s">
        <v>28</v>
      </c>
      <c r="D6" s="3" t="s">
        <v>18</v>
      </c>
      <c r="E6" s="3" t="s">
        <v>75</v>
      </c>
      <c r="F6" s="3" t="s">
        <v>91</v>
      </c>
      <c r="G6" s="10">
        <f>ткацкий!R6</f>
        <v>517.56774193548392</v>
      </c>
      <c r="H6" s="10">
        <v>120</v>
      </c>
      <c r="I6" s="10">
        <f t="shared" si="0"/>
        <v>960</v>
      </c>
      <c r="J6" s="10">
        <v>2400</v>
      </c>
      <c r="K6" s="10">
        <v>2.4</v>
      </c>
      <c r="L6" s="10">
        <v>9</v>
      </c>
      <c r="M6" s="16" t="s">
        <v>105</v>
      </c>
      <c r="N6" s="10">
        <v>2.5</v>
      </c>
      <c r="O6" s="10">
        <v>1350</v>
      </c>
      <c r="P6" s="10">
        <v>40</v>
      </c>
      <c r="Q6" s="16" t="s">
        <v>105</v>
      </c>
      <c r="R6" s="10">
        <v>2.5</v>
      </c>
      <c r="S6" s="10">
        <v>1350</v>
      </c>
      <c r="T6" s="10">
        <v>40</v>
      </c>
      <c r="U6" s="13">
        <f t="shared" si="1"/>
        <v>120</v>
      </c>
      <c r="V6" s="10">
        <f t="shared" si="2"/>
        <v>128.25</v>
      </c>
      <c r="W6" s="10">
        <f t="shared" si="3"/>
        <v>125.55</v>
      </c>
      <c r="X6" s="10">
        <f t="shared" si="4"/>
        <v>74.529754838709707</v>
      </c>
      <c r="Y6" s="10">
        <f t="shared" si="5"/>
        <v>74.529754838709692</v>
      </c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  <row r="7" spans="1:56" ht="26.25" thickBot="1">
      <c r="C7" s="3" t="s">
        <v>28</v>
      </c>
      <c r="E7" s="3" t="s">
        <v>115</v>
      </c>
      <c r="F7" s="3" t="s">
        <v>116</v>
      </c>
      <c r="G7" s="10">
        <v>38</v>
      </c>
      <c r="H7" s="10">
        <v>72</v>
      </c>
      <c r="I7" s="13">
        <v>652</v>
      </c>
      <c r="J7" s="10">
        <v>1960</v>
      </c>
      <c r="K7" s="10">
        <v>1.96</v>
      </c>
      <c r="L7" s="10">
        <v>9</v>
      </c>
      <c r="M7" s="16" t="s">
        <v>117</v>
      </c>
      <c r="N7" s="10">
        <v>3</v>
      </c>
      <c r="O7" s="10">
        <v>950</v>
      </c>
      <c r="P7" s="10">
        <v>33</v>
      </c>
      <c r="Q7" s="16" t="s">
        <v>117</v>
      </c>
      <c r="R7" s="10">
        <v>3</v>
      </c>
      <c r="S7" s="10">
        <v>950</v>
      </c>
      <c r="T7" s="10">
        <v>33</v>
      </c>
      <c r="U7" s="13">
        <f t="shared" si="1"/>
        <v>69.666666666666671</v>
      </c>
      <c r="V7" s="10">
        <f t="shared" si="2"/>
        <v>74.456249999999997</v>
      </c>
      <c r="W7" s="10">
        <f t="shared" si="3"/>
        <v>72.888750000000002</v>
      </c>
      <c r="X7" s="10">
        <f>(((I7*((O7/1000)/L7))*G7))*0.001</f>
        <v>2.6152444444444445</v>
      </c>
      <c r="Y7" s="10">
        <f t="shared" ref="Y7" si="6">(((P7*10)*(S7/1000)/L7)*K7)*G7*0.001</f>
        <v>2.5943866666666668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план продаж</vt:lpstr>
      <vt:lpstr>сырье</vt:lpstr>
      <vt:lpstr>план производства</vt:lpstr>
      <vt:lpstr>МФН нити прошивочные</vt:lpstr>
      <vt:lpstr>лента</vt:lpstr>
      <vt:lpstr>чехол стропа</vt:lpstr>
      <vt:lpstr>ткацкий</vt:lpstr>
      <vt:lpstr>экструзия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2025-12-21T10:46:20Z</dcterms:modified>
</cp:coreProperties>
</file>