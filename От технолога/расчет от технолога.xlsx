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8_{C6538707-A713-42A4-BF84-0212F2567CCB}" xr6:coauthVersionLast="45" xr6:coauthVersionMax="45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3" i="1" l="1"/>
  <c r="C42" i="1" l="1"/>
  <c r="C40" i="1"/>
  <c r="C41" i="1"/>
  <c r="C37" i="1"/>
  <c r="C36" i="1"/>
  <c r="C38" i="1" s="1"/>
  <c r="C39" i="1" l="1"/>
  <c r="I11" i="1"/>
  <c r="I9" i="1"/>
  <c r="D9" i="1"/>
  <c r="H11" i="1"/>
  <c r="H9" i="1"/>
  <c r="S5" i="1"/>
  <c r="L11" i="1" l="1"/>
  <c r="L9" i="1"/>
  <c r="L12" i="1" l="1"/>
  <c r="D17" i="1" s="1"/>
  <c r="Q5" i="1"/>
  <c r="O5" i="1"/>
  <c r="N5" i="1"/>
  <c r="E17" i="1" l="1"/>
  <c r="C17" i="1"/>
  <c r="B17" i="1"/>
</calcChain>
</file>

<file path=xl/sharedStrings.xml><?xml version="1.0" encoding="utf-8"?>
<sst xmlns="http://schemas.openxmlformats.org/spreadsheetml/2006/main" count="123" uniqueCount="94">
  <si>
    <t>TK-100-115-BLK</t>
  </si>
  <si>
    <t>Характериcтики полотна</t>
  </si>
  <si>
    <t>Плотноcть полотна, гр\м2</t>
  </si>
  <si>
    <t>Особенности полотна</t>
  </si>
  <si>
    <t>Характериcтики нити</t>
  </si>
  <si>
    <t>Разрывные характеристики полотна</t>
  </si>
  <si>
    <t>оновная</t>
  </si>
  <si>
    <t>уточная</t>
  </si>
  <si>
    <t>Денье, Дн</t>
  </si>
  <si>
    <t>Ширина нити, см</t>
  </si>
  <si>
    <t>Плотность плетения нити на 10 см, шт</t>
  </si>
  <si>
    <t>Математическая плотность полотна, гр\м2</t>
  </si>
  <si>
    <t>разыв полотна по основе, кг/с</t>
  </si>
  <si>
    <t>эластичность (удлинение) полотна по основе, %</t>
  </si>
  <si>
    <t>разрыв полотна по утку, кг/с</t>
  </si>
  <si>
    <t>эластичность (удлинение) полотна по утку, %</t>
  </si>
  <si>
    <t>Код ткани Алмас</t>
  </si>
  <si>
    <t>РПП 100 см-115 гр/м2</t>
  </si>
  <si>
    <t>шахматное</t>
  </si>
  <si>
    <t>18-25</t>
  </si>
  <si>
    <t xml:space="preserve">10000 метров </t>
  </si>
  <si>
    <t>количество заказа, м</t>
  </si>
  <si>
    <t>вес 1 погонного метра, гр</t>
  </si>
  <si>
    <t>Ширина полотна, см</t>
  </si>
  <si>
    <t>основа</t>
  </si>
  <si>
    <t>ширина полотна в развороте, мм</t>
  </si>
  <si>
    <t>ширина нити основы, мм</t>
  </si>
  <si>
    <t>Количество нитей основы на шпулярнике, шт</t>
  </si>
  <si>
    <t>денье, Дн</t>
  </si>
  <si>
    <t>удельный вес, м</t>
  </si>
  <si>
    <t>вес 9 метров, гр</t>
  </si>
  <si>
    <t>планируемый выпуск ткани, м</t>
  </si>
  <si>
    <t>процент закладываемых отходов</t>
  </si>
  <si>
    <t>перевод с гр на кг,</t>
  </si>
  <si>
    <t>итого для выпуска ткани на основы необходимо , кг</t>
  </si>
  <si>
    <t>уток</t>
  </si>
  <si>
    <t>ширина полотна в развороте, м</t>
  </si>
  <si>
    <t>количество нитей по утку на 100 см,шт</t>
  </si>
  <si>
    <t xml:space="preserve">параметры полотна </t>
  </si>
  <si>
    <t>расчет нити расход</t>
  </si>
  <si>
    <t xml:space="preserve">расход сырья </t>
  </si>
  <si>
    <t>рецептура</t>
  </si>
  <si>
    <t>Пп</t>
  </si>
  <si>
    <t>карбонат кальция</t>
  </si>
  <si>
    <t>Уф стабилизатор</t>
  </si>
  <si>
    <t xml:space="preserve">черный краситель </t>
  </si>
  <si>
    <t>%</t>
  </si>
  <si>
    <t>кг</t>
  </si>
  <si>
    <t>итого</t>
  </si>
  <si>
    <t>МКР</t>
  </si>
  <si>
    <t>ширина, см</t>
  </si>
  <si>
    <t>высота загрузки, см</t>
  </si>
  <si>
    <t>дно, см</t>
  </si>
  <si>
    <t>высота петли, см</t>
  </si>
  <si>
    <t>пошив ремней</t>
  </si>
  <si>
    <t>100\100\140\25(140)</t>
  </si>
  <si>
    <t>верх сборка, дно глухое</t>
  </si>
  <si>
    <t>плотность полотна,гр\м2</t>
  </si>
  <si>
    <t>1\3 2\3</t>
  </si>
  <si>
    <t>высота юбки, см</t>
  </si>
  <si>
    <t>длина завязки юбки, см</t>
  </si>
  <si>
    <t>индивидуально</t>
  </si>
  <si>
    <t>количество слоев, шт</t>
  </si>
  <si>
    <t>П-образный</t>
  </si>
  <si>
    <t>стандарт\индивидуально</t>
  </si>
  <si>
    <t>Наименование</t>
  </si>
  <si>
    <t>параметры</t>
  </si>
  <si>
    <t>примечание</t>
  </si>
  <si>
    <t>габаритные</t>
  </si>
  <si>
    <t>1480 шт</t>
  </si>
  <si>
    <t>На 1 бб расход</t>
  </si>
  <si>
    <t xml:space="preserve">параметры </t>
  </si>
  <si>
    <t>наименование</t>
  </si>
  <si>
    <t>ткань</t>
  </si>
  <si>
    <t>нити</t>
  </si>
  <si>
    <t>нить МФН 3000 ДН</t>
  </si>
  <si>
    <t>константы</t>
  </si>
  <si>
    <t>ед измерения</t>
  </si>
  <si>
    <t>гр</t>
  </si>
  <si>
    <t>м</t>
  </si>
  <si>
    <t xml:space="preserve">П образный крой -  полтно </t>
  </si>
  <si>
    <t>боковинка</t>
  </si>
  <si>
    <t>расшифровка</t>
  </si>
  <si>
    <t>нужно высоту загрузки умножить на 2 и прибавить размер дна, боковинка просто берем высоту загрузки и умножаем на 2 так как две боковинки</t>
  </si>
  <si>
    <t>высчитываем длину швов в см</t>
  </si>
  <si>
    <t>РПП 98см-72гр/м2 + лам</t>
  </si>
  <si>
    <t>ширину бб умножаем на 4 стороны и добавлячем 5 см на швы, к юбке 3 см плюстоже на швы 5 и 3 это константы, 0,0095 плотность лам полотна</t>
  </si>
  <si>
    <t>ткань ламинат длина</t>
  </si>
  <si>
    <t>ткань ламинат ширина</t>
  </si>
  <si>
    <t>ткань ламинат плотность</t>
  </si>
  <si>
    <t>пэ</t>
  </si>
  <si>
    <t>информационный карман А5</t>
  </si>
  <si>
    <t>стандарт</t>
  </si>
  <si>
    <t>ленточка  1 см ширина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</si>
</sst>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i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/>
    <xf numFmtId="164" fontId="4" fillId="3" borderId="5" xfId="0" applyNumberFormat="1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2" fontId="4" fillId="3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" fontId="0" fillId="0" borderId="5" xfId="0" applyNumberFormat="1" applyBorder="1"/>
    <xf numFmtId="0" fontId="6" fillId="2" borderId="5" xfId="0" applyFont="1" applyFill="1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1" fontId="4" fillId="3" borderId="5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wrapText="1"/>
    </xf>
    <xf numFmtId="2" fontId="4" fillId="3" borderId="5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/>
    <xf numFmtId="0" fontId="6" fillId="4" borderId="5" xfId="0" applyFont="1" applyFill="1" applyBorder="1" applyAlignment="1">
      <alignment horizontal="left"/>
    </xf>
    <xf numFmtId="0" fontId="6" fillId="4" borderId="5" xfId="0" applyFont="1" applyFill="1" applyBorder="1"/>
    <xf numFmtId="0" fontId="0" fillId="4" borderId="5" xfId="0" applyFill="1" applyBorder="1" applyAlignment="1">
      <alignment horizontal="right"/>
    </xf>
    <xf numFmtId="0" fontId="0" fillId="0" borderId="5" xfId="0" applyFill="1" applyBorder="1" applyAlignment="1">
      <alignment horizontal="center"/>
    </xf>
    <xf numFmtId="0" fontId="6" fillId="2" borderId="0" xfId="0" applyFont="1" applyFill="1" applyBorder="1" applyAlignment="1">
      <alignment wrapText="1"/>
    </xf>
    <xf numFmtId="1" fontId="4" fillId="3" borderId="0" xfId="0" applyNumberFormat="1" applyFont="1" applyFill="1" applyBorder="1" applyAlignment="1">
      <alignment horizontal="center" vertical="center" wrapText="1"/>
    </xf>
    <xf numFmtId="2" fontId="4" fillId="3" borderId="0" xfId="0" applyNumberFormat="1" applyFont="1" applyFill="1" applyBorder="1" applyAlignment="1">
      <alignment horizontal="center" vertical="center" wrapText="1"/>
    </xf>
    <xf numFmtId="0" fontId="6" fillId="4" borderId="0" xfId="0" applyFont="1" applyFill="1" applyBorder="1"/>
    <xf numFmtId="0" fontId="0" fillId="0" borderId="5" xfId="0" applyBorder="1" applyAlignment="1">
      <alignment horizontal="center"/>
    </xf>
    <xf numFmtId="0" fontId="0" fillId="0" borderId="9" xfId="0" applyFill="1" applyBorder="1" applyAlignment="1">
      <alignment horizontal="center"/>
    </xf>
    <xf numFmtId="164" fontId="0" fillId="0" borderId="5" xfId="0" applyNumberFormat="1" applyBorder="1"/>
    <xf numFmtId="0" fontId="0" fillId="0" borderId="9" xfId="0" applyFill="1" applyBorder="1" applyAlignment="1"/>
    <xf numFmtId="0" fontId="0" fillId="0" borderId="1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4" fillId="3" borderId="9" xfId="0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zoomScale="90" zoomScaleNormal="90" workbookViewId="0">
      <selection activeCell="E24" sqref="E24"/>
    </sheetView>
  </sheetViews>
  <sheetFormatPr defaultRowHeight="15" x14ac:dyDescent="0.25"/>
  <cols>
    <col min="1" max="1" width="36" customWidth="1"/>
    <col min="2" max="2" width="22.42578125" style="14" customWidth="1"/>
    <col min="3" max="3" width="25.28515625" customWidth="1"/>
    <col min="4" max="4" width="19.85546875" customWidth="1"/>
    <col min="5" max="5" width="31.42578125" customWidth="1"/>
    <col min="6" max="6" width="38.140625" customWidth="1"/>
    <col min="7" max="7" width="11.42578125" customWidth="1"/>
    <col min="19" max="19" width="20.5703125" customWidth="1"/>
  </cols>
  <sheetData>
    <row r="1" spans="1:19" ht="15.75" x14ac:dyDescent="0.25">
      <c r="A1" t="s">
        <v>38</v>
      </c>
      <c r="C1" s="1" t="s">
        <v>0</v>
      </c>
      <c r="E1" s="1" t="s">
        <v>20</v>
      </c>
      <c r="F1" s="1"/>
    </row>
    <row r="2" spans="1:19" s="3" customFormat="1" ht="15" customHeight="1" x14ac:dyDescent="0.2">
      <c r="A2" s="54" t="s">
        <v>16</v>
      </c>
      <c r="B2" s="15"/>
      <c r="C2" s="54" t="s">
        <v>1</v>
      </c>
      <c r="D2" s="54" t="s">
        <v>23</v>
      </c>
      <c r="E2" s="54" t="s">
        <v>2</v>
      </c>
      <c r="F2" s="7"/>
      <c r="G2" s="54" t="s">
        <v>3</v>
      </c>
      <c r="H2" s="57" t="s">
        <v>4</v>
      </c>
      <c r="I2" s="58"/>
      <c r="J2" s="58"/>
      <c r="K2" s="58"/>
      <c r="L2" s="58"/>
      <c r="M2" s="59"/>
      <c r="N2" s="2"/>
      <c r="O2" s="61" t="s">
        <v>5</v>
      </c>
      <c r="P2" s="62"/>
      <c r="Q2" s="62"/>
      <c r="R2" s="63"/>
      <c r="S2" s="54" t="s">
        <v>22</v>
      </c>
    </row>
    <row r="3" spans="1:19" s="3" customFormat="1" ht="15" customHeight="1" x14ac:dyDescent="0.2">
      <c r="A3" s="55"/>
      <c r="B3" s="16"/>
      <c r="C3" s="55"/>
      <c r="D3" s="55"/>
      <c r="E3" s="55"/>
      <c r="F3" s="8"/>
      <c r="G3" s="55"/>
      <c r="H3" s="57" t="s">
        <v>6</v>
      </c>
      <c r="I3" s="58"/>
      <c r="J3" s="59"/>
      <c r="K3" s="57" t="s">
        <v>7</v>
      </c>
      <c r="L3" s="58"/>
      <c r="M3" s="59"/>
      <c r="N3" s="2"/>
      <c r="O3" s="64"/>
      <c r="P3" s="65"/>
      <c r="Q3" s="65"/>
      <c r="R3" s="66"/>
      <c r="S3" s="55"/>
    </row>
    <row r="4" spans="1:19" s="3" customFormat="1" ht="89.25" x14ac:dyDescent="0.2">
      <c r="A4" s="56"/>
      <c r="B4" s="17" t="s">
        <v>21</v>
      </c>
      <c r="C4" s="56"/>
      <c r="D4" s="56"/>
      <c r="E4" s="56"/>
      <c r="F4" s="9"/>
      <c r="G4" s="56"/>
      <c r="H4" s="2" t="s">
        <v>8</v>
      </c>
      <c r="I4" s="2" t="s">
        <v>9</v>
      </c>
      <c r="J4" s="2" t="s">
        <v>10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56"/>
    </row>
    <row r="5" spans="1:19" ht="33" customHeight="1" x14ac:dyDescent="0.25">
      <c r="A5" s="5" t="s">
        <v>0</v>
      </c>
      <c r="B5" s="18">
        <v>10000</v>
      </c>
      <c r="C5" s="5" t="s">
        <v>17</v>
      </c>
      <c r="D5" s="5">
        <v>100</v>
      </c>
      <c r="E5" s="5">
        <v>115</v>
      </c>
      <c r="F5" s="5"/>
      <c r="G5" s="5" t="s">
        <v>18</v>
      </c>
      <c r="H5" s="5">
        <v>1000</v>
      </c>
      <c r="I5" s="5">
        <v>2</v>
      </c>
      <c r="J5" s="5">
        <v>50</v>
      </c>
      <c r="K5" s="5">
        <v>1000</v>
      </c>
      <c r="L5" s="5">
        <v>2</v>
      </c>
      <c r="M5" s="5">
        <v>50</v>
      </c>
      <c r="N5" s="5">
        <f>H5/9*J5/100+K5/9*M5/100</f>
        <v>111.11111111111111</v>
      </c>
      <c r="O5" s="4">
        <f>(H5*(J5/2)*5*0.95)/1000</f>
        <v>118.75</v>
      </c>
      <c r="P5" s="6" t="s">
        <v>19</v>
      </c>
      <c r="Q5" s="4">
        <f>(K5*(M5/2)*5*0.93)/1000</f>
        <v>116.25</v>
      </c>
      <c r="R5" s="6" t="s">
        <v>19</v>
      </c>
      <c r="S5" s="6">
        <f>((D5/100*1*2*E5))</f>
        <v>230</v>
      </c>
    </row>
    <row r="7" spans="1:19" x14ac:dyDescent="0.25">
      <c r="A7" t="s">
        <v>39</v>
      </c>
    </row>
    <row r="8" spans="1:19" ht="76.5" x14ac:dyDescent="0.25">
      <c r="A8" s="60" t="s">
        <v>24</v>
      </c>
      <c r="B8" s="19" t="s">
        <v>25</v>
      </c>
      <c r="C8" s="2" t="s">
        <v>26</v>
      </c>
      <c r="D8" s="2" t="s">
        <v>27</v>
      </c>
      <c r="E8" s="2" t="s">
        <v>28</v>
      </c>
      <c r="F8" s="2"/>
      <c r="G8" s="2" t="s">
        <v>29</v>
      </c>
      <c r="H8" s="2" t="s">
        <v>30</v>
      </c>
      <c r="I8" s="2" t="s">
        <v>31</v>
      </c>
      <c r="J8" s="2" t="s">
        <v>32</v>
      </c>
      <c r="K8" s="2" t="s">
        <v>33</v>
      </c>
      <c r="L8" s="2" t="s">
        <v>34</v>
      </c>
    </row>
    <row r="9" spans="1:19" x14ac:dyDescent="0.25">
      <c r="A9" s="60"/>
      <c r="B9" s="18">
        <v>2000</v>
      </c>
      <c r="C9" s="5">
        <v>2</v>
      </c>
      <c r="D9" s="5">
        <f>B9/C9</f>
        <v>1000</v>
      </c>
      <c r="E9" s="5">
        <v>1000</v>
      </c>
      <c r="F9" s="5"/>
      <c r="G9" s="5">
        <v>9</v>
      </c>
      <c r="H9" s="5">
        <f>E9/1000</f>
        <v>1</v>
      </c>
      <c r="I9" s="5">
        <f>B5</f>
        <v>10000</v>
      </c>
      <c r="J9" s="5">
        <v>0.02</v>
      </c>
      <c r="K9" s="5">
        <v>1E-3</v>
      </c>
      <c r="L9" s="5">
        <f>(((D9*(H9/G9))*I9)*K9)+((((D9*(H9/G9))*I9)*K9)*J9)</f>
        <v>1133.3333333333333</v>
      </c>
    </row>
    <row r="10" spans="1:19" ht="76.5" x14ac:dyDescent="0.25">
      <c r="A10" s="60" t="s">
        <v>35</v>
      </c>
      <c r="B10" s="19" t="s">
        <v>36</v>
      </c>
      <c r="C10" s="2" t="s">
        <v>26</v>
      </c>
      <c r="D10" s="2" t="s">
        <v>37</v>
      </c>
      <c r="E10" s="2" t="s">
        <v>28</v>
      </c>
      <c r="F10" s="2"/>
      <c r="G10" s="2" t="s">
        <v>29</v>
      </c>
      <c r="H10" s="2" t="s">
        <v>30</v>
      </c>
      <c r="I10" s="2" t="s">
        <v>31</v>
      </c>
      <c r="J10" s="2" t="s">
        <v>32</v>
      </c>
      <c r="K10" s="2" t="s">
        <v>33</v>
      </c>
      <c r="L10" s="2" t="s">
        <v>34</v>
      </c>
    </row>
    <row r="11" spans="1:19" x14ac:dyDescent="0.25">
      <c r="A11" s="60"/>
      <c r="B11" s="18">
        <v>2</v>
      </c>
      <c r="C11" s="5">
        <v>2</v>
      </c>
      <c r="D11" s="5">
        <v>400</v>
      </c>
      <c r="E11" s="5">
        <v>1000</v>
      </c>
      <c r="F11" s="5"/>
      <c r="G11" s="5">
        <v>9</v>
      </c>
      <c r="H11" s="5">
        <f>E11/1000</f>
        <v>1</v>
      </c>
      <c r="I11" s="5">
        <f>B5</f>
        <v>10000</v>
      </c>
      <c r="J11" s="5">
        <v>0.02</v>
      </c>
      <c r="K11" s="5">
        <v>1E-3</v>
      </c>
      <c r="L11" s="5">
        <f>((D11*(H11/G11*B11))*I11)*K11+(((D11*(H11/G11*B11))*I11)*K11)*J11</f>
        <v>906.66666666666674</v>
      </c>
    </row>
    <row r="12" spans="1:19" x14ac:dyDescent="0.25">
      <c r="A12" s="51" t="s">
        <v>48</v>
      </c>
      <c r="B12" s="52"/>
      <c r="C12" s="52"/>
      <c r="D12" s="52"/>
      <c r="E12" s="52"/>
      <c r="F12" s="52"/>
      <c r="G12" s="52"/>
      <c r="H12" s="52"/>
      <c r="I12" s="52"/>
      <c r="J12" s="52"/>
      <c r="K12" s="53"/>
      <c r="L12" s="10">
        <f>L9+L11</f>
        <v>2040</v>
      </c>
    </row>
    <row r="14" spans="1:19" x14ac:dyDescent="0.25">
      <c r="A14" t="s">
        <v>40</v>
      </c>
    </row>
    <row r="15" spans="1:19" x14ac:dyDescent="0.25">
      <c r="A15" s="11" t="s">
        <v>41</v>
      </c>
      <c r="B15" s="20" t="s">
        <v>42</v>
      </c>
      <c r="C15" s="11" t="s">
        <v>43</v>
      </c>
      <c r="D15" s="11" t="s">
        <v>44</v>
      </c>
      <c r="E15" s="11" t="s">
        <v>45</v>
      </c>
      <c r="F15" s="28"/>
    </row>
    <row r="16" spans="1:19" x14ac:dyDescent="0.25">
      <c r="A16" s="5" t="s">
        <v>46</v>
      </c>
      <c r="B16" s="18">
        <v>92</v>
      </c>
      <c r="C16" s="5">
        <v>4</v>
      </c>
      <c r="D16" s="5">
        <v>2</v>
      </c>
      <c r="E16" s="5">
        <v>2</v>
      </c>
      <c r="F16" s="29"/>
    </row>
    <row r="17" spans="1:6" x14ac:dyDescent="0.25">
      <c r="A17" s="5" t="s">
        <v>47</v>
      </c>
      <c r="B17" s="21">
        <f>B16*L12/100</f>
        <v>1876.8</v>
      </c>
      <c r="C17" s="6">
        <f>C16*L12/100</f>
        <v>81.599999999999994</v>
      </c>
      <c r="D17" s="6">
        <f>D16*L12/100</f>
        <v>40.799999999999997</v>
      </c>
      <c r="E17" s="6">
        <f>E16*L12/100</f>
        <v>40.799999999999997</v>
      </c>
      <c r="F17" s="30"/>
    </row>
    <row r="20" spans="1:6" x14ac:dyDescent="0.25">
      <c r="A20" s="24" t="s">
        <v>49</v>
      </c>
      <c r="B20" s="25" t="s">
        <v>55</v>
      </c>
      <c r="C20" s="25" t="s">
        <v>56</v>
      </c>
      <c r="D20" s="25" t="s">
        <v>68</v>
      </c>
      <c r="E20" s="25" t="s">
        <v>69</v>
      </c>
      <c r="F20" s="31"/>
    </row>
    <row r="21" spans="1:6" x14ac:dyDescent="0.25">
      <c r="A21" s="14"/>
      <c r="B21"/>
    </row>
    <row r="22" spans="1:6" x14ac:dyDescent="0.25">
      <c r="A22" s="22" t="s">
        <v>65</v>
      </c>
      <c r="B22" s="12" t="s">
        <v>66</v>
      </c>
      <c r="C22" s="12" t="s">
        <v>67</v>
      </c>
    </row>
    <row r="23" spans="1:6" x14ac:dyDescent="0.25">
      <c r="A23" s="22" t="s">
        <v>50</v>
      </c>
      <c r="B23" s="13">
        <v>100</v>
      </c>
      <c r="C23" s="12" t="s">
        <v>61</v>
      </c>
    </row>
    <row r="24" spans="1:6" x14ac:dyDescent="0.25">
      <c r="A24" s="22" t="s">
        <v>52</v>
      </c>
      <c r="B24" s="13">
        <v>100</v>
      </c>
      <c r="C24" s="12" t="s">
        <v>61</v>
      </c>
    </row>
    <row r="25" spans="1:6" x14ac:dyDescent="0.25">
      <c r="A25" s="22" t="s">
        <v>51</v>
      </c>
      <c r="B25" s="13">
        <v>140</v>
      </c>
      <c r="C25" s="12" t="s">
        <v>61</v>
      </c>
    </row>
    <row r="26" spans="1:6" x14ac:dyDescent="0.25">
      <c r="A26" s="22" t="s">
        <v>62</v>
      </c>
      <c r="B26" s="13">
        <v>2</v>
      </c>
      <c r="C26" s="12" t="s">
        <v>61</v>
      </c>
    </row>
    <row r="27" spans="1:6" x14ac:dyDescent="0.25">
      <c r="A27" s="22" t="s">
        <v>54</v>
      </c>
      <c r="B27" s="26" t="s">
        <v>63</v>
      </c>
      <c r="C27" s="12" t="s">
        <v>61</v>
      </c>
    </row>
    <row r="28" spans="1:6" x14ac:dyDescent="0.25">
      <c r="A28" s="22" t="s">
        <v>57</v>
      </c>
      <c r="B28" s="13">
        <v>115</v>
      </c>
      <c r="C28" s="12" t="s">
        <v>61</v>
      </c>
    </row>
    <row r="29" spans="1:6" x14ac:dyDescent="0.25">
      <c r="A29" s="22" t="s">
        <v>53</v>
      </c>
      <c r="B29" s="13">
        <v>25</v>
      </c>
      <c r="C29" s="12" t="s">
        <v>61</v>
      </c>
    </row>
    <row r="30" spans="1:6" x14ac:dyDescent="0.25">
      <c r="A30" s="22" t="s">
        <v>54</v>
      </c>
      <c r="B30" s="13" t="s">
        <v>58</v>
      </c>
      <c r="C30" s="12" t="s">
        <v>61</v>
      </c>
    </row>
    <row r="31" spans="1:6" x14ac:dyDescent="0.25">
      <c r="A31" s="22" t="s">
        <v>59</v>
      </c>
      <c r="B31" s="13">
        <v>70</v>
      </c>
      <c r="C31" s="12" t="s">
        <v>61</v>
      </c>
    </row>
    <row r="32" spans="1:6" x14ac:dyDescent="0.25">
      <c r="A32" s="22" t="s">
        <v>60</v>
      </c>
      <c r="B32" s="13">
        <v>150</v>
      </c>
      <c r="C32" s="12" t="s">
        <v>64</v>
      </c>
    </row>
    <row r="35" spans="1:6" x14ac:dyDescent="0.25">
      <c r="A35" s="27" t="s">
        <v>72</v>
      </c>
      <c r="B35" s="32" t="s">
        <v>76</v>
      </c>
      <c r="C35" s="27" t="s">
        <v>70</v>
      </c>
      <c r="D35" s="27" t="s">
        <v>77</v>
      </c>
      <c r="E35" s="32" t="s">
        <v>71</v>
      </c>
      <c r="F35" s="27" t="s">
        <v>82</v>
      </c>
    </row>
    <row r="36" spans="1:6" x14ac:dyDescent="0.25">
      <c r="A36" s="36" t="s">
        <v>73</v>
      </c>
      <c r="B36" s="32" t="s">
        <v>80</v>
      </c>
      <c r="C36" s="32">
        <f>(B25*2+B24)/100</f>
        <v>3.8</v>
      </c>
      <c r="D36" s="32" t="s">
        <v>79</v>
      </c>
      <c r="E36" s="42" t="s">
        <v>17</v>
      </c>
      <c r="F36" s="39" t="s">
        <v>83</v>
      </c>
    </row>
    <row r="37" spans="1:6" x14ac:dyDescent="0.25">
      <c r="A37" s="37"/>
      <c r="B37" s="32" t="s">
        <v>81</v>
      </c>
      <c r="C37" s="32">
        <f>(B25*2)/100</f>
        <v>2.8</v>
      </c>
      <c r="D37" s="32" t="s">
        <v>79</v>
      </c>
      <c r="E37" s="43"/>
      <c r="F37" s="40"/>
    </row>
    <row r="38" spans="1:6" ht="39.75" customHeight="1" x14ac:dyDescent="0.25">
      <c r="A38" s="38"/>
      <c r="B38" s="32" t="s">
        <v>48</v>
      </c>
      <c r="C38" s="32">
        <f>C36+C37</f>
        <v>6.6</v>
      </c>
      <c r="D38" s="32"/>
      <c r="E38" s="44"/>
      <c r="F38" s="41"/>
    </row>
    <row r="39" spans="1:6" x14ac:dyDescent="0.25">
      <c r="A39" s="27" t="s">
        <v>74</v>
      </c>
      <c r="B39" s="32">
        <v>7.6999999999999999E-2</v>
      </c>
      <c r="C39" s="32">
        <f>(B25+B25+B24+B23*4)*B39</f>
        <v>60.06</v>
      </c>
      <c r="D39" s="32" t="s">
        <v>78</v>
      </c>
      <c r="E39" s="32" t="s">
        <v>75</v>
      </c>
      <c r="F39" s="27" t="s">
        <v>84</v>
      </c>
    </row>
    <row r="40" spans="1:6" ht="15" customHeight="1" x14ac:dyDescent="0.25">
      <c r="A40" s="23" t="s">
        <v>87</v>
      </c>
      <c r="B40" s="22">
        <v>5</v>
      </c>
      <c r="C40" s="12">
        <f>B23*4+B40</f>
        <v>405</v>
      </c>
      <c r="D40" s="27" t="s">
        <v>79</v>
      </c>
      <c r="E40" s="48" t="s">
        <v>85</v>
      </c>
      <c r="F40" s="45" t="s">
        <v>86</v>
      </c>
    </row>
    <row r="41" spans="1:6" x14ac:dyDescent="0.25">
      <c r="A41" s="23" t="s">
        <v>88</v>
      </c>
      <c r="B41" s="22">
        <v>3</v>
      </c>
      <c r="C41" s="12">
        <f>B31+B41</f>
        <v>73</v>
      </c>
      <c r="D41" s="27" t="s">
        <v>79</v>
      </c>
      <c r="E41" s="49"/>
      <c r="F41" s="46"/>
    </row>
    <row r="42" spans="1:6" x14ac:dyDescent="0.25">
      <c r="A42" s="23" t="s">
        <v>89</v>
      </c>
      <c r="B42" s="22">
        <v>9.4999999999999998E-3</v>
      </c>
      <c r="C42" s="34">
        <f>C40*C41*B42</f>
        <v>280.86750000000001</v>
      </c>
      <c r="D42" s="27" t="s">
        <v>78</v>
      </c>
      <c r="E42" s="50"/>
      <c r="F42" s="47"/>
    </row>
    <row r="43" spans="1:6" x14ac:dyDescent="0.25">
      <c r="A43" s="35" t="s">
        <v>93</v>
      </c>
      <c r="B43" s="14">
        <v>1.5</v>
      </c>
      <c r="C43">
        <f>5*B43</f>
        <v>7.5</v>
      </c>
      <c r="D43" s="33" t="s">
        <v>78</v>
      </c>
    </row>
    <row r="44" spans="1:6" x14ac:dyDescent="0.25">
      <c r="A44" s="35" t="s">
        <v>90</v>
      </c>
      <c r="D44">
        <v>5</v>
      </c>
      <c r="E44" t="s">
        <v>91</v>
      </c>
      <c r="F44" t="s">
        <v>92</v>
      </c>
    </row>
  </sheetData>
  <mergeCells count="18">
    <mergeCell ref="S2:S4"/>
    <mergeCell ref="D2:D4"/>
    <mergeCell ref="A8:A9"/>
    <mergeCell ref="A10:A11"/>
    <mergeCell ref="O2:R3"/>
    <mergeCell ref="A12:K12"/>
    <mergeCell ref="C2:C4"/>
    <mergeCell ref="E2:E4"/>
    <mergeCell ref="G2:G4"/>
    <mergeCell ref="H2:M2"/>
    <mergeCell ref="H3:J3"/>
    <mergeCell ref="K3:M3"/>
    <mergeCell ref="A2:A4"/>
    <mergeCell ref="A36:A38"/>
    <mergeCell ref="F36:F38"/>
    <mergeCell ref="E36:E38"/>
    <mergeCell ref="F40:F42"/>
    <mergeCell ref="E40:E42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2026-01-12T10:33:20Z</dcterms:modified>
</cp:coreProperties>
</file>