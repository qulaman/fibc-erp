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Default Extension="jpeg" ContentType="image/jpeg"/>
  <Override PartName="/xl/drawings/drawing18.xml" ContentType="application/vnd.openxmlformats-officedocument.drawing+xml"/>
  <Override PartName="/xl/drawings/drawing2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040" firstSheet="14" activeTab="33"/>
  </bookViews>
  <sheets>
    <sheet name="90-90-140(1)" sheetId="6" state="hidden" r:id="rId1"/>
    <sheet name="90-90-140(2)" sheetId="4" state="hidden" r:id="rId2"/>
    <sheet name="90-90-140(3)" sheetId="24" state="hidden" r:id="rId3"/>
    <sheet name="110-110-140(1)" sheetId="7" state="hidden" r:id="rId4"/>
    <sheet name="110-110-140(2)" sheetId="8" state="hidden" r:id="rId5"/>
    <sheet name="90-90-120(1)" sheetId="9" state="hidden" r:id="rId6"/>
    <sheet name="90-90-120 (2)" sheetId="17" state="hidden" r:id="rId7"/>
    <sheet name="80-80-120(1)" sheetId="22" state="hidden" r:id="rId8"/>
    <sheet name="80-80-120 (2)" sheetId="23" state="hidden" r:id="rId9"/>
    <sheet name="110-110-105-4 (2)" sheetId="20" state="hidden" r:id="rId10"/>
    <sheet name="ERG 150" sheetId="26" state="hidden" r:id="rId11"/>
    <sheet name="90-90-150-2" sheetId="27" state="hidden" r:id="rId12"/>
    <sheet name="90-90-100-2 " sheetId="28" state="hidden" r:id="rId13"/>
    <sheet name="Лист7" sheetId="29" state="hidden" r:id="rId14"/>
    <sheet name="ERG 160 " sheetId="34" r:id="rId15"/>
    <sheet name="ERG 150 с вкл" sheetId="33" state="hidden" r:id="rId16"/>
    <sheet name="ERG 160 с вкл " sheetId="35" state="hidden" r:id="rId17"/>
    <sheet name="ERG 170 " sheetId="32" state="hidden" r:id="rId18"/>
    <sheet name="ERG 180  " sheetId="36" state="hidden" r:id="rId19"/>
    <sheet name="ERG 150 с вкл   (2)" sheetId="39" state="hidden" r:id="rId20"/>
    <sheet name="ERG 160 с вкл  (2)" sheetId="40" state="hidden" r:id="rId21"/>
    <sheet name="ERG вкл" sheetId="30" state="hidden" r:id="rId22"/>
    <sheet name="ERG без вкл" sheetId="31" state="hidden" r:id="rId23"/>
    <sheet name="90-90-140 (2)" sheetId="21" state="hidden" r:id="rId24"/>
    <sheet name="Лист2" sheetId="2" state="hidden" r:id="rId25"/>
    <sheet name="Лист3" sheetId="3" state="hidden" r:id="rId26"/>
    <sheet name="90-90-140(4)" sheetId="11" state="hidden" r:id="rId27"/>
    <sheet name="110-110-140(3)" sheetId="12" state="hidden" r:id="rId28"/>
    <sheet name="110-110-140(4)" sheetId="13" state="hidden" r:id="rId29"/>
    <sheet name="90-90-120(2)" sheetId="14" state="hidden" r:id="rId30"/>
    <sheet name="Лист2 (2)" sheetId="15" state="hidden" r:id="rId31"/>
    <sheet name="Лист3 (2)" sheetId="16" state="hidden" r:id="rId32"/>
    <sheet name="ввмр" sheetId="42" r:id="rId33"/>
    <sheet name="план" sheetId="43" r:id="rId3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P3" i="43"/>
  <c r="FP2"/>
  <c r="K4" i="42"/>
  <c r="CU4" i="43"/>
  <c r="CQ4" s="1"/>
  <c r="CO2"/>
  <c r="CO3"/>
  <c r="CO4"/>
  <c r="AD4"/>
  <c r="AF4" s="1"/>
  <c r="FA4"/>
  <c r="EZ4"/>
  <c r="EY4"/>
  <c r="EQ4"/>
  <c r="EP4"/>
  <c r="FB4" s="1"/>
  <c r="FD4" s="1"/>
  <c r="EL4"/>
  <c r="EH4"/>
  <c r="EJ4" s="1"/>
  <c r="EG4"/>
  <c r="EI4" s="1"/>
  <c r="EF4"/>
  <c r="EE4"/>
  <c r="ED4"/>
  <c r="DV4"/>
  <c r="DU4"/>
  <c r="DT4"/>
  <c r="DQ4"/>
  <c r="DK4"/>
  <c r="DJ4"/>
  <c r="DI4"/>
  <c r="DA4"/>
  <c r="DM4" s="1"/>
  <c r="DO4" s="1"/>
  <c r="CZ4"/>
  <c r="CY4" s="1"/>
  <c r="DL4" s="1"/>
  <c r="DN4" s="1"/>
  <c r="CP4"/>
  <c r="CN4"/>
  <c r="CF4"/>
  <c r="CE4"/>
  <c r="CD4" s="1"/>
  <c r="FJ4"/>
  <c r="BV4"/>
  <c r="BS4"/>
  <c r="BR4"/>
  <c r="BT4" s="1"/>
  <c r="BW4" s="1"/>
  <c r="BK4"/>
  <c r="BJ4"/>
  <c r="BA4"/>
  <c r="BN4" s="1"/>
  <c r="AX4"/>
  <c r="AW4"/>
  <c r="AY4" s="1"/>
  <c r="BB4" s="1"/>
  <c r="AP4"/>
  <c r="AO4"/>
  <c r="FK4"/>
  <c r="FO3"/>
  <c r="FO2"/>
  <c r="FJ2"/>
  <c r="FI2"/>
  <c r="FI3"/>
  <c r="FN3"/>
  <c r="FM2"/>
  <c r="FL2"/>
  <c r="AY3"/>
  <c r="AY2"/>
  <c r="BA3"/>
  <c r="BN3" s="1"/>
  <c r="AX3"/>
  <c r="AW3"/>
  <c r="AS3"/>
  <c r="BA2"/>
  <c r="BN2" s="1"/>
  <c r="AX2"/>
  <c r="AW2"/>
  <c r="AS2"/>
  <c r="BT3"/>
  <c r="BT2"/>
  <c r="BW2" s="1"/>
  <c r="BJ2"/>
  <c r="BV3"/>
  <c r="BW3"/>
  <c r="BS3"/>
  <c r="BR3"/>
  <c r="BV2"/>
  <c r="BS2"/>
  <c r="BR2"/>
  <c r="BK3"/>
  <c r="BJ3"/>
  <c r="AP3"/>
  <c r="AO3"/>
  <c r="AP2"/>
  <c r="AO2"/>
  <c r="BK2"/>
  <c r="FK2"/>
  <c r="EF3"/>
  <c r="EE3"/>
  <c r="ED3"/>
  <c r="FG2"/>
  <c r="FA3"/>
  <c r="EZ3"/>
  <c r="EY3"/>
  <c r="EQ3"/>
  <c r="EP3"/>
  <c r="EO3" s="1"/>
  <c r="FA2"/>
  <c r="EZ2"/>
  <c r="EY2"/>
  <c r="EQ2"/>
  <c r="FC2" s="1"/>
  <c r="FE2" s="1"/>
  <c r="EP2"/>
  <c r="EO2" s="1"/>
  <c r="DV3"/>
  <c r="EH3" s="1"/>
  <c r="EJ3" s="1"/>
  <c r="DU3"/>
  <c r="DT3" s="1"/>
  <c r="EG3" s="1"/>
  <c r="EI3" s="1"/>
  <c r="EF2"/>
  <c r="EE2"/>
  <c r="ED2"/>
  <c r="DV2"/>
  <c r="DU2"/>
  <c r="DT2" s="1"/>
  <c r="DK3"/>
  <c r="DJ3"/>
  <c r="DI3"/>
  <c r="DA3"/>
  <c r="CZ3"/>
  <c r="CY3"/>
  <c r="DK2"/>
  <c r="DJ2"/>
  <c r="DI2"/>
  <c r="DA2"/>
  <c r="CZ2"/>
  <c r="CY2" s="1"/>
  <c r="CU2"/>
  <c r="CP3"/>
  <c r="CP2"/>
  <c r="CN3"/>
  <c r="CN2"/>
  <c r="FC4" l="1"/>
  <c r="FE4" s="1"/>
  <c r="CV4"/>
  <c r="FG4"/>
  <c r="CR4"/>
  <c r="CT4" s="1"/>
  <c r="AS4"/>
  <c r="AG4"/>
  <c r="FN4" s="1"/>
  <c r="CS4"/>
  <c r="FL4"/>
  <c r="BB3"/>
  <c r="BB2"/>
  <c r="FB2"/>
  <c r="FD2" s="1"/>
  <c r="FH4" l="1"/>
  <c r="FO4"/>
  <c r="FI4"/>
  <c r="CF3" l="1"/>
  <c r="CF2"/>
  <c r="CR2" s="1"/>
  <c r="CT2" s="1"/>
  <c r="CE3"/>
  <c r="CD3" s="1"/>
  <c r="CE2"/>
  <c r="CD2" s="1"/>
  <c r="CQ2" s="1"/>
  <c r="CS2" s="1"/>
  <c r="FF3"/>
  <c r="H19" i="42"/>
  <c r="EL3" i="43"/>
  <c r="EK2"/>
  <c r="DQ2"/>
  <c r="DP3"/>
  <c r="DQ3" s="1"/>
  <c r="DP2"/>
  <c r="CU3"/>
  <c r="CV3" s="1"/>
  <c r="CV2"/>
  <c r="BX3"/>
  <c r="BY3" s="1"/>
  <c r="FJ3" s="1"/>
  <c r="BX2"/>
  <c r="BY2" s="1"/>
  <c r="AD3"/>
  <c r="AF3" s="1"/>
  <c r="AG3" s="1"/>
  <c r="F11" i="34"/>
  <c r="J11"/>
  <c r="F12"/>
  <c r="AA3" i="43"/>
  <c r="Y3"/>
  <c r="K16" i="42"/>
  <c r="AD2" i="43"/>
  <c r="AF2" s="1"/>
  <c r="AG2" s="1"/>
  <c r="G16" i="42"/>
  <c r="AA2" i="43"/>
  <c r="Y2"/>
  <c r="FG3" l="1"/>
  <c r="FH3" s="1"/>
  <c r="FB3"/>
  <c r="FD3" s="1"/>
  <c r="FC3"/>
  <c r="FE3" s="1"/>
  <c r="CQ3"/>
  <c r="CS3" s="1"/>
  <c r="DM3"/>
  <c r="DO3" s="1"/>
  <c r="DL3"/>
  <c r="DN3" s="1"/>
  <c r="DM2"/>
  <c r="DO2" s="1"/>
  <c r="DL2"/>
  <c r="DN2" s="1"/>
  <c r="EL2"/>
  <c r="FH2" s="1"/>
  <c r="EG2"/>
  <c r="EI2" s="1"/>
  <c r="EH2"/>
  <c r="EJ2" s="1"/>
  <c r="CR3"/>
  <c r="CT3" s="1"/>
  <c r="BZ3"/>
  <c r="CA3" s="1"/>
  <c r="FK3" s="1"/>
  <c r="FL3" s="1"/>
  <c r="K15" i="42" l="1"/>
  <c r="K14"/>
  <c r="K12"/>
  <c r="K13"/>
  <c r="H5"/>
  <c r="K5" s="1"/>
  <c r="K11"/>
  <c r="K10"/>
  <c r="K9"/>
  <c r="H7"/>
  <c r="K7" s="1"/>
  <c r="K8"/>
  <c r="K6"/>
  <c r="K17" l="1"/>
  <c r="F9" i="34"/>
  <c r="J9" s="1"/>
  <c r="J14" i="40"/>
  <c r="J13"/>
  <c r="F11"/>
  <c r="J11" s="1"/>
  <c r="F8"/>
  <c r="F9" s="1"/>
  <c r="J9" s="1"/>
  <c r="E8"/>
  <c r="J8" s="1"/>
  <c r="F7"/>
  <c r="E7"/>
  <c r="F12" s="1"/>
  <c r="J12" s="1"/>
  <c r="J8" i="39"/>
  <c r="J9"/>
  <c r="J11"/>
  <c r="J13"/>
  <c r="J14"/>
  <c r="F9"/>
  <c r="F8"/>
  <c r="E8"/>
  <c r="F7"/>
  <c r="F11" s="1"/>
  <c r="E7"/>
  <c r="F12" s="1"/>
  <c r="J12" s="1"/>
  <c r="J14" i="36"/>
  <c r="F13"/>
  <c r="J13" s="1"/>
  <c r="F12"/>
  <c r="J12" s="1"/>
  <c r="F10"/>
  <c r="J10" s="1"/>
  <c r="F9"/>
  <c r="J9" s="1"/>
  <c r="J8"/>
  <c r="J7"/>
  <c r="F7"/>
  <c r="J15" i="35"/>
  <c r="J14"/>
  <c r="J13"/>
  <c r="F13"/>
  <c r="F12"/>
  <c r="J12" s="1"/>
  <c r="J10"/>
  <c r="F10"/>
  <c r="F9"/>
  <c r="J9" s="1"/>
  <c r="J8"/>
  <c r="J7"/>
  <c r="F7"/>
  <c r="J13" i="34"/>
  <c r="J12"/>
  <c r="J8"/>
  <c r="J7"/>
  <c r="J14" i="33"/>
  <c r="J15"/>
  <c r="F13"/>
  <c r="J13" s="1"/>
  <c r="F10"/>
  <c r="J10" s="1"/>
  <c r="F9"/>
  <c r="J9" s="1"/>
  <c r="J8"/>
  <c r="J7"/>
  <c r="F7"/>
  <c r="F12" s="1"/>
  <c r="J12" s="1"/>
  <c r="J14" i="32"/>
  <c r="F13"/>
  <c r="J13" s="1"/>
  <c r="F10"/>
  <c r="J10" s="1"/>
  <c r="F9"/>
  <c r="J9" s="1"/>
  <c r="J8"/>
  <c r="F7"/>
  <c r="F12" s="1"/>
  <c r="J12" s="1"/>
  <c r="F9" i="26"/>
  <c r="J14" i="30"/>
  <c r="J10"/>
  <c r="J15" i="31"/>
  <c r="F13"/>
  <c r="J13" s="1"/>
  <c r="F10"/>
  <c r="J9"/>
  <c r="F9"/>
  <c r="J8"/>
  <c r="F7"/>
  <c r="J7" s="1"/>
  <c r="F12" i="30"/>
  <c r="F9"/>
  <c r="J9" s="1"/>
  <c r="J15"/>
  <c r="F13"/>
  <c r="J13" s="1"/>
  <c r="F10"/>
  <c r="J8"/>
  <c r="F7"/>
  <c r="J7" s="1"/>
  <c r="J8" i="20"/>
  <c r="J9"/>
  <c r="J10"/>
  <c r="J15"/>
  <c r="F19"/>
  <c r="F11"/>
  <c r="F8"/>
  <c r="F7"/>
  <c r="F13" s="1"/>
  <c r="F10" i="26"/>
  <c r="J10" s="1"/>
  <c r="F12"/>
  <c r="F7"/>
  <c r="J9" i="27"/>
  <c r="F11"/>
  <c r="J8"/>
  <c r="J7"/>
  <c r="J7" i="40" l="1"/>
  <c r="J15" s="1"/>
  <c r="J7" i="39"/>
  <c r="J15" s="1"/>
  <c r="J15" i="36"/>
  <c r="J16" i="35"/>
  <c r="J14" i="34"/>
  <c r="J7" i="32"/>
  <c r="J15" s="1"/>
  <c r="J16" i="33"/>
  <c r="F12" i="31"/>
  <c r="J12" s="1"/>
  <c r="J16" s="1"/>
  <c r="J12" i="30"/>
  <c r="J16"/>
  <c r="F13" i="28"/>
  <c r="J13" s="1"/>
  <c r="J9"/>
  <c r="F9"/>
  <c r="J10"/>
  <c r="F11"/>
  <c r="J11" s="1"/>
  <c r="J8"/>
  <c r="J7"/>
  <c r="J11" i="27"/>
  <c r="J12"/>
  <c r="J14" i="28" l="1"/>
  <c r="J13" i="27"/>
  <c r="J14" i="26" l="1"/>
  <c r="F13"/>
  <c r="J13" s="1"/>
  <c r="J9"/>
  <c r="J8"/>
  <c r="J12"/>
  <c r="J13" i="20"/>
  <c r="F9" i="22"/>
  <c r="J9" s="1"/>
  <c r="F9" i="9"/>
  <c r="F9" i="7"/>
  <c r="F9" i="24"/>
  <c r="J9" s="1"/>
  <c r="J15"/>
  <c r="J14"/>
  <c r="J11"/>
  <c r="F11"/>
  <c r="J8"/>
  <c r="J7"/>
  <c r="K1"/>
  <c r="K2" s="1"/>
  <c r="F9" i="6"/>
  <c r="J9"/>
  <c r="J13" i="23"/>
  <c r="F12"/>
  <c r="J12" s="1"/>
  <c r="F9"/>
  <c r="J9" s="1"/>
  <c r="J8"/>
  <c r="F7"/>
  <c r="F11" s="1"/>
  <c r="J11" s="1"/>
  <c r="K2"/>
  <c r="K1"/>
  <c r="J13" i="22"/>
  <c r="F12"/>
  <c r="J12" s="1"/>
  <c r="F11"/>
  <c r="J11" s="1"/>
  <c r="J8"/>
  <c r="J7"/>
  <c r="K1"/>
  <c r="K2" s="1"/>
  <c r="F7" i="4"/>
  <c r="J7" s="1"/>
  <c r="F7" i="8"/>
  <c r="F7" i="17"/>
  <c r="F7" i="21"/>
  <c r="F11" s="1"/>
  <c r="J11" s="1"/>
  <c r="F12"/>
  <c r="J13"/>
  <c r="J12"/>
  <c r="F9"/>
  <c r="J9" s="1"/>
  <c r="J8"/>
  <c r="K2"/>
  <c r="K1"/>
  <c r="J16" i="20"/>
  <c r="J14"/>
  <c r="F11" i="17"/>
  <c r="J11" s="1"/>
  <c r="F9"/>
  <c r="J13"/>
  <c r="F12"/>
  <c r="J12" s="1"/>
  <c r="J8"/>
  <c r="K1"/>
  <c r="K2" s="1"/>
  <c r="J13" i="14"/>
  <c r="F12"/>
  <c r="J12" s="1"/>
  <c r="F11"/>
  <c r="J11" s="1"/>
  <c r="F9"/>
  <c r="J9" s="1"/>
  <c r="J8"/>
  <c r="J7"/>
  <c r="K1"/>
  <c r="K2" s="1"/>
  <c r="J15" i="13"/>
  <c r="J14"/>
  <c r="J11"/>
  <c r="F11"/>
  <c r="J9"/>
  <c r="F9"/>
  <c r="J8"/>
  <c r="F7"/>
  <c r="J7" s="1"/>
  <c r="J16" s="1"/>
  <c r="K1"/>
  <c r="K2" s="1"/>
  <c r="J15" i="12"/>
  <c r="J14"/>
  <c r="J11"/>
  <c r="F11"/>
  <c r="J9"/>
  <c r="F9"/>
  <c r="J8"/>
  <c r="J7"/>
  <c r="J16" s="1"/>
  <c r="K2"/>
  <c r="K1"/>
  <c r="J15" i="11"/>
  <c r="J14"/>
  <c r="F11"/>
  <c r="J11" s="1"/>
  <c r="F9"/>
  <c r="J9" s="1"/>
  <c r="J8"/>
  <c r="J7"/>
  <c r="J16" s="1"/>
  <c r="F7"/>
  <c r="K2"/>
  <c r="K1"/>
  <c r="F11" i="9"/>
  <c r="F12"/>
  <c r="J12" s="1"/>
  <c r="J11"/>
  <c r="F11" i="6"/>
  <c r="J11" s="1"/>
  <c r="F11" i="4"/>
  <c r="F11" i="8"/>
  <c r="J13" i="9"/>
  <c r="J9"/>
  <c r="J8"/>
  <c r="J7"/>
  <c r="K1"/>
  <c r="K2" s="1"/>
  <c r="F9" i="4"/>
  <c r="F9" i="8"/>
  <c r="J9" s="1"/>
  <c r="J15"/>
  <c r="J14"/>
  <c r="J8"/>
  <c r="K1"/>
  <c r="K2" s="1"/>
  <c r="J15" i="7"/>
  <c r="J14"/>
  <c r="F11"/>
  <c r="J11" s="1"/>
  <c r="J9"/>
  <c r="J8"/>
  <c r="J7"/>
  <c r="K2"/>
  <c r="K1"/>
  <c r="J15" i="6"/>
  <c r="J14"/>
  <c r="J8"/>
  <c r="J7"/>
  <c r="K1"/>
  <c r="K2" s="1"/>
  <c r="K1" i="4"/>
  <c r="K2" s="1"/>
  <c r="J8"/>
  <c r="J15"/>
  <c r="J14"/>
  <c r="J7" i="26" l="1"/>
  <c r="J15" s="1"/>
  <c r="J11" i="20"/>
  <c r="J7"/>
  <c r="J16" i="24"/>
  <c r="J7" i="23"/>
  <c r="J14" s="1"/>
  <c r="J14" i="22"/>
  <c r="J7" i="21"/>
  <c r="J14" s="1"/>
  <c r="J9" i="17"/>
  <c r="J7"/>
  <c r="J14" i="14"/>
  <c r="J11" i="8"/>
  <c r="J11" i="4"/>
  <c r="J16" i="6"/>
  <c r="J14" i="9"/>
  <c r="J7" i="8"/>
  <c r="J16" s="1"/>
  <c r="J16" i="7"/>
  <c r="J9" i="4"/>
  <c r="J16"/>
  <c r="J17" i="20" l="1"/>
  <c r="J14" i="17"/>
</calcChain>
</file>

<file path=xl/sharedStrings.xml><?xml version="1.0" encoding="utf-8"?>
<sst xmlns="http://schemas.openxmlformats.org/spreadsheetml/2006/main" count="951" uniqueCount="196">
  <si>
    <t xml:space="preserve">Наименование </t>
  </si>
  <si>
    <t>полотно</t>
  </si>
  <si>
    <t>параметры</t>
  </si>
  <si>
    <t>количество слоев, шт</t>
  </si>
  <si>
    <t>ширина, см</t>
  </si>
  <si>
    <t>длина, см</t>
  </si>
  <si>
    <t>повенрхностная плотность полотна</t>
  </si>
  <si>
    <t>вес, гр</t>
  </si>
  <si>
    <t>дно</t>
  </si>
  <si>
    <t>инф карман а 4</t>
  </si>
  <si>
    <t>нить на пошив</t>
  </si>
  <si>
    <t>юбка</t>
  </si>
  <si>
    <t>итого, вес</t>
  </si>
  <si>
    <t>узкая лента</t>
  </si>
  <si>
    <t>стропа 1\3 2\3</t>
  </si>
  <si>
    <t>высота, см</t>
  </si>
  <si>
    <t>дно, см</t>
  </si>
  <si>
    <t>петля, см</t>
  </si>
  <si>
    <t>загр\выгр люк диаметр, см</t>
  </si>
  <si>
    <t>высота трубы, см</t>
  </si>
  <si>
    <t>МКР габаритные размеры, количество слоев 1</t>
  </si>
  <si>
    <t>МКР габаритные размеры, количество слоев 2</t>
  </si>
  <si>
    <t xml:space="preserve">ВИД рулона </t>
  </si>
  <si>
    <t>Полотно - РППФ 90 см - 140 гр\м2</t>
  </si>
  <si>
    <t>Загр\вгр рукав и крышка РППЛ беж 98см 72 гр\м2+23 гр\м2 лам</t>
  </si>
  <si>
    <t>крышка</t>
  </si>
  <si>
    <t xml:space="preserve">загр рукав </t>
  </si>
  <si>
    <t xml:space="preserve">выгр рукав </t>
  </si>
  <si>
    <t>Полотно - РПП 90 см - 140 гр\м2</t>
  </si>
  <si>
    <t>боковинка</t>
  </si>
  <si>
    <t>Полотно - РППФ 110 см - 140 гр\м2</t>
  </si>
  <si>
    <t>Дно РПП 115 см - 160 гр\м2</t>
  </si>
  <si>
    <t>Полотно - РПП 110 см - 140 гр\м2</t>
  </si>
  <si>
    <t>Дно РПП 95 см - 160 гр\м2</t>
  </si>
  <si>
    <t>МКР габаритные размеры, количество слоев 1 юбка 85 см</t>
  </si>
  <si>
    <t>МКР габаритные размеры, количество слоев 1 юбка 75 см</t>
  </si>
  <si>
    <t>МКР габаритные размеры, количество слоев 2 юбка 75 см</t>
  </si>
  <si>
    <t>МКР габаритные размеры, количество слоев 2 юбка 85 см</t>
  </si>
  <si>
    <t>Полотно - РППФ 80 см - 140 гр\м2</t>
  </si>
  <si>
    <t>Полотно - РППФ 90 см - 180 гр\м2</t>
  </si>
  <si>
    <t>Дно РПП 95 см - 180 гр\м2</t>
  </si>
  <si>
    <t>Полотно - РППФ 110 см - 180 гр\м2</t>
  </si>
  <si>
    <t>Дно РПП 115 см - 180 гр\м2</t>
  </si>
  <si>
    <t>Дно РПП 85 см - 180 гр\м2</t>
  </si>
  <si>
    <t>Полотно - РППФ 80 см - 180 гр\м2</t>
  </si>
  <si>
    <t>2 слоя</t>
  </si>
  <si>
    <t>1 слой</t>
  </si>
  <si>
    <t>ППЛ беж 98см 72 гр\м2+23 гр\м2 лам</t>
  </si>
  <si>
    <t xml:space="preserve">МКР габаритные размеры, </t>
  </si>
  <si>
    <t>Полотно - РППФ 90 см - 140 гр\м2 шахматка</t>
  </si>
  <si>
    <t>обычное плотно</t>
  </si>
  <si>
    <t>шахматное полотно</t>
  </si>
  <si>
    <t>усиление дна полотно</t>
  </si>
  <si>
    <t>усиление дна боковинка</t>
  </si>
  <si>
    <t>лента на усиление дна</t>
  </si>
  <si>
    <t>стропа 1/1</t>
  </si>
  <si>
    <t>ручка</t>
  </si>
  <si>
    <t>Полотно - РППФ 75см - 160 гр\м2 шахматка</t>
  </si>
  <si>
    <t xml:space="preserve">Полотно - РПП 80см - 160 гр\м2 </t>
  </si>
  <si>
    <t>Полотно - РПП 90 см - 180 гр\м2</t>
  </si>
  <si>
    <t>усиление</t>
  </si>
  <si>
    <t>стропа 2\3</t>
  </si>
  <si>
    <t xml:space="preserve">МКР габаритные размеры, количество слоев 2 </t>
  </si>
  <si>
    <t>загр рукав</t>
  </si>
  <si>
    <t>вкладыш пэ</t>
  </si>
  <si>
    <t>стропа 2/3</t>
  </si>
  <si>
    <t>ППЛ беж 98см 58 гр\м2+15 гр\м2 лам</t>
  </si>
  <si>
    <t>Полотно - РПП 90 см - 150 гр\м2</t>
  </si>
  <si>
    <t>Полотно - РПП 90 см - 170 гр\м2</t>
  </si>
  <si>
    <t>вкладыш</t>
  </si>
  <si>
    <t>Полотно - РПП 90 см - 160 гр\м2</t>
  </si>
  <si>
    <t>стропа 1/3 2\3</t>
  </si>
  <si>
    <t>шахматка</t>
  </si>
  <si>
    <t xml:space="preserve">полотно </t>
  </si>
  <si>
    <t>торец длинный</t>
  </si>
  <si>
    <t xml:space="preserve">тесьма веревки </t>
  </si>
  <si>
    <t>тесьма  петли</t>
  </si>
  <si>
    <t xml:space="preserve">Торец короткий </t>
  </si>
  <si>
    <t>, шт</t>
  </si>
  <si>
    <t>крышка длинная</t>
  </si>
  <si>
    <t>крышка короткая</t>
  </si>
  <si>
    <t>нить на прошив</t>
  </si>
  <si>
    <t>Код_изделия</t>
  </si>
  <si>
    <t>Наименование</t>
  </si>
  <si>
    <t>Тип</t>
  </si>
  <si>
    <t>Исполнение</t>
  </si>
  <si>
    <t>поверхностная_плотность _полотна_гр/м2</t>
  </si>
  <si>
    <t>Структура_плетения_полотна</t>
  </si>
  <si>
    <t>пошив_стропы</t>
  </si>
  <si>
    <t>Количество</t>
  </si>
  <si>
    <t>Документ_основание</t>
  </si>
  <si>
    <t>обычное</t>
  </si>
  <si>
    <t>2/3</t>
  </si>
  <si>
    <t>ВВМР ТШО</t>
  </si>
  <si>
    <t>ВВМР</t>
  </si>
  <si>
    <t>Размеры_ширина_см</t>
  </si>
  <si>
    <t>размеры</t>
  </si>
  <si>
    <t>Размеры_высота_см</t>
  </si>
  <si>
    <t>Размеры_дно_см</t>
  </si>
  <si>
    <t>Веревка_дно_см</t>
  </si>
  <si>
    <t>веревка_верх_см</t>
  </si>
  <si>
    <t>Размеры_высота_стропы_петли_см</t>
  </si>
  <si>
    <t>Количество_петель_шт</t>
  </si>
  <si>
    <t>количество_веревок_дно_шт</t>
  </si>
  <si>
    <t>количество_веревок_верх_шт</t>
  </si>
  <si>
    <t>1/1</t>
  </si>
  <si>
    <t xml:space="preserve">МФН_нитьна пошив_см </t>
  </si>
  <si>
    <t xml:space="preserve">МФН_нитьна пошив_норма_кг </t>
  </si>
  <si>
    <t>ББ ERG тип 1</t>
  </si>
  <si>
    <t>МКР</t>
  </si>
  <si>
    <t>300/1300/190(95)</t>
  </si>
  <si>
    <t>90/90/65(160)</t>
  </si>
  <si>
    <t>Количество_слоев_шт</t>
  </si>
  <si>
    <t>1/3</t>
  </si>
  <si>
    <t>высота_верх_см</t>
  </si>
  <si>
    <t>диаметр_верх_см</t>
  </si>
  <si>
    <t>МКР спец  1 -+ верх юбка дно глухле</t>
  </si>
  <si>
    <t>высота_дно_см</t>
  </si>
  <si>
    <t>диаметр_дно_см</t>
  </si>
  <si>
    <t xml:space="preserve">МФН_нитьна пошив_необходимо_на_выполнение_плана_кг </t>
  </si>
  <si>
    <t>Лента_тесьма_50мм_на_пошив_1_шт_кг</t>
  </si>
  <si>
    <t xml:space="preserve">МФН_нить_на пошив_необходимо_на_1_шт_кг </t>
  </si>
  <si>
    <t>Лента_тесьма_50мм_на_пошив_выполнение_плана_шт_кг</t>
  </si>
  <si>
    <t xml:space="preserve">Лента тесьма_50мм_пошив_норма_кг </t>
  </si>
  <si>
    <t xml:space="preserve">Лента тесьма_20мм_пошив_норма_кг </t>
  </si>
  <si>
    <t>Веревка_стенка_см</t>
  </si>
  <si>
    <t>количество_веревок_стенка_шт</t>
  </si>
  <si>
    <t>Лента_тесьма_20мм_на_пошив_1_шт_кг</t>
  </si>
  <si>
    <t>Лента_тесьма_20мм_на_пошив_выполнение_плана_шт_кг</t>
  </si>
  <si>
    <t>ткань_торец_вид_см/гр/м2</t>
  </si>
  <si>
    <t>ткань_крышка_вид_см/гр/м2</t>
  </si>
  <si>
    <t>ткань_дно/полотно_вид_см/гр/м2</t>
  </si>
  <si>
    <t>необходимо_ткани_дно/полотно_на_испонение_1_шт_м</t>
  </si>
  <si>
    <t>необходимо_ткани_торец_на_испонение_1_шт_м</t>
  </si>
  <si>
    <t>необходимо_ткани_торец_на_испонение_согласно_плана_шт_м</t>
  </si>
  <si>
    <t>необходимо_ткани_дно_на_испонение_согласно_плана_шт_м</t>
  </si>
  <si>
    <t>ткань_юбка_вид_см/гр/м2</t>
  </si>
  <si>
    <t>необходимо_ткани_юбка_на_испонение_1_шт_м</t>
  </si>
  <si>
    <t>необходимо_ткани_крышка_на_испонение_1_шт_м</t>
  </si>
  <si>
    <t>необходимо_ткани_крышка_на_испонение_согласно_плана_шт_м</t>
  </si>
  <si>
    <t>необходимо_ткани_юбка_на_испонение_согласно_плана_шт_м</t>
  </si>
  <si>
    <t>Ткань рукав 98см 72г/м² беж</t>
  </si>
  <si>
    <t>Ткань рукав 130см 72г/м² беж</t>
  </si>
  <si>
    <t>Ткань рукав 90см 160г/м² бел</t>
  </si>
  <si>
    <t>Ткань рукав 158см 72г/м² беж</t>
  </si>
  <si>
    <t>количество_нитей_основы_на_заправку_шт</t>
  </si>
  <si>
    <t>ширина полотна_в_развороте_мм</t>
  </si>
  <si>
    <t>ширина полотна_в_развороте_м</t>
  </si>
  <si>
    <t>ширина_полотна_см</t>
  </si>
  <si>
    <t>денье_м</t>
  </si>
  <si>
    <t>нить_основа_мм</t>
  </si>
  <si>
    <t>нить_основа_Дн</t>
  </si>
  <si>
    <t>количество_нити_основы_на_10см_шт</t>
  </si>
  <si>
    <t>нить_уток_мм</t>
  </si>
  <si>
    <t>нить_уток_Дн</t>
  </si>
  <si>
    <t>количество_нити_утка_на_10см_шт</t>
  </si>
  <si>
    <t>плотность_полотна_математически_расчетная_гр/м2</t>
  </si>
  <si>
    <t>разрывная_основы_КГС</t>
  </si>
  <si>
    <t>разрывная_утка_КГС</t>
  </si>
  <si>
    <t>нить_основы_на _исполнение_1_шт_кг</t>
  </si>
  <si>
    <t>нить_утка_на _исполнение_1_шт_кг</t>
  </si>
  <si>
    <t>нить_основы_на _исполнение_плана_шт_кг</t>
  </si>
  <si>
    <t>нить_утка_на _исполнение_плана_шт_кг</t>
  </si>
  <si>
    <t>Общий_план_ткацкий_согласно_загрузки_производства_по_заказу_м</t>
  </si>
  <si>
    <t>Общий_план_экструзия_согласно_загрузки_производства_по_заказу_м</t>
  </si>
  <si>
    <t>общий_лента_тесьма_20мм_по_заказукг</t>
  </si>
  <si>
    <t>общий_лента_тесьма_50мм_по_заказу_кг</t>
  </si>
  <si>
    <t>общий_план_необходимости_нити_МФН_900Дн_кг</t>
  </si>
  <si>
    <t>общий_план_необходимости_нити_МФН_1500Дн_кг</t>
  </si>
  <si>
    <t>общий_план_необходимости_нити_МФН_3000Дн_кг</t>
  </si>
  <si>
    <t>разыв полотна по основе, кг/с</t>
  </si>
  <si>
    <t>Денье_Дн</t>
  </si>
  <si>
    <t>Ширина_нити_см</t>
  </si>
  <si>
    <t>кол-во_нитей_шт</t>
  </si>
  <si>
    <t>вид_нити</t>
  </si>
  <si>
    <t>%_содержания_в_1_м</t>
  </si>
  <si>
    <t>Математическая_плотность_ гр\пм</t>
  </si>
  <si>
    <t>МФН</t>
  </si>
  <si>
    <t>эластичность_(удлинение)_полотна_по_основе_%</t>
  </si>
  <si>
    <t>вес_1_погонного_метра_гр</t>
  </si>
  <si>
    <t>ширина_полотна_в_развороте_мм</t>
  </si>
  <si>
    <t>удельный_вес_м</t>
  </si>
  <si>
    <t>процент_закладываемых отходов</t>
  </si>
  <si>
    <t>перевод_с_гр_на_кг</t>
  </si>
  <si>
    <t>Количество_нитей_основы_на_шпулярнике_шт</t>
  </si>
  <si>
    <t>вес_9_метров_гр</t>
  </si>
  <si>
    <t>итого_для_выпуска_ткани_на_основы_необходимо_кг</t>
  </si>
  <si>
    <t>Количество_нитей_на_шпулярнике_шт</t>
  </si>
  <si>
    <t>итого_для_выпуска_ткани_на_утка_необходимо_кг</t>
  </si>
  <si>
    <t>18-25</t>
  </si>
  <si>
    <t>Общий_план_даминат_согласно_загрузки_производства_по_заказу_м</t>
  </si>
  <si>
    <t>ББ 2С</t>
  </si>
  <si>
    <t>75/75/140(160)</t>
  </si>
  <si>
    <t>МКР спец  02 -+верх открытый дно звезда</t>
  </si>
  <si>
    <t>Ткань фальц 150см 160г/м² бел</t>
  </si>
  <si>
    <t>вес_ГП_1_шт_кг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</si>
</sst>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rgb="FFFFFFFF"/>
      <name val="Roboto"/>
    </font>
    <font>
      <sz val="10"/>
      <color theme="1"/>
      <name val="Arial"/>
      <family val="2"/>
      <charset val="204"/>
    </font>
    <font>
      <i/>
      <sz val="10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166" fontId="0" fillId="0" borderId="0" xfId="0" applyNumberFormat="1"/>
    <xf numFmtId="0" fontId="3" fillId="0" borderId="0" xfId="0" applyFont="1" applyBorder="1" applyAlignment="1">
      <alignment horizontal="center" vertical="center" wrapText="1"/>
    </xf>
    <xf numFmtId="164" fontId="3" fillId="0" borderId="11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" fontId="4" fillId="10" borderId="1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5" fontId="4" fillId="10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9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D6BEF675-8E66-4C56-BA92-0FBAD386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637E701E-26DA-A988-91EE-74CE3E88B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FA35B4EF-EE71-41C1-A079-50CB3ED8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70FF3B3A-7DD3-404C-96E6-E2AD5F92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BCB47BED-2ED9-485B-9C5E-85973182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14</xdr:row>
      <xdr:rowOff>123825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xmlns="" id="{1A18F4EC-3DAB-5180-E1B7-A48D3CEC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15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D7DA81DB-B7FF-476F-A162-778CB6CF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14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94DD001D-FD3E-4E89-92A9-B2E7BACC0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15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141AF889-01FD-44FE-BAA1-5AD5BC2E1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19050</xdr:rowOff>
    </xdr:from>
    <xdr:to>
      <xdr:col>2</xdr:col>
      <xdr:colOff>1133325</xdr:colOff>
      <xdr:row>13</xdr:row>
      <xdr:rowOff>57149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xmlns="" id="{3B8223EF-0A1D-1E66-416C-A8AD3B94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14325" y="209550"/>
          <a:ext cx="2038200" cy="251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9C79625D-0432-414A-A4F7-E144398C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4B50BCF-C2DE-103A-BAFA-3B32907811BF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xmlns="" id="{50D2F973-73CD-E73F-2489-C15103A57456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38102</xdr:rowOff>
    </xdr:from>
    <xdr:to>
      <xdr:col>2</xdr:col>
      <xdr:colOff>1169192</xdr:colOff>
      <xdr:row>14</xdr:row>
      <xdr:rowOff>9525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xmlns="" id="{5BA8604B-A92F-6B46-DE49-69A79AAE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3825" y="38102"/>
          <a:ext cx="2264567" cy="3019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533401</xdr:colOff>
      <xdr:row>0</xdr:row>
      <xdr:rowOff>123824</xdr:rowOff>
    </xdr:from>
    <xdr:to>
      <xdr:col>2</xdr:col>
      <xdr:colOff>1092995</xdr:colOff>
      <xdr:row>12</xdr:row>
      <xdr:rowOff>19049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901CD8A6-2674-3F00-58C9-C2B05E916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33401" y="123824"/>
          <a:ext cx="1778794" cy="23717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C1FC3586-7CB0-4D34-AC30-B5266FA2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8901DDF6-ECCC-4840-AC9C-03DCA8C2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16ABE172-9D96-4973-BF16-C782607296F2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xmlns="" id="{A3A4B086-5354-43A4-A9C1-F965C9F0719D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6A4FA64F-AC84-4F58-A033-CFF1FB88C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87C3DC3A-27E8-48C7-B635-47D9069D8463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xmlns="" id="{78A7E543-07E0-4C88-93AF-19CEDCF29BB0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31FAE311-4AB9-4623-B33B-2B7FC992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35F9A4D9-9B0E-4B9F-BEF1-E1DADAB29454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xmlns="" id="{3CC96D37-3704-475D-9BF5-8E6C5B170058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111D8986-A64D-490D-8AFF-6C09DD923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E0974C2-D6F4-4C0E-9D2B-F171B4BF6513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  <xdr:twoCellAnchor>
    <xdr:from>
      <xdr:col>2</xdr:col>
      <xdr:colOff>177246</xdr:colOff>
      <xdr:row>4</xdr:row>
      <xdr:rowOff>104646</xdr:rowOff>
    </xdr:from>
    <xdr:to>
      <xdr:col>2</xdr:col>
      <xdr:colOff>1064324</xdr:colOff>
      <xdr:row>4</xdr:row>
      <xdr:rowOff>177035</xdr:rowOff>
    </xdr:to>
    <xdr:sp macro="" textlink="">
      <xdr:nvSpPr>
        <xdr:cNvPr id="4" name="Параллелограмм 3">
          <a:extLst>
            <a:ext uri="{FF2B5EF4-FFF2-40B4-BE49-F238E27FC236}">
              <a16:creationId xmlns:a16="http://schemas.microsoft.com/office/drawing/2014/main" xmlns="" id="{AD132373-E2DB-40F7-AD2F-0387156872F7}"/>
            </a:ext>
          </a:extLst>
        </xdr:cNvPr>
        <xdr:cNvSpPr/>
      </xdr:nvSpPr>
      <xdr:spPr>
        <a:xfrm rot="20479265">
          <a:off x="1396446" y="866646"/>
          <a:ext cx="887078" cy="72389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189CAE9D-AD1A-4C20-9DBA-004ED106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4FA49F7-BF1C-424A-9FF6-3C3CC1A64CF8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DCC8BA82-573E-48D5-BF2C-075D76FF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444F7CC-CE2F-4448-926D-1E2E1556CD06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842249E4-2320-4192-BD3F-81D08A71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15EEF9F1-350A-4549-8857-0A7F4AF29EE5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16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8DB50186-E9E7-45B4-A06D-A7E6349A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561975</xdr:colOff>
      <xdr:row>9</xdr:row>
      <xdr:rowOff>0</xdr:rowOff>
    </xdr:from>
    <xdr:ext cx="704167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6671A43-C97C-4F8B-8142-E41B58E2C390}"/>
            </a:ext>
          </a:extLst>
        </xdr:cNvPr>
        <xdr:cNvSpPr txBox="1"/>
      </xdr:nvSpPr>
      <xdr:spPr>
        <a:xfrm>
          <a:off x="561975" y="1905000"/>
          <a:ext cx="70416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ERG</a:t>
          </a:r>
          <a:endParaRPr lang="ru-RU" sz="2400" b="1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15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A9A52EC1-F40E-4860-B86C-4BBFBB4B2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C3EA004B-FF03-4CB7-A2A5-53D59BF4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198329F5-8EFB-46F9-A16B-06BF4795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31173</xdr:rowOff>
    </xdr:from>
    <xdr:to>
      <xdr:col>2</xdr:col>
      <xdr:colOff>1247775</xdr:colOff>
      <xdr:row>14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EA92641E-B013-45CC-BFBD-C8F9DB31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1173"/>
          <a:ext cx="2295525" cy="309302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161925</xdr:rowOff>
    </xdr:from>
    <xdr:to>
      <xdr:col>2</xdr:col>
      <xdr:colOff>1255283</xdr:colOff>
      <xdr:row>14</xdr:row>
      <xdr:rowOff>123825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xmlns="" id="{60080F2A-9F2F-469B-8E48-7A5E99F5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" y="161925"/>
          <a:ext cx="2474482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H3" sqref="H3:J3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20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ht="30">
      <c r="D3" s="6" t="s">
        <v>22</v>
      </c>
      <c r="E3" s="48" t="s">
        <v>39</v>
      </c>
      <c r="F3" s="48"/>
      <c r="G3" s="2" t="s">
        <v>40</v>
      </c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>
      <c r="D7" s="6" t="s">
        <v>1</v>
      </c>
      <c r="E7" s="6">
        <v>90</v>
      </c>
      <c r="F7" s="6">
        <v>140</v>
      </c>
      <c r="G7" s="6">
        <v>4</v>
      </c>
      <c r="H7" s="6">
        <v>1.7999999999999999E-2</v>
      </c>
      <c r="I7" s="6"/>
      <c r="J7" s="5">
        <f>(E7*F7*G7*H7)-I7</f>
        <v>907.19999999999993</v>
      </c>
    </row>
    <row r="8" spans="4:11">
      <c r="D8" s="6" t="s">
        <v>8</v>
      </c>
      <c r="E8" s="6">
        <v>95</v>
      </c>
      <c r="F8" s="6">
        <v>95</v>
      </c>
      <c r="G8" s="6">
        <v>1</v>
      </c>
      <c r="H8" s="6">
        <v>1.7999999999999999E-2</v>
      </c>
      <c r="I8" s="5"/>
      <c r="J8" s="5">
        <f>((E8*F8)-I8)*G8*H8</f>
        <v>162.44999999999999</v>
      </c>
    </row>
    <row r="9" spans="4:11">
      <c r="D9" s="6" t="s">
        <v>14</v>
      </c>
      <c r="E9" s="6">
        <v>5</v>
      </c>
      <c r="F9" s="6">
        <f>F7*1+F7*1+H2*2</f>
        <v>330</v>
      </c>
      <c r="G9" s="6">
        <v>4</v>
      </c>
      <c r="H9" s="6">
        <v>0.35</v>
      </c>
      <c r="I9" s="6"/>
      <c r="J9" s="5">
        <f>F9*G9*H9</f>
        <v>461.99999999999994</v>
      </c>
    </row>
    <row r="10" spans="4:11">
      <c r="D10" s="6" t="s">
        <v>9</v>
      </c>
      <c r="E10" s="6"/>
      <c r="F10" s="6"/>
      <c r="G10" s="6"/>
      <c r="H10" s="6"/>
      <c r="I10" s="6"/>
      <c r="J10" s="5">
        <v>5</v>
      </c>
    </row>
    <row r="11" spans="4:11">
      <c r="D11" s="6" t="s">
        <v>10</v>
      </c>
      <c r="E11" s="6"/>
      <c r="F11" s="8">
        <f>E2*8+F2*4+J2*2+I2*3.14</f>
        <v>1505.6</v>
      </c>
      <c r="G11" s="6"/>
      <c r="H11" s="6">
        <v>7.6999999999999999E-2</v>
      </c>
      <c r="I11" s="6"/>
      <c r="J11" s="5">
        <f>H11*F11</f>
        <v>115.93119999999999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6" t="s">
        <v>25</v>
      </c>
      <c r="E14" s="6">
        <v>95</v>
      </c>
      <c r="F14" s="6">
        <v>95</v>
      </c>
      <c r="G14" s="6">
        <v>1</v>
      </c>
      <c r="H14" s="6">
        <v>9.4999999999999998E-3</v>
      </c>
      <c r="I14" s="6"/>
      <c r="J14" s="5">
        <f>(E14*F14*G14*H14)-I14</f>
        <v>85.737499999999997</v>
      </c>
    </row>
    <row r="15" spans="4:11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1751.3186999999998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F7" sqref="F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>
      <c r="D3" s="6" t="s">
        <v>22</v>
      </c>
      <c r="E3" s="48" t="s">
        <v>28</v>
      </c>
      <c r="F3" s="48"/>
      <c r="G3" s="2"/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3" t="s">
        <v>7</v>
      </c>
    </row>
    <row r="7" spans="4:11">
      <c r="D7" s="3" t="s">
        <v>1</v>
      </c>
      <c r="E7" s="3">
        <v>90</v>
      </c>
      <c r="F7" s="6">
        <f>E7+F2*2</f>
        <v>370</v>
      </c>
      <c r="G7" s="3">
        <v>2</v>
      </c>
      <c r="H7" s="3">
        <v>1.4E-2</v>
      </c>
      <c r="I7" s="3"/>
      <c r="J7" s="5">
        <f>(E7*F7*G7*H7)-I7</f>
        <v>932.4</v>
      </c>
    </row>
    <row r="8" spans="4:11">
      <c r="D8" s="3" t="s">
        <v>29</v>
      </c>
      <c r="E8" s="3">
        <v>90</v>
      </c>
      <c r="F8" s="3">
        <v>140</v>
      </c>
      <c r="G8" s="3">
        <v>4</v>
      </c>
      <c r="H8" s="3">
        <v>1.6E-2</v>
      </c>
      <c r="I8" s="5"/>
      <c r="J8" s="5">
        <f>((E8*F8)-I8)*G8*H8</f>
        <v>806.4</v>
      </c>
    </row>
    <row r="9" spans="4:11">
      <c r="D9" s="3" t="s">
        <v>14</v>
      </c>
      <c r="E9" s="3">
        <v>5</v>
      </c>
      <c r="F9" s="3">
        <f>F2*0.33+F2*0.67+H2*2</f>
        <v>190</v>
      </c>
      <c r="G9" s="3">
        <v>4</v>
      </c>
      <c r="H9" s="3">
        <v>0.35</v>
      </c>
      <c r="I9" s="3"/>
      <c r="J9" s="5">
        <f>F9*G9*H9</f>
        <v>266</v>
      </c>
    </row>
    <row r="10" spans="4:11">
      <c r="D10" s="3" t="s">
        <v>9</v>
      </c>
      <c r="E10" s="3"/>
      <c r="F10" s="3"/>
      <c r="G10" s="3"/>
      <c r="H10" s="3"/>
      <c r="I10" s="3"/>
      <c r="J10" s="5">
        <v>5</v>
      </c>
    </row>
    <row r="11" spans="4:11">
      <c r="D11" s="3" t="s">
        <v>10</v>
      </c>
      <c r="E11" s="3"/>
      <c r="F11" s="8">
        <f>E2*8+F2*4+J2*2+I2*3.14</f>
        <v>1505.6</v>
      </c>
      <c r="G11" s="3"/>
      <c r="H11" s="3">
        <v>7.6999999999999999E-2</v>
      </c>
      <c r="I11" s="3"/>
      <c r="J11" s="5">
        <f>H11*F11</f>
        <v>115.93119999999999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3" t="s">
        <v>25</v>
      </c>
      <c r="E14" s="3">
        <v>95</v>
      </c>
      <c r="F14" s="3">
        <v>95</v>
      </c>
      <c r="G14" s="3">
        <v>1</v>
      </c>
      <c r="H14" s="3">
        <v>9.4999999999999998E-3</v>
      </c>
      <c r="I14" s="3"/>
      <c r="J14" s="5">
        <f>(E14*F14*G14*H14)-I14</f>
        <v>85.737499999999997</v>
      </c>
    </row>
    <row r="15" spans="4:11">
      <c r="D15" s="3" t="s">
        <v>13</v>
      </c>
      <c r="E15" s="3">
        <v>2</v>
      </c>
      <c r="F15" s="3">
        <v>130</v>
      </c>
      <c r="G15" s="3">
        <v>2</v>
      </c>
      <c r="H15" s="3">
        <v>0.05</v>
      </c>
      <c r="I15" s="3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2224.4687000000004</v>
      </c>
    </row>
  </sheetData>
  <mergeCells count="6">
    <mergeCell ref="D5:D6"/>
    <mergeCell ref="D16:I16"/>
    <mergeCell ref="D1:D2"/>
    <mergeCell ref="E3:F3"/>
    <mergeCell ref="H3:J3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J16" sqref="J16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20</v>
      </c>
      <c r="E1" s="9" t="s">
        <v>4</v>
      </c>
      <c r="F1" s="9" t="s">
        <v>15</v>
      </c>
      <c r="G1" s="9" t="s">
        <v>16</v>
      </c>
      <c r="H1" s="9" t="s">
        <v>17</v>
      </c>
      <c r="I1" s="2" t="s">
        <v>18</v>
      </c>
      <c r="J1" s="9" t="s">
        <v>19</v>
      </c>
      <c r="K1" s="1">
        <f>3.14*40</f>
        <v>125.60000000000001</v>
      </c>
    </row>
    <row r="2" spans="4:11">
      <c r="D2" s="47"/>
      <c r="E2" s="9">
        <v>90</v>
      </c>
      <c r="F2" s="9">
        <v>140</v>
      </c>
      <c r="G2" s="9">
        <v>90</v>
      </c>
      <c r="H2" s="9">
        <v>25</v>
      </c>
      <c r="I2" s="9">
        <v>40</v>
      </c>
      <c r="J2" s="9">
        <v>50</v>
      </c>
      <c r="K2" s="1">
        <f>K1/2</f>
        <v>62.800000000000004</v>
      </c>
    </row>
    <row r="3" spans="4:11" ht="30">
      <c r="D3" s="9" t="s">
        <v>22</v>
      </c>
      <c r="E3" s="48" t="s">
        <v>39</v>
      </c>
      <c r="F3" s="48"/>
      <c r="G3" s="2" t="s">
        <v>40</v>
      </c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9" t="s">
        <v>7</v>
      </c>
    </row>
    <row r="7" spans="4:11">
      <c r="D7" s="9" t="s">
        <v>1</v>
      </c>
      <c r="E7" s="9">
        <v>90</v>
      </c>
      <c r="F7" s="9">
        <v>140</v>
      </c>
      <c r="G7" s="9">
        <v>4</v>
      </c>
      <c r="H7" s="9">
        <v>1.4E-2</v>
      </c>
      <c r="I7" s="9"/>
      <c r="J7" s="5">
        <f>(E7*F7*G7*H7)-I7</f>
        <v>705.6</v>
      </c>
    </row>
    <row r="8" spans="4:11">
      <c r="D8" s="9" t="s">
        <v>8</v>
      </c>
      <c r="E8" s="9">
        <v>95</v>
      </c>
      <c r="F8" s="9">
        <v>95</v>
      </c>
      <c r="G8" s="9">
        <v>1</v>
      </c>
      <c r="H8" s="9">
        <v>1.6E-2</v>
      </c>
      <c r="I8" s="5"/>
      <c r="J8" s="5">
        <f>((E8*F8)-I8)*G8*H8</f>
        <v>144.4</v>
      </c>
    </row>
    <row r="9" spans="4:11">
      <c r="D9" s="9" t="s">
        <v>14</v>
      </c>
      <c r="E9" s="9">
        <v>5</v>
      </c>
      <c r="F9" s="9">
        <f>F7*0.33+F7*0.67+H2*2</f>
        <v>190</v>
      </c>
      <c r="G9" s="9">
        <v>4</v>
      </c>
      <c r="H9" s="9">
        <v>0.35</v>
      </c>
      <c r="I9" s="9"/>
      <c r="J9" s="5">
        <f>F9*G9*H9</f>
        <v>266</v>
      </c>
    </row>
    <row r="10" spans="4:11">
      <c r="D10" s="9" t="s">
        <v>9</v>
      </c>
      <c r="E10" s="9"/>
      <c r="F10" s="9"/>
      <c r="G10" s="9"/>
      <c r="H10" s="9"/>
      <c r="I10" s="9"/>
      <c r="J10" s="5">
        <v>5</v>
      </c>
    </row>
    <row r="11" spans="4:11">
      <c r="D11" s="9" t="s">
        <v>10</v>
      </c>
      <c r="E11" s="9"/>
      <c r="F11" s="8">
        <f>E2*8+F2*4+J2*2+I2*3.14</f>
        <v>1505.6</v>
      </c>
      <c r="G11" s="9"/>
      <c r="H11" s="9">
        <v>7.6999999999999999E-2</v>
      </c>
      <c r="I11" s="9"/>
      <c r="J11" s="5">
        <f>H11*F11</f>
        <v>115.93119999999999</v>
      </c>
    </row>
    <row r="12" spans="4:11">
      <c r="D12" s="9" t="s">
        <v>26</v>
      </c>
      <c r="E12" s="9">
        <v>65</v>
      </c>
      <c r="F12" s="8">
        <v>53</v>
      </c>
      <c r="G12" s="9">
        <v>2</v>
      </c>
      <c r="H12" s="9">
        <v>9.4999999999999998E-3</v>
      </c>
      <c r="I12" s="9"/>
      <c r="J12" s="5"/>
    </row>
    <row r="13" spans="4:11">
      <c r="D13" s="9" t="s">
        <v>27</v>
      </c>
      <c r="E13" s="9">
        <v>65</v>
      </c>
      <c r="F13" s="8">
        <v>53</v>
      </c>
      <c r="G13" s="9">
        <v>2</v>
      </c>
      <c r="H13" s="9">
        <v>9.4999999999999998E-3</v>
      </c>
      <c r="I13" s="9"/>
      <c r="J13" s="5"/>
    </row>
    <row r="14" spans="4:11">
      <c r="D14" s="9" t="s">
        <v>25</v>
      </c>
      <c r="E14" s="9">
        <v>95</v>
      </c>
      <c r="F14" s="9">
        <v>95</v>
      </c>
      <c r="G14" s="9">
        <v>1</v>
      </c>
      <c r="H14" s="9">
        <v>9.4999999999999998E-3</v>
      </c>
      <c r="I14" s="9"/>
      <c r="J14" s="5">
        <f>(E14*F14*G14*H14)-I14</f>
        <v>85.737499999999997</v>
      </c>
    </row>
    <row r="15" spans="4:11">
      <c r="D15" s="9" t="s">
        <v>13</v>
      </c>
      <c r="E15" s="9">
        <v>2</v>
      </c>
      <c r="F15" s="9">
        <v>130</v>
      </c>
      <c r="G15" s="9">
        <v>2</v>
      </c>
      <c r="H15" s="9">
        <v>0.05</v>
      </c>
      <c r="I15" s="9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1335.6686999999999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F9" sqref="F9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20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ht="30">
      <c r="D3" s="6" t="s">
        <v>22</v>
      </c>
      <c r="E3" s="48" t="s">
        <v>41</v>
      </c>
      <c r="F3" s="48"/>
      <c r="G3" s="2" t="s">
        <v>42</v>
      </c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>
      <c r="D7" s="6" t="s">
        <v>1</v>
      </c>
      <c r="E7" s="6">
        <v>110</v>
      </c>
      <c r="F7" s="6">
        <v>140</v>
      </c>
      <c r="G7" s="6">
        <v>4</v>
      </c>
      <c r="H7" s="7">
        <v>1.7999999999999999E-2</v>
      </c>
      <c r="I7" s="6"/>
      <c r="J7" s="5">
        <f>(E7*F7*G7*H7)-I7</f>
        <v>1108.8</v>
      </c>
    </row>
    <row r="8" spans="4:11">
      <c r="D8" s="6" t="s">
        <v>8</v>
      </c>
      <c r="E8" s="6">
        <v>115</v>
      </c>
      <c r="F8" s="6">
        <v>115</v>
      </c>
      <c r="G8" s="6">
        <v>1</v>
      </c>
      <c r="H8" s="7">
        <v>1.7999999999999999E-2</v>
      </c>
      <c r="I8" s="5"/>
      <c r="J8" s="5">
        <f>((E8*F8)-I8)*G8*H8</f>
        <v>238.04999999999998</v>
      </c>
    </row>
    <row r="9" spans="4:11">
      <c r="D9" s="6" t="s">
        <v>14</v>
      </c>
      <c r="E9" s="6">
        <v>5</v>
      </c>
      <c r="F9" s="6">
        <f>F7*1+F7*1+H2*2</f>
        <v>330</v>
      </c>
      <c r="G9" s="6">
        <v>4</v>
      </c>
      <c r="H9" s="6">
        <v>0.35</v>
      </c>
      <c r="I9" s="6"/>
      <c r="J9" s="5">
        <f>F9*G9*H9</f>
        <v>461.99999999999994</v>
      </c>
    </row>
    <row r="10" spans="4:11">
      <c r="D10" s="6" t="s">
        <v>9</v>
      </c>
      <c r="E10" s="6"/>
      <c r="F10" s="6"/>
      <c r="G10" s="6"/>
      <c r="H10" s="6"/>
      <c r="I10" s="6"/>
      <c r="J10" s="5">
        <v>5</v>
      </c>
    </row>
    <row r="11" spans="4:11">
      <c r="D11" s="6" t="s">
        <v>10</v>
      </c>
      <c r="E11" s="6"/>
      <c r="F11" s="8">
        <f>E2*8+F7*4+J2*2+I2*3.14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2080.7386999999999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>
      <c r="D3" s="6" t="s">
        <v>22</v>
      </c>
      <c r="E3" s="48" t="s">
        <v>32</v>
      </c>
      <c r="F3" s="48"/>
      <c r="G3" s="2"/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>
      <c r="D7" s="6" t="s">
        <v>1</v>
      </c>
      <c r="E7" s="6">
        <v>110</v>
      </c>
      <c r="F7" s="6">
        <f>E7+F2*2</f>
        <v>390</v>
      </c>
      <c r="G7" s="6">
        <v>2</v>
      </c>
      <c r="H7" s="6">
        <v>1.4E-2</v>
      </c>
      <c r="I7" s="6"/>
      <c r="J7" s="5">
        <f>(E7*F7*G7*H7)-I7</f>
        <v>1201.2</v>
      </c>
    </row>
    <row r="8" spans="4:11">
      <c r="D8" s="6" t="s">
        <v>29</v>
      </c>
      <c r="E8" s="6">
        <v>110</v>
      </c>
      <c r="F8" s="6">
        <v>140</v>
      </c>
      <c r="G8" s="6">
        <v>4</v>
      </c>
      <c r="H8" s="6">
        <v>1.6E-2</v>
      </c>
      <c r="I8" s="5"/>
      <c r="J8" s="5">
        <f>((E8*F8)-I8)*G8*H8</f>
        <v>985.6</v>
      </c>
    </row>
    <row r="9" spans="4:11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>
      <c r="D10" s="6" t="s">
        <v>9</v>
      </c>
      <c r="E10" s="6"/>
      <c r="F10" s="6"/>
      <c r="G10" s="6"/>
      <c r="H10" s="6"/>
      <c r="I10" s="6"/>
      <c r="J10" s="5">
        <v>5</v>
      </c>
    </row>
    <row r="11" spans="4:11">
      <c r="D11" s="6" t="s">
        <v>10</v>
      </c>
      <c r="E11" s="6"/>
      <c r="F11" s="8">
        <f>E2*8+F2*4+J2*2+I2*3.14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2724.6887000000002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4"/>
  <sheetViews>
    <sheetView workbookViewId="0">
      <selection activeCell="F9" sqref="F9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>
      <c r="D1" s="47" t="s">
        <v>34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>
      <c r="D2" s="47"/>
      <c r="E2" s="6">
        <v>90</v>
      </c>
      <c r="F2" s="6">
        <v>120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ht="30">
      <c r="D3" s="6" t="s">
        <v>22</v>
      </c>
      <c r="E3" s="48" t="s">
        <v>39</v>
      </c>
      <c r="F3" s="48"/>
      <c r="G3" s="2" t="s">
        <v>40</v>
      </c>
      <c r="H3" s="48" t="s">
        <v>24</v>
      </c>
      <c r="I3" s="48"/>
      <c r="J3" s="48"/>
    </row>
    <row r="5" spans="2:11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>
      <c r="D7" s="6" t="s">
        <v>1</v>
      </c>
      <c r="E7" s="6">
        <v>90</v>
      </c>
      <c r="F7" s="6">
        <v>120</v>
      </c>
      <c r="G7" s="6">
        <v>4</v>
      </c>
      <c r="H7" s="7">
        <v>1.7999999999999999E-2</v>
      </c>
      <c r="I7" s="6"/>
      <c r="J7" s="5">
        <f>(E7*F7*G7*H7)-I7</f>
        <v>777.59999999999991</v>
      </c>
    </row>
    <row r="8" spans="2:11">
      <c r="D8" s="6" t="s">
        <v>8</v>
      </c>
      <c r="E8" s="6">
        <v>95</v>
      </c>
      <c r="F8" s="6">
        <v>95</v>
      </c>
      <c r="G8" s="6">
        <v>1</v>
      </c>
      <c r="H8" s="7">
        <v>1.7999999999999999E-2</v>
      </c>
      <c r="I8" s="5"/>
      <c r="J8" s="5">
        <f>((E8*F8)-I8)*G8*H8</f>
        <v>162.44999999999999</v>
      </c>
    </row>
    <row r="9" spans="2:11">
      <c r="D9" s="6" t="s">
        <v>14</v>
      </c>
      <c r="E9" s="6">
        <v>5</v>
      </c>
      <c r="F9" s="9">
        <f>F7*1+F7*1+H2*2</f>
        <v>290</v>
      </c>
      <c r="G9" s="6">
        <v>4</v>
      </c>
      <c r="H9" s="6">
        <v>0.35</v>
      </c>
      <c r="I9" s="6"/>
      <c r="J9" s="5">
        <f>F9*G9*H9</f>
        <v>406</v>
      </c>
    </row>
    <row r="10" spans="2:11">
      <c r="D10" s="6" t="s">
        <v>9</v>
      </c>
      <c r="E10" s="6"/>
      <c r="F10" s="6"/>
      <c r="G10" s="6"/>
      <c r="H10" s="6"/>
      <c r="I10" s="6"/>
      <c r="J10" s="5">
        <v>5</v>
      </c>
    </row>
    <row r="11" spans="2:11">
      <c r="D11" s="6" t="s">
        <v>10</v>
      </c>
      <c r="E11" s="6"/>
      <c r="F11" s="8">
        <f>E2*8+E12</f>
        <v>808</v>
      </c>
      <c r="G11" s="6"/>
      <c r="H11" s="6">
        <v>7.6999999999999999E-2</v>
      </c>
      <c r="I11" s="6"/>
      <c r="J11" s="5">
        <f>H11*F11</f>
        <v>62.216000000000001</v>
      </c>
    </row>
    <row r="12" spans="2:11">
      <c r="D12" s="6" t="s">
        <v>11</v>
      </c>
      <c r="E12" s="6">
        <v>88</v>
      </c>
      <c r="F12" s="6">
        <f>E7*4+5</f>
        <v>365</v>
      </c>
      <c r="G12" s="6">
        <v>1</v>
      </c>
      <c r="H12" s="6">
        <v>9.4999999999999998E-3</v>
      </c>
      <c r="I12" s="6"/>
      <c r="J12" s="5">
        <f>(E12*F12*G12*H12)-I12</f>
        <v>305.14</v>
      </c>
    </row>
    <row r="13" spans="2:11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>
      <c r="D14" s="44" t="s">
        <v>12</v>
      </c>
      <c r="E14" s="45"/>
      <c r="F14" s="45"/>
      <c r="G14" s="45"/>
      <c r="H14" s="45"/>
      <c r="I14" s="46"/>
      <c r="J14" s="5">
        <f>SUM(J7:J13)</f>
        <v>1724.9059999999999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K14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>
      <c r="D1" s="47" t="s">
        <v>37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>
      <c r="D2" s="47"/>
      <c r="E2" s="6">
        <v>90</v>
      </c>
      <c r="F2" s="6">
        <v>120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>
      <c r="D3" s="6" t="s">
        <v>22</v>
      </c>
      <c r="E3" s="48" t="s">
        <v>23</v>
      </c>
      <c r="F3" s="48"/>
      <c r="G3" s="2"/>
      <c r="H3" s="48" t="s">
        <v>24</v>
      </c>
      <c r="I3" s="48"/>
      <c r="J3" s="48"/>
    </row>
    <row r="5" spans="2:11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>
      <c r="D7" s="6" t="s">
        <v>1</v>
      </c>
      <c r="E7" s="6">
        <v>90</v>
      </c>
      <c r="F7" s="6">
        <f>E7+F2*2</f>
        <v>330</v>
      </c>
      <c r="G7" s="6">
        <v>2</v>
      </c>
      <c r="H7" s="6">
        <v>1.4E-2</v>
      </c>
      <c r="I7" s="6"/>
      <c r="J7" s="5">
        <f>(E7*F7*G7*H7)-I7</f>
        <v>831.6</v>
      </c>
    </row>
    <row r="8" spans="2:11">
      <c r="D8" s="6" t="s">
        <v>29</v>
      </c>
      <c r="E8" s="6">
        <v>90</v>
      </c>
      <c r="F8" s="6">
        <v>120</v>
      </c>
      <c r="G8" s="6">
        <v>4</v>
      </c>
      <c r="H8" s="6">
        <v>1.6E-2</v>
      </c>
      <c r="I8" s="5"/>
      <c r="J8" s="5">
        <f>((E8*F8)-I8)*G8*H8</f>
        <v>691.2</v>
      </c>
    </row>
    <row r="9" spans="2:11">
      <c r="D9" s="6" t="s">
        <v>14</v>
      </c>
      <c r="E9" s="6">
        <v>5</v>
      </c>
      <c r="F9" s="6">
        <f>F2*0.33+F2*0.67+H2*2</f>
        <v>170</v>
      </c>
      <c r="G9" s="6">
        <v>4</v>
      </c>
      <c r="H9" s="6">
        <v>0.35</v>
      </c>
      <c r="I9" s="6"/>
      <c r="J9" s="5">
        <f>F9*G9*H9</f>
        <v>237.99999999999997</v>
      </c>
    </row>
    <row r="10" spans="2:11">
      <c r="D10" s="6" t="s">
        <v>9</v>
      </c>
      <c r="E10" s="6"/>
      <c r="F10" s="6"/>
      <c r="G10" s="6"/>
      <c r="H10" s="6"/>
      <c r="I10" s="6"/>
      <c r="J10" s="5">
        <v>5</v>
      </c>
    </row>
    <row r="11" spans="2:11">
      <c r="D11" s="6" t="s">
        <v>10</v>
      </c>
      <c r="E11" s="6"/>
      <c r="F11" s="8">
        <f>F7*2+E12</f>
        <v>748</v>
      </c>
      <c r="G11" s="6"/>
      <c r="H11" s="6">
        <v>7.6999999999999999E-2</v>
      </c>
      <c r="I11" s="6"/>
      <c r="J11" s="5">
        <f>H11*F11</f>
        <v>57.595999999999997</v>
      </c>
    </row>
    <row r="12" spans="2:11">
      <c r="D12" s="6" t="s">
        <v>11</v>
      </c>
      <c r="E12" s="6">
        <v>88</v>
      </c>
      <c r="F12" s="6">
        <f>E7*4+5</f>
        <v>365</v>
      </c>
      <c r="G12" s="6">
        <v>1</v>
      </c>
      <c r="H12" s="6">
        <v>9.4999999999999998E-3</v>
      </c>
      <c r="I12" s="6"/>
      <c r="J12" s="5">
        <f>(E12*F12*G12*H12)-I12</f>
        <v>305.14</v>
      </c>
    </row>
    <row r="13" spans="2:11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>
      <c r="D14" s="44" t="s">
        <v>12</v>
      </c>
      <c r="E14" s="45"/>
      <c r="F14" s="45"/>
      <c r="G14" s="45"/>
      <c r="H14" s="45"/>
      <c r="I14" s="46"/>
      <c r="J14" s="5">
        <f>SUM(J7:J13)</f>
        <v>2135.0360000000001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B1:K14"/>
  <sheetViews>
    <sheetView workbookViewId="0">
      <selection activeCell="F9" sqref="F9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>
      <c r="D1" s="47" t="s">
        <v>35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>
      <c r="D2" s="47"/>
      <c r="E2" s="6">
        <v>80</v>
      </c>
      <c r="F2" s="6">
        <v>120</v>
      </c>
      <c r="G2" s="6">
        <v>80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ht="30">
      <c r="D3" s="6" t="s">
        <v>22</v>
      </c>
      <c r="E3" s="48" t="s">
        <v>44</v>
      </c>
      <c r="F3" s="48"/>
      <c r="G3" s="2" t="s">
        <v>43</v>
      </c>
      <c r="H3" s="48" t="s">
        <v>24</v>
      </c>
      <c r="I3" s="48"/>
      <c r="J3" s="48"/>
    </row>
    <row r="5" spans="2:11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>
      <c r="D7" s="6" t="s">
        <v>1</v>
      </c>
      <c r="E7" s="6">
        <v>80</v>
      </c>
      <c r="F7" s="6">
        <v>120</v>
      </c>
      <c r="G7" s="6">
        <v>4</v>
      </c>
      <c r="H7" s="7">
        <v>1.7999999999999999E-2</v>
      </c>
      <c r="I7" s="6"/>
      <c r="J7" s="5">
        <f>(E7*F7*G7*H7)-I7</f>
        <v>691.19999999999993</v>
      </c>
    </row>
    <row r="8" spans="2:11">
      <c r="D8" s="6" t="s">
        <v>8</v>
      </c>
      <c r="E8" s="6">
        <v>85</v>
      </c>
      <c r="F8" s="6">
        <v>85</v>
      </c>
      <c r="G8" s="6">
        <v>1</v>
      </c>
      <c r="H8" s="7">
        <v>1.7999999999999999E-2</v>
      </c>
      <c r="I8" s="5"/>
      <c r="J8" s="5">
        <f>((E8*F8)-I8)*G8*H8</f>
        <v>130.04999999999998</v>
      </c>
    </row>
    <row r="9" spans="2:11">
      <c r="D9" s="6" t="s">
        <v>14</v>
      </c>
      <c r="E9" s="6">
        <v>5</v>
      </c>
      <c r="F9" s="9">
        <f>F7*1+F7*1+H2*2</f>
        <v>290</v>
      </c>
      <c r="G9" s="6">
        <v>4</v>
      </c>
      <c r="H9" s="6">
        <v>0.35</v>
      </c>
      <c r="I9" s="6"/>
      <c r="J9" s="5">
        <f>F9*G9*H9</f>
        <v>406</v>
      </c>
    </row>
    <row r="10" spans="2:11">
      <c r="D10" s="6" t="s">
        <v>9</v>
      </c>
      <c r="E10" s="6"/>
      <c r="F10" s="6"/>
      <c r="G10" s="6"/>
      <c r="H10" s="6"/>
      <c r="I10" s="6"/>
      <c r="J10" s="5">
        <v>5</v>
      </c>
    </row>
    <row r="11" spans="2:11">
      <c r="D11" s="6" t="s">
        <v>10</v>
      </c>
      <c r="E11" s="6"/>
      <c r="F11" s="8">
        <f>E2*8+E12</f>
        <v>718</v>
      </c>
      <c r="G11" s="6"/>
      <c r="H11" s="6">
        <v>7.6999999999999999E-2</v>
      </c>
      <c r="I11" s="6"/>
      <c r="J11" s="5">
        <f>H11*F11</f>
        <v>55.286000000000001</v>
      </c>
    </row>
    <row r="12" spans="2:11">
      <c r="D12" s="6" t="s">
        <v>11</v>
      </c>
      <c r="E12" s="6">
        <v>78</v>
      </c>
      <c r="F12" s="6">
        <f>E7*4+5</f>
        <v>325</v>
      </c>
      <c r="G12" s="6">
        <v>1</v>
      </c>
      <c r="H12" s="6">
        <v>9.4999999999999998E-3</v>
      </c>
      <c r="I12" s="6"/>
      <c r="J12" s="5">
        <f>(E12*F12*G12*H12)-I12</f>
        <v>240.82499999999999</v>
      </c>
    </row>
    <row r="13" spans="2:11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>
      <c r="D14" s="44" t="s">
        <v>12</v>
      </c>
      <c r="E14" s="45"/>
      <c r="F14" s="45"/>
      <c r="G14" s="45"/>
      <c r="H14" s="45"/>
      <c r="I14" s="46"/>
      <c r="J14" s="5">
        <f>SUM(J7:J13)</f>
        <v>1534.8610000000001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1:K14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>
      <c r="D1" s="47" t="s">
        <v>36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>
      <c r="D2" s="47"/>
      <c r="E2" s="6">
        <v>80</v>
      </c>
      <c r="F2" s="6">
        <v>120</v>
      </c>
      <c r="G2" s="6">
        <v>80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>
      <c r="D3" s="6" t="s">
        <v>22</v>
      </c>
      <c r="E3" s="48" t="s">
        <v>38</v>
      </c>
      <c r="F3" s="48"/>
      <c r="G3" s="2"/>
      <c r="H3" s="48" t="s">
        <v>24</v>
      </c>
      <c r="I3" s="48"/>
      <c r="J3" s="48"/>
    </row>
    <row r="5" spans="2:11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>
      <c r="D7" s="6" t="s">
        <v>1</v>
      </c>
      <c r="E7" s="6">
        <v>80</v>
      </c>
      <c r="F7" s="6">
        <f>E7+F2*2</f>
        <v>320</v>
      </c>
      <c r="G7" s="6">
        <v>2</v>
      </c>
      <c r="H7" s="6">
        <v>1.4E-2</v>
      </c>
      <c r="I7" s="6"/>
      <c r="J7" s="5">
        <f>(E7*F7*G7*H7)-I7</f>
        <v>716.80000000000007</v>
      </c>
    </row>
    <row r="8" spans="2:11">
      <c r="D8" s="6" t="s">
        <v>29</v>
      </c>
      <c r="E8" s="6">
        <v>80</v>
      </c>
      <c r="F8" s="6">
        <v>120</v>
      </c>
      <c r="G8" s="6">
        <v>4</v>
      </c>
      <c r="H8" s="6">
        <v>1.6E-2</v>
      </c>
      <c r="I8" s="5"/>
      <c r="J8" s="5">
        <f>((E8*F8)-I8)*G8*H8</f>
        <v>614.4</v>
      </c>
    </row>
    <row r="9" spans="2:11">
      <c r="D9" s="6" t="s">
        <v>14</v>
      </c>
      <c r="E9" s="6">
        <v>5</v>
      </c>
      <c r="F9" s="6">
        <f>F2*0.33+F2*0.67+H2*2</f>
        <v>170</v>
      </c>
      <c r="G9" s="6">
        <v>4</v>
      </c>
      <c r="H9" s="6">
        <v>0.35</v>
      </c>
      <c r="I9" s="6"/>
      <c r="J9" s="5">
        <f>F9*G9*H9</f>
        <v>237.99999999999997</v>
      </c>
    </row>
    <row r="10" spans="2:11">
      <c r="D10" s="6" t="s">
        <v>9</v>
      </c>
      <c r="E10" s="6"/>
      <c r="F10" s="6"/>
      <c r="G10" s="6"/>
      <c r="H10" s="6"/>
      <c r="I10" s="6"/>
      <c r="J10" s="5">
        <v>5</v>
      </c>
    </row>
    <row r="11" spans="2:11">
      <c r="D11" s="6" t="s">
        <v>10</v>
      </c>
      <c r="E11" s="6"/>
      <c r="F11" s="8">
        <f>F7*2+E12</f>
        <v>718</v>
      </c>
      <c r="G11" s="6"/>
      <c r="H11" s="6">
        <v>7.6999999999999999E-2</v>
      </c>
      <c r="I11" s="6"/>
      <c r="J11" s="5">
        <f>H11*F11</f>
        <v>55.286000000000001</v>
      </c>
    </row>
    <row r="12" spans="2:11">
      <c r="D12" s="6" t="s">
        <v>11</v>
      </c>
      <c r="E12" s="6">
        <v>78</v>
      </c>
      <c r="F12" s="6">
        <f>E7*4+5</f>
        <v>325</v>
      </c>
      <c r="G12" s="6">
        <v>1</v>
      </c>
      <c r="H12" s="6">
        <v>9.4999999999999998E-3</v>
      </c>
      <c r="I12" s="6"/>
      <c r="J12" s="5">
        <f>(E12*F12*G12*H12)-I12</f>
        <v>240.82499999999999</v>
      </c>
    </row>
    <row r="13" spans="2:11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>
      <c r="D14" s="44" t="s">
        <v>12</v>
      </c>
      <c r="E14" s="45"/>
      <c r="F14" s="45"/>
      <c r="G14" s="45"/>
      <c r="H14" s="45"/>
      <c r="I14" s="46"/>
      <c r="J14" s="5">
        <f>SUM(J7:J13)</f>
        <v>1876.8110000000001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21"/>
  <sheetViews>
    <sheetView workbookViewId="0">
      <selection activeCell="E4" sqref="E4"/>
    </sheetView>
  </sheetViews>
  <sheetFormatPr defaultRowHeight="15"/>
  <cols>
    <col min="1" max="2" width="9.140625" style="1"/>
    <col min="3" max="3" width="20" style="1" customWidth="1"/>
    <col min="4" max="4" width="29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62</v>
      </c>
      <c r="E1" s="6" t="s">
        <v>4</v>
      </c>
      <c r="F1" s="6" t="s">
        <v>15</v>
      </c>
      <c r="G1" s="6" t="s">
        <v>16</v>
      </c>
      <c r="H1" s="6" t="s">
        <v>17</v>
      </c>
      <c r="I1" s="2"/>
      <c r="J1" s="6"/>
    </row>
    <row r="2" spans="2:10">
      <c r="D2" s="47"/>
      <c r="E2" s="6">
        <v>90</v>
      </c>
      <c r="F2" s="6">
        <v>125</v>
      </c>
      <c r="G2" s="6">
        <v>90</v>
      </c>
      <c r="H2" s="6">
        <v>35</v>
      </c>
      <c r="I2" s="6"/>
      <c r="J2" s="6"/>
    </row>
    <row r="3" spans="2:10">
      <c r="D3" s="6" t="s">
        <v>22</v>
      </c>
      <c r="E3" s="48" t="s">
        <v>59</v>
      </c>
      <c r="F3" s="48"/>
      <c r="G3" s="2"/>
      <c r="H3" s="48" t="s">
        <v>47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0">
      <c r="D7" s="6" t="s">
        <v>1</v>
      </c>
      <c r="E7" s="6">
        <v>90</v>
      </c>
      <c r="F7" s="6">
        <f>90+125+125</f>
        <v>340</v>
      </c>
      <c r="G7" s="6">
        <v>1</v>
      </c>
      <c r="H7" s="7">
        <v>1.7999999999999999E-2</v>
      </c>
      <c r="I7" s="6"/>
      <c r="J7" s="5">
        <f>(E7*F7*G7*H7)-I7</f>
        <v>550.79999999999995</v>
      </c>
    </row>
    <row r="8" spans="2:10">
      <c r="D8" s="14" t="s">
        <v>1</v>
      </c>
      <c r="E8" s="14">
        <v>90</v>
      </c>
      <c r="F8" s="14">
        <f>90+125+125</f>
        <v>340</v>
      </c>
      <c r="G8" s="14">
        <v>1</v>
      </c>
      <c r="H8" s="14">
        <v>2.0299999999999999E-2</v>
      </c>
      <c r="I8" s="14"/>
      <c r="J8" s="5">
        <f t="shared" ref="J8:J10" si="0">(E8*F8*G8*H8)-I8</f>
        <v>621.17999999999995</v>
      </c>
    </row>
    <row r="9" spans="2:10">
      <c r="D9" s="6" t="s">
        <v>29</v>
      </c>
      <c r="E9" s="6">
        <v>90</v>
      </c>
      <c r="F9" s="6">
        <v>125</v>
      </c>
      <c r="G9" s="6">
        <v>2</v>
      </c>
      <c r="H9" s="14">
        <v>1.7999999999999999E-2</v>
      </c>
      <c r="I9" s="5"/>
      <c r="J9" s="5">
        <f t="shared" si="0"/>
        <v>404.99999999999994</v>
      </c>
    </row>
    <row r="10" spans="2:10">
      <c r="D10" s="14" t="s">
        <v>29</v>
      </c>
      <c r="E10" s="14">
        <v>90</v>
      </c>
      <c r="F10" s="14">
        <v>125</v>
      </c>
      <c r="G10" s="14">
        <v>2</v>
      </c>
      <c r="H10" s="14">
        <v>2.0299999999999999E-2</v>
      </c>
      <c r="I10" s="5"/>
      <c r="J10" s="5">
        <f t="shared" si="0"/>
        <v>456.74999999999994</v>
      </c>
    </row>
    <row r="11" spans="2:10">
      <c r="D11" s="6" t="s">
        <v>61</v>
      </c>
      <c r="E11" s="6">
        <v>5</v>
      </c>
      <c r="F11" s="5">
        <f>125/3*2*2+70</f>
        <v>236.66666666666666</v>
      </c>
      <c r="G11" s="6">
        <v>4</v>
      </c>
      <c r="H11"/>
      <c r="I11" s="6"/>
      <c r="J11" s="5">
        <f>F11*G11*H11</f>
        <v>0</v>
      </c>
    </row>
    <row r="12" spans="2:10">
      <c r="D12" s="6" t="s">
        <v>9</v>
      </c>
      <c r="E12" s="6"/>
      <c r="F12" s="6"/>
      <c r="G12" s="6"/>
      <c r="H12" s="6"/>
      <c r="I12" s="6"/>
      <c r="J12" s="5">
        <v>5</v>
      </c>
    </row>
    <row r="13" spans="2:10">
      <c r="D13" s="6" t="s">
        <v>10</v>
      </c>
      <c r="E13" s="6"/>
      <c r="F13" s="8">
        <f>E2*4+E14+F7*2</f>
        <v>1090</v>
      </c>
      <c r="G13" s="6"/>
      <c r="H13" s="6">
        <v>7.6999999999999999E-2</v>
      </c>
      <c r="I13" s="6"/>
      <c r="J13" s="5">
        <f>H13*F13</f>
        <v>83.929999999999993</v>
      </c>
    </row>
    <row r="14" spans="2:10">
      <c r="D14" s="6" t="s">
        <v>63</v>
      </c>
      <c r="E14" s="6">
        <v>50</v>
      </c>
      <c r="F14" s="6">
        <v>130</v>
      </c>
      <c r="G14" s="6">
        <v>1</v>
      </c>
      <c r="H14" s="6">
        <v>9.4999999999999998E-3</v>
      </c>
      <c r="I14" s="6"/>
      <c r="J14" s="5">
        <f>(E14*F14*G14*H14)-I14</f>
        <v>61.75</v>
      </c>
    </row>
    <row r="15" spans="2:10">
      <c r="D15" s="14" t="s">
        <v>25</v>
      </c>
      <c r="E15" s="14">
        <v>95</v>
      </c>
      <c r="F15" s="14">
        <v>95</v>
      </c>
      <c r="G15" s="14">
        <v>1</v>
      </c>
      <c r="H15" s="14">
        <v>9.4999999999999998E-3</v>
      </c>
      <c r="I15" s="14"/>
      <c r="J15" s="5">
        <f>(E15*F15*G15*H15)-I15</f>
        <v>85.737499999999997</v>
      </c>
    </row>
    <row r="16" spans="2:10">
      <c r="D16" s="6" t="s">
        <v>13</v>
      </c>
      <c r="E16" s="6">
        <v>1</v>
      </c>
      <c r="F16" s="6">
        <v>130</v>
      </c>
      <c r="G16" s="6">
        <v>1</v>
      </c>
      <c r="H16" s="6">
        <v>0.05</v>
      </c>
      <c r="I16" s="6"/>
      <c r="J16" s="5">
        <f>F16*G16*H16</f>
        <v>6.5</v>
      </c>
    </row>
    <row r="17" spans="2:10">
      <c r="D17" s="44" t="s">
        <v>12</v>
      </c>
      <c r="E17" s="45"/>
      <c r="F17" s="45"/>
      <c r="G17" s="45"/>
      <c r="H17" s="45"/>
      <c r="I17" s="46"/>
      <c r="J17" s="5">
        <f>SUM(J7:J16)</f>
        <v>2276.6475</v>
      </c>
    </row>
    <row r="19" spans="2:10">
      <c r="F19" s="1">
        <f>40*3.14</f>
        <v>125.60000000000001</v>
      </c>
    </row>
    <row r="20" spans="2:10">
      <c r="B20" s="1" t="s">
        <v>45</v>
      </c>
    </row>
    <row r="21" spans="2:10">
      <c r="B21" s="1" t="s">
        <v>45</v>
      </c>
    </row>
  </sheetData>
  <mergeCells count="6">
    <mergeCell ref="D17:I17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8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0" t="s">
        <v>4</v>
      </c>
      <c r="F1" s="10" t="s">
        <v>15</v>
      </c>
      <c r="G1" s="10" t="s">
        <v>16</v>
      </c>
      <c r="H1" s="10" t="s">
        <v>17</v>
      </c>
      <c r="I1" s="2"/>
      <c r="J1" s="10"/>
    </row>
    <row r="2" spans="2:10">
      <c r="D2" s="47"/>
      <c r="E2" s="10">
        <v>90</v>
      </c>
      <c r="F2" s="10">
        <v>65</v>
      </c>
      <c r="G2" s="10">
        <v>90</v>
      </c>
      <c r="H2" s="10">
        <v>20</v>
      </c>
      <c r="I2" s="10"/>
      <c r="J2" s="10"/>
    </row>
    <row r="3" spans="2:10">
      <c r="D3" s="10" t="s">
        <v>22</v>
      </c>
      <c r="E3" s="48" t="s">
        <v>67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0" t="s">
        <v>7</v>
      </c>
    </row>
    <row r="7" spans="2:10">
      <c r="D7" s="10" t="s">
        <v>1</v>
      </c>
      <c r="E7" s="10">
        <v>90</v>
      </c>
      <c r="F7" s="10">
        <f>90+65+90</f>
        <v>245</v>
      </c>
      <c r="G7" s="10">
        <v>2</v>
      </c>
      <c r="H7" s="10">
        <v>1.4999999999999999E-2</v>
      </c>
      <c r="I7" s="10"/>
      <c r="J7" s="5">
        <f>(E7*F7*G7*H7)-I7</f>
        <v>661.5</v>
      </c>
    </row>
    <row r="8" spans="2:10">
      <c r="D8" s="10" t="s">
        <v>8</v>
      </c>
      <c r="E8" s="10">
        <v>90</v>
      </c>
      <c r="F8" s="10">
        <v>65</v>
      </c>
      <c r="G8" s="10">
        <v>4</v>
      </c>
      <c r="H8" s="10">
        <v>1.4999999999999999E-2</v>
      </c>
      <c r="I8" s="5"/>
      <c r="J8" s="5">
        <f>((E8*F8)-I8)*G8*H8</f>
        <v>351</v>
      </c>
    </row>
    <row r="9" spans="2:10">
      <c r="D9" s="10" t="s">
        <v>65</v>
      </c>
      <c r="E9" s="10">
        <v>5</v>
      </c>
      <c r="F9" s="5">
        <f>(F8/3*2+F8/3*2+H2*2)</f>
        <v>126.66666666666667</v>
      </c>
      <c r="G9" s="10">
        <v>4</v>
      </c>
      <c r="H9" s="10">
        <v>0.35</v>
      </c>
      <c r="I9" s="10"/>
      <c r="J9" s="5">
        <f>F9*G9*H9</f>
        <v>177.33333333333334</v>
      </c>
    </row>
    <row r="10" spans="2:10">
      <c r="D10" s="12" t="s">
        <v>60</v>
      </c>
      <c r="E10" s="12">
        <v>5</v>
      </c>
      <c r="F10" s="12">
        <f>180</f>
        <v>180</v>
      </c>
      <c r="G10" s="12">
        <v>2</v>
      </c>
      <c r="H10" s="13">
        <v>0.35</v>
      </c>
      <c r="I10" s="12"/>
      <c r="J10" s="5">
        <f>F10*G10*H10</f>
        <v>125.99999999999999</v>
      </c>
    </row>
    <row r="11" spans="2:10">
      <c r="D11" s="10" t="s">
        <v>9</v>
      </c>
      <c r="E11" s="10"/>
      <c r="F11" s="10"/>
      <c r="G11" s="10"/>
      <c r="H11" s="10"/>
      <c r="I11" s="10"/>
      <c r="J11" s="5">
        <v>5</v>
      </c>
    </row>
    <row r="12" spans="2:10">
      <c r="D12" s="10" t="s">
        <v>10</v>
      </c>
      <c r="E12" s="10"/>
      <c r="F12" s="8">
        <f>E2*4+E13+F7*2</f>
        <v>938</v>
      </c>
      <c r="G12" s="10"/>
      <c r="H12" s="10">
        <v>7.6999999999999999E-2</v>
      </c>
      <c r="I12" s="10"/>
      <c r="J12" s="5">
        <f>H12*F12</f>
        <v>72.225999999999999</v>
      </c>
    </row>
    <row r="13" spans="2:10">
      <c r="D13" s="10" t="s">
        <v>11</v>
      </c>
      <c r="E13" s="10">
        <v>88</v>
      </c>
      <c r="F13" s="10">
        <f>E7*4+5</f>
        <v>365</v>
      </c>
      <c r="G13" s="10">
        <v>1</v>
      </c>
      <c r="H13" s="19">
        <v>7.3000000000000001E-3</v>
      </c>
      <c r="I13" s="10"/>
      <c r="J13" s="5">
        <f>(E13*F13*G13*H13)-I13</f>
        <v>234.476</v>
      </c>
    </row>
    <row r="14" spans="2:10">
      <c r="D14" s="10" t="s">
        <v>13</v>
      </c>
      <c r="E14" s="10">
        <v>1</v>
      </c>
      <c r="F14" s="10">
        <v>130</v>
      </c>
      <c r="G14" s="10">
        <v>1</v>
      </c>
      <c r="H14" s="10">
        <v>0.05</v>
      </c>
      <c r="I14" s="10"/>
      <c r="J14" s="5">
        <f>F14*G14*H14</f>
        <v>6.5</v>
      </c>
    </row>
    <row r="15" spans="2:10">
      <c r="D15" s="44" t="s">
        <v>12</v>
      </c>
      <c r="E15" s="45"/>
      <c r="F15" s="45"/>
      <c r="G15" s="45"/>
      <c r="H15" s="45"/>
      <c r="I15" s="46"/>
      <c r="J15" s="5">
        <f>SUM(J7:J14)</f>
        <v>1634.0353333333333</v>
      </c>
    </row>
    <row r="17" spans="2:4">
      <c r="D17" s="1" t="s">
        <v>50</v>
      </c>
    </row>
    <row r="18" spans="2:4">
      <c r="B18" s="1" t="s">
        <v>45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3" tint="-0.249977111117893"/>
  </sheetPr>
  <dimension ref="B1:J17"/>
  <sheetViews>
    <sheetView workbookViewId="0">
      <selection activeCell="D9" sqref="D9"/>
    </sheetView>
  </sheetViews>
  <sheetFormatPr defaultRowHeight="15"/>
  <cols>
    <col min="1" max="2" width="9.140625" style="1"/>
    <col min="3" max="5" width="20" style="1" customWidth="1"/>
    <col min="6" max="6" width="24.140625" style="1" customWidth="1"/>
    <col min="7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48</v>
      </c>
      <c r="E1" s="10" t="s">
        <v>4</v>
      </c>
      <c r="F1" s="10" t="s">
        <v>15</v>
      </c>
      <c r="G1" s="10" t="s">
        <v>16</v>
      </c>
      <c r="H1" s="10" t="s">
        <v>17</v>
      </c>
      <c r="I1" s="2"/>
      <c r="J1" s="10"/>
    </row>
    <row r="2" spans="2:10">
      <c r="D2" s="47"/>
      <c r="E2" s="10">
        <v>75</v>
      </c>
      <c r="F2" s="10">
        <v>135</v>
      </c>
      <c r="G2" s="10">
        <v>75</v>
      </c>
      <c r="H2" s="10">
        <v>45</v>
      </c>
      <c r="I2" s="10"/>
      <c r="J2" s="10"/>
    </row>
    <row r="3" spans="2:10" ht="30">
      <c r="D3" s="10" t="s">
        <v>22</v>
      </c>
      <c r="E3" s="48" t="s">
        <v>57</v>
      </c>
      <c r="F3" s="48"/>
      <c r="G3" s="2" t="s">
        <v>58</v>
      </c>
      <c r="H3" s="48"/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0" t="s">
        <v>7</v>
      </c>
    </row>
    <row r="7" spans="2:10">
      <c r="D7" s="10" t="s">
        <v>1</v>
      </c>
      <c r="E7" s="10">
        <v>75</v>
      </c>
      <c r="F7" s="10">
        <v>200</v>
      </c>
      <c r="G7" s="10">
        <v>4</v>
      </c>
      <c r="H7" s="10">
        <v>1.6E-2</v>
      </c>
      <c r="I7" s="10"/>
      <c r="J7" s="5">
        <f>E7*F7*G7*H7</f>
        <v>960</v>
      </c>
    </row>
    <row r="8" spans="2:10">
      <c r="D8" s="10" t="s">
        <v>8</v>
      </c>
      <c r="E8" s="10">
        <v>80</v>
      </c>
      <c r="F8" s="10">
        <v>80</v>
      </c>
      <c r="G8" s="10">
        <v>2</v>
      </c>
      <c r="H8" s="11">
        <v>1.6E-2</v>
      </c>
      <c r="I8" s="5"/>
      <c r="J8" s="5">
        <f>E8*F8*G8*H8</f>
        <v>204.8</v>
      </c>
    </row>
    <row r="9" spans="2:10">
      <c r="D9" s="11" t="s">
        <v>56</v>
      </c>
      <c r="E9" s="11">
        <v>30</v>
      </c>
      <c r="F9" s="11">
        <v>30</v>
      </c>
      <c r="G9" s="11">
        <v>2</v>
      </c>
      <c r="H9" s="11">
        <v>9.4999999999999998E-3</v>
      </c>
      <c r="I9" s="5"/>
      <c r="J9" s="5">
        <f>E9*F9*G9*H9</f>
        <v>17.099999999999998</v>
      </c>
    </row>
    <row r="10" spans="2:10">
      <c r="D10" s="10" t="s">
        <v>9</v>
      </c>
      <c r="E10" s="10"/>
      <c r="F10" s="10"/>
      <c r="G10" s="10"/>
      <c r="H10" s="10"/>
      <c r="I10" s="10"/>
      <c r="J10" s="5">
        <v>5</v>
      </c>
    </row>
    <row r="11" spans="2:10">
      <c r="D11" s="10" t="s">
        <v>10</v>
      </c>
      <c r="E11" s="10"/>
      <c r="F11" s="8">
        <f>80*4+20*4</f>
        <v>400</v>
      </c>
      <c r="G11" s="10"/>
      <c r="H11" s="10">
        <v>7.6999999999999999E-2</v>
      </c>
      <c r="I11" s="10"/>
      <c r="J11" s="5">
        <f>H11*F11</f>
        <v>30.8</v>
      </c>
    </row>
    <row r="12" spans="2:10">
      <c r="D12" s="10" t="s">
        <v>13</v>
      </c>
      <c r="E12" s="10">
        <v>1</v>
      </c>
      <c r="F12" s="10">
        <v>130</v>
      </c>
      <c r="G12" s="10">
        <v>1</v>
      </c>
      <c r="H12" s="10">
        <v>0.05</v>
      </c>
      <c r="I12" s="10"/>
      <c r="J12" s="5">
        <f>F12*G12*H12</f>
        <v>6.5</v>
      </c>
    </row>
    <row r="13" spans="2:10">
      <c r="D13" s="44" t="s">
        <v>12</v>
      </c>
      <c r="E13" s="45"/>
      <c r="F13" s="45"/>
      <c r="G13" s="45"/>
      <c r="H13" s="45"/>
      <c r="I13" s="46"/>
      <c r="J13" s="5">
        <f>SUM(J7:J12)</f>
        <v>1224.1999999999998</v>
      </c>
    </row>
    <row r="16" spans="2:10">
      <c r="D16" s="1" t="s">
        <v>51</v>
      </c>
    </row>
    <row r="17" spans="2:5">
      <c r="B17" s="1" t="s">
        <v>46</v>
      </c>
      <c r="E17"/>
    </row>
  </sheetData>
  <mergeCells count="6">
    <mergeCell ref="D13:I13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B1:J18"/>
  <sheetViews>
    <sheetView workbookViewId="0">
      <selection activeCell="E18" sqref="E18"/>
    </sheetView>
  </sheetViews>
  <sheetFormatPr defaultRowHeight="15"/>
  <cols>
    <col min="1" max="2" width="9.140625" style="1"/>
    <col min="3" max="3" width="18.140625" style="1" customWidth="1"/>
    <col min="4" max="4" width="24.28515625" style="1" customWidth="1"/>
    <col min="5" max="5" width="20" style="1" customWidth="1"/>
    <col min="6" max="6" width="24.140625" style="1" customWidth="1"/>
    <col min="7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48</v>
      </c>
      <c r="E1" s="10" t="s">
        <v>4</v>
      </c>
      <c r="F1" s="10" t="s">
        <v>15</v>
      </c>
      <c r="G1" s="10" t="s">
        <v>16</v>
      </c>
      <c r="H1" s="10" t="s">
        <v>17</v>
      </c>
      <c r="I1" s="2"/>
      <c r="J1" s="10"/>
    </row>
    <row r="2" spans="2:10">
      <c r="D2" s="47"/>
      <c r="E2" s="10">
        <v>90</v>
      </c>
      <c r="F2" s="10">
        <v>100</v>
      </c>
      <c r="G2" s="10">
        <v>90</v>
      </c>
      <c r="H2" s="10">
        <v>50</v>
      </c>
      <c r="I2" s="10"/>
      <c r="J2" s="10"/>
    </row>
    <row r="3" spans="2:10">
      <c r="D3" s="10" t="s">
        <v>22</v>
      </c>
      <c r="E3" s="48" t="s">
        <v>49</v>
      </c>
      <c r="F3" s="48"/>
      <c r="G3" s="2"/>
      <c r="H3" s="48"/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0" t="s">
        <v>7</v>
      </c>
    </row>
    <row r="7" spans="2:10">
      <c r="D7" s="10" t="s">
        <v>1</v>
      </c>
      <c r="E7" s="10">
        <v>90</v>
      </c>
      <c r="F7" s="10">
        <v>165</v>
      </c>
      <c r="G7" s="10">
        <v>4</v>
      </c>
      <c r="H7" s="10">
        <v>0.02</v>
      </c>
      <c r="I7" s="10"/>
      <c r="J7" s="5">
        <f>E7*F7*G7*H7</f>
        <v>1188</v>
      </c>
    </row>
    <row r="8" spans="2:10">
      <c r="D8" s="10" t="s">
        <v>8</v>
      </c>
      <c r="E8" s="10">
        <v>95</v>
      </c>
      <c r="F8" s="10">
        <v>95</v>
      </c>
      <c r="G8" s="10">
        <v>2</v>
      </c>
      <c r="H8" s="10">
        <v>0.02</v>
      </c>
      <c r="I8" s="5"/>
      <c r="J8" s="5">
        <f>E8*F8*G8*H8</f>
        <v>361</v>
      </c>
    </row>
    <row r="9" spans="2:10">
      <c r="D9" s="10" t="s">
        <v>52</v>
      </c>
      <c r="E9" s="10">
        <v>95</v>
      </c>
      <c r="F9" s="10">
        <f>45+95+45</f>
        <v>185</v>
      </c>
      <c r="G9" s="10">
        <v>2</v>
      </c>
      <c r="H9" s="10">
        <v>1.4E-2</v>
      </c>
      <c r="I9" s="5"/>
      <c r="J9" s="5">
        <f>E9*F9*G9*H9</f>
        <v>492.1</v>
      </c>
    </row>
    <row r="10" spans="2:10">
      <c r="D10" s="10" t="s">
        <v>53</v>
      </c>
      <c r="E10" s="10">
        <v>95</v>
      </c>
      <c r="F10" s="10">
        <v>45</v>
      </c>
      <c r="G10" s="10">
        <v>4</v>
      </c>
      <c r="H10" s="10">
        <v>1.4E-2</v>
      </c>
      <c r="I10" s="5"/>
      <c r="J10" s="5">
        <f t="shared" ref="J10" si="0">E10*F10*G10*H10</f>
        <v>239.4</v>
      </c>
    </row>
    <row r="11" spans="2:10">
      <c r="D11" s="10" t="s">
        <v>54</v>
      </c>
      <c r="E11" s="10">
        <v>5</v>
      </c>
      <c r="F11" s="10">
        <f>95*4</f>
        <v>380</v>
      </c>
      <c r="G11" s="10">
        <v>1</v>
      </c>
      <c r="H11" s="10">
        <v>0.35</v>
      </c>
      <c r="I11" s="5"/>
      <c r="J11" s="5">
        <f>F11*G11*H11</f>
        <v>133</v>
      </c>
    </row>
    <row r="12" spans="2:10">
      <c r="D12" s="10" t="s">
        <v>9</v>
      </c>
      <c r="E12" s="10"/>
      <c r="F12" s="10"/>
      <c r="G12" s="10"/>
      <c r="H12" s="10"/>
      <c r="I12" s="10"/>
      <c r="J12" s="5">
        <v>5</v>
      </c>
    </row>
    <row r="13" spans="2:10">
      <c r="D13" s="10" t="s">
        <v>10</v>
      </c>
      <c r="E13" s="10"/>
      <c r="F13" s="8">
        <f>E7*4+F9*2+95*4+41*4</f>
        <v>1274</v>
      </c>
      <c r="G13" s="10"/>
      <c r="H13" s="10">
        <v>7.6999999999999999E-2</v>
      </c>
      <c r="I13" s="10"/>
      <c r="J13" s="5">
        <f>H13*F13</f>
        <v>98.097999999999999</v>
      </c>
    </row>
    <row r="14" spans="2:10">
      <c r="D14" s="44" t="s">
        <v>12</v>
      </c>
      <c r="E14" s="45"/>
      <c r="F14" s="45"/>
      <c r="G14" s="45"/>
      <c r="H14" s="45"/>
      <c r="I14" s="46"/>
      <c r="J14" s="5">
        <f>SUM(J7:J13)</f>
        <v>2516.598</v>
      </c>
    </row>
    <row r="17" spans="2:5">
      <c r="D17" s="1" t="s">
        <v>51</v>
      </c>
    </row>
    <row r="18" spans="2:5">
      <c r="B18" s="1" t="s">
        <v>46</v>
      </c>
      <c r="E18"/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7"/>
  <sheetViews>
    <sheetView topLeftCell="C1" workbookViewId="0">
      <selection activeCell="D12" sqref="D12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8" t="s">
        <v>4</v>
      </c>
      <c r="F1" s="18" t="s">
        <v>15</v>
      </c>
      <c r="G1" s="18" t="s">
        <v>16</v>
      </c>
      <c r="H1" s="18" t="s">
        <v>17</v>
      </c>
      <c r="I1" s="2"/>
      <c r="J1" s="18"/>
    </row>
    <row r="2" spans="2:10">
      <c r="D2" s="47"/>
      <c r="E2" s="18">
        <v>90</v>
      </c>
      <c r="F2" s="18">
        <v>65</v>
      </c>
      <c r="G2" s="18">
        <v>90</v>
      </c>
      <c r="H2" s="18">
        <v>30</v>
      </c>
      <c r="I2" s="18"/>
      <c r="J2" s="18"/>
    </row>
    <row r="3" spans="2:10">
      <c r="D3" s="18" t="s">
        <v>22</v>
      </c>
      <c r="E3" s="48" t="s">
        <v>70</v>
      </c>
      <c r="F3" s="48"/>
      <c r="G3" s="2"/>
      <c r="H3" s="48" t="s">
        <v>47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8" t="s">
        <v>7</v>
      </c>
    </row>
    <row r="7" spans="2:10">
      <c r="D7" s="18" t="s">
        <v>1</v>
      </c>
      <c r="E7" s="18">
        <v>90</v>
      </c>
      <c r="F7" s="18">
        <v>220</v>
      </c>
      <c r="G7" s="18">
        <v>2</v>
      </c>
      <c r="H7" s="18">
        <v>1.6E-2</v>
      </c>
      <c r="I7" s="18"/>
      <c r="J7" s="5">
        <f>(E7*F7*G7*H7)-I7</f>
        <v>633.6</v>
      </c>
    </row>
    <row r="8" spans="2:10">
      <c r="D8" s="18" t="s">
        <v>8</v>
      </c>
      <c r="E8" s="18">
        <v>90</v>
      </c>
      <c r="F8" s="18">
        <v>65</v>
      </c>
      <c r="G8" s="18">
        <v>4</v>
      </c>
      <c r="H8" s="18">
        <v>1.6E-2</v>
      </c>
      <c r="I8" s="5"/>
      <c r="J8" s="5">
        <f>((E8*F8)-I8)*G8*H8</f>
        <v>374.40000000000003</v>
      </c>
    </row>
    <row r="9" spans="2:10">
      <c r="D9" s="18" t="s">
        <v>71</v>
      </c>
      <c r="E9" s="18">
        <v>5</v>
      </c>
      <c r="F9" s="5">
        <f>(F8/3*2+F8/3*1+H2*2)</f>
        <v>125</v>
      </c>
      <c r="G9" s="18">
        <v>4</v>
      </c>
      <c r="H9" s="18">
        <v>0.35</v>
      </c>
      <c r="I9" s="18"/>
      <c r="J9" s="5">
        <f>F9*G9*H9</f>
        <v>175</v>
      </c>
    </row>
    <row r="10" spans="2:10">
      <c r="D10" s="18" t="s">
        <v>9</v>
      </c>
      <c r="E10" s="18"/>
      <c r="F10" s="18"/>
      <c r="G10" s="18"/>
      <c r="H10" s="18"/>
      <c r="I10" s="18"/>
      <c r="J10" s="5">
        <v>5</v>
      </c>
    </row>
    <row r="11" spans="2:10">
      <c r="D11" s="18" t="s">
        <v>10</v>
      </c>
      <c r="E11" s="18"/>
      <c r="F11" s="8">
        <f>E2*4+E12+F7*2</f>
        <v>873</v>
      </c>
      <c r="G11" s="18"/>
      <c r="H11" s="18">
        <v>7.6999999999999999E-2</v>
      </c>
      <c r="I11" s="18"/>
      <c r="J11" s="5">
        <f>H11*F11</f>
        <v>67.221000000000004</v>
      </c>
    </row>
    <row r="12" spans="2:10">
      <c r="D12" s="18" t="s">
        <v>11</v>
      </c>
      <c r="E12" s="18">
        <v>73</v>
      </c>
      <c r="F12" s="18">
        <f>E7*4+5</f>
        <v>365</v>
      </c>
      <c r="G12" s="18">
        <v>1</v>
      </c>
      <c r="H12" s="19">
        <v>9.4999999999999998E-3</v>
      </c>
      <c r="I12" s="18"/>
      <c r="J12" s="5">
        <f>(E12*F12*G12*H12)-I12</f>
        <v>253.1275</v>
      </c>
    </row>
    <row r="13" spans="2:10">
      <c r="D13" s="18" t="s">
        <v>13</v>
      </c>
      <c r="E13" s="18">
        <v>1</v>
      </c>
      <c r="F13" s="18">
        <v>130</v>
      </c>
      <c r="G13" s="18">
        <v>1</v>
      </c>
      <c r="H13" s="18">
        <v>0.05</v>
      </c>
      <c r="I13" s="18"/>
      <c r="J13" s="5">
        <f>F13*G13*H13</f>
        <v>6.5</v>
      </c>
    </row>
    <row r="14" spans="2:10">
      <c r="D14" s="44" t="s">
        <v>12</v>
      </c>
      <c r="E14" s="45"/>
      <c r="F14" s="45"/>
      <c r="G14" s="45"/>
      <c r="H14" s="45"/>
      <c r="I14" s="46"/>
      <c r="J14" s="5">
        <f>SUM(J7:J13)</f>
        <v>1514.8485000000001</v>
      </c>
    </row>
    <row r="16" spans="2:10">
      <c r="D16" s="1" t="s">
        <v>50</v>
      </c>
    </row>
    <row r="17" spans="2:2">
      <c r="B17" s="1" t="s">
        <v>45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9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7" t="s">
        <v>4</v>
      </c>
      <c r="F1" s="17" t="s">
        <v>15</v>
      </c>
      <c r="G1" s="17" t="s">
        <v>16</v>
      </c>
      <c r="H1" s="17" t="s">
        <v>17</v>
      </c>
      <c r="I1" s="2"/>
      <c r="J1" s="17"/>
    </row>
    <row r="2" spans="2:10">
      <c r="D2" s="47"/>
      <c r="E2" s="17">
        <v>90</v>
      </c>
      <c r="F2" s="17">
        <v>65</v>
      </c>
      <c r="G2" s="17">
        <v>90</v>
      </c>
      <c r="H2" s="17">
        <v>20</v>
      </c>
      <c r="I2" s="17"/>
      <c r="J2" s="17"/>
    </row>
    <row r="3" spans="2:10">
      <c r="D3" s="17" t="s">
        <v>22</v>
      </c>
      <c r="E3" s="48" t="s">
        <v>67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7" t="s">
        <v>7</v>
      </c>
    </row>
    <row r="7" spans="2:10">
      <c r="D7" s="17" t="s">
        <v>1</v>
      </c>
      <c r="E7" s="17">
        <v>90</v>
      </c>
      <c r="F7" s="17">
        <f>90+65+90</f>
        <v>245</v>
      </c>
      <c r="G7" s="17">
        <v>2</v>
      </c>
      <c r="H7" s="17">
        <v>1.4999999999999999E-2</v>
      </c>
      <c r="I7" s="17"/>
      <c r="J7" s="5">
        <f>(E7*F7*G7*H7)-I7</f>
        <v>661.5</v>
      </c>
    </row>
    <row r="8" spans="2:10">
      <c r="D8" s="17" t="s">
        <v>8</v>
      </c>
      <c r="E8" s="17">
        <v>90</v>
      </c>
      <c r="F8" s="17">
        <v>65</v>
      </c>
      <c r="G8" s="17">
        <v>4</v>
      </c>
      <c r="H8" s="17">
        <v>1.4999999999999999E-2</v>
      </c>
      <c r="I8" s="5"/>
      <c r="J8" s="5">
        <f>((E8*F8)-I8)*G8*H8</f>
        <v>351</v>
      </c>
    </row>
    <row r="9" spans="2:10">
      <c r="D9" s="17" t="s">
        <v>65</v>
      </c>
      <c r="E9" s="17">
        <v>5</v>
      </c>
      <c r="F9" s="5">
        <f>(F8/3*2+F8/3*2+H2*2)</f>
        <v>126.66666666666667</v>
      </c>
      <c r="G9" s="17">
        <v>4</v>
      </c>
      <c r="H9" s="17">
        <v>0.35</v>
      </c>
      <c r="I9" s="17"/>
      <c r="J9" s="5">
        <f>F9*G9*H9</f>
        <v>177.33333333333334</v>
      </c>
    </row>
    <row r="10" spans="2:10">
      <c r="D10" s="17" t="s">
        <v>60</v>
      </c>
      <c r="E10" s="17">
        <v>5</v>
      </c>
      <c r="F10" s="17">
        <f>180</f>
        <v>180</v>
      </c>
      <c r="G10" s="17">
        <v>2</v>
      </c>
      <c r="H10" s="17">
        <v>0.35</v>
      </c>
      <c r="I10" s="17"/>
      <c r="J10" s="5">
        <f>F10*G10*H10</f>
        <v>125.99999999999999</v>
      </c>
    </row>
    <row r="11" spans="2:10">
      <c r="D11" s="17" t="s">
        <v>9</v>
      </c>
      <c r="E11" s="17"/>
      <c r="F11" s="17"/>
      <c r="G11" s="17"/>
      <c r="H11" s="17"/>
      <c r="I11" s="17"/>
      <c r="J11" s="5">
        <v>5</v>
      </c>
    </row>
    <row r="12" spans="2:10">
      <c r="D12" s="17" t="s">
        <v>10</v>
      </c>
      <c r="E12" s="17"/>
      <c r="F12" s="8">
        <f>E2*4+E13+F7*2</f>
        <v>938</v>
      </c>
      <c r="G12" s="17"/>
      <c r="H12" s="17">
        <v>7.6999999999999999E-2</v>
      </c>
      <c r="I12" s="17"/>
      <c r="J12" s="5">
        <f>H12*F12</f>
        <v>72.225999999999999</v>
      </c>
    </row>
    <row r="13" spans="2:10">
      <c r="D13" s="17" t="s">
        <v>11</v>
      </c>
      <c r="E13" s="17">
        <v>88</v>
      </c>
      <c r="F13" s="17">
        <f>E7*4+5</f>
        <v>365</v>
      </c>
      <c r="G13" s="17">
        <v>1</v>
      </c>
      <c r="H13" s="19">
        <v>7.3000000000000001E-3</v>
      </c>
      <c r="I13" s="17"/>
      <c r="J13" s="5">
        <f>(E13*F13*G13*H13)-I13</f>
        <v>234.476</v>
      </c>
    </row>
    <row r="14" spans="2:10">
      <c r="D14" s="17" t="s">
        <v>69</v>
      </c>
      <c r="E14" s="17">
        <v>173</v>
      </c>
      <c r="F14" s="17">
        <v>241</v>
      </c>
      <c r="G14" s="17">
        <v>2</v>
      </c>
      <c r="H14" s="17">
        <v>7.0000000000000001E-3</v>
      </c>
      <c r="I14" s="17">
        <v>0.95</v>
      </c>
      <c r="J14" s="5">
        <f>(E14*F14*G14*H14)*I14</f>
        <v>554.51689999999996</v>
      </c>
    </row>
    <row r="15" spans="2:10">
      <c r="D15" s="17" t="s">
        <v>13</v>
      </c>
      <c r="E15" s="17">
        <v>1</v>
      </c>
      <c r="F15" s="17">
        <v>130</v>
      </c>
      <c r="G15" s="17">
        <v>1</v>
      </c>
      <c r="H15" s="17">
        <v>0.05</v>
      </c>
      <c r="I15" s="17"/>
      <c r="J15" s="5">
        <f>F15*G15*H15</f>
        <v>6.5</v>
      </c>
    </row>
    <row r="16" spans="2:10">
      <c r="D16" s="44" t="s">
        <v>12</v>
      </c>
      <c r="E16" s="45"/>
      <c r="F16" s="45"/>
      <c r="G16" s="45"/>
      <c r="H16" s="45"/>
      <c r="I16" s="46"/>
      <c r="J16" s="5">
        <f>SUM(J7:J15)</f>
        <v>2188.5522333333333</v>
      </c>
    </row>
    <row r="18" spans="2:4">
      <c r="D18" s="1" t="s">
        <v>50</v>
      </c>
    </row>
    <row r="19" spans="2:4">
      <c r="B19" s="1" t="s">
        <v>45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9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8" t="s">
        <v>4</v>
      </c>
      <c r="F1" s="18" t="s">
        <v>15</v>
      </c>
      <c r="G1" s="18" t="s">
        <v>16</v>
      </c>
      <c r="H1" s="18" t="s">
        <v>17</v>
      </c>
      <c r="I1" s="2"/>
      <c r="J1" s="18"/>
    </row>
    <row r="2" spans="2:10">
      <c r="D2" s="47"/>
      <c r="E2" s="18">
        <v>90</v>
      </c>
      <c r="F2" s="18">
        <v>65</v>
      </c>
      <c r="G2" s="18">
        <v>90</v>
      </c>
      <c r="H2" s="18">
        <v>20</v>
      </c>
      <c r="I2" s="18"/>
      <c r="J2" s="18"/>
    </row>
    <row r="3" spans="2:10">
      <c r="D3" s="18" t="s">
        <v>22</v>
      </c>
      <c r="E3" s="48" t="s">
        <v>70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8" t="s">
        <v>7</v>
      </c>
    </row>
    <row r="7" spans="2:10">
      <c r="D7" s="18" t="s">
        <v>1</v>
      </c>
      <c r="E7" s="18">
        <v>90</v>
      </c>
      <c r="F7" s="18">
        <f>90+65+90</f>
        <v>245</v>
      </c>
      <c r="G7" s="18">
        <v>2</v>
      </c>
      <c r="H7" s="18">
        <v>1.6E-2</v>
      </c>
      <c r="I7" s="18"/>
      <c r="J7" s="5">
        <f>(E7*F7*G7*H7)-I7</f>
        <v>705.6</v>
      </c>
    </row>
    <row r="8" spans="2:10">
      <c r="D8" s="18" t="s">
        <v>8</v>
      </c>
      <c r="E8" s="18">
        <v>90</v>
      </c>
      <c r="F8" s="18">
        <v>65</v>
      </c>
      <c r="G8" s="18">
        <v>4</v>
      </c>
      <c r="H8" s="18">
        <v>1.6E-2</v>
      </c>
      <c r="I8" s="5"/>
      <c r="J8" s="5">
        <f>((E8*F8)-I8)*G8*H8</f>
        <v>374.40000000000003</v>
      </c>
    </row>
    <row r="9" spans="2:10">
      <c r="D9" s="18" t="s">
        <v>65</v>
      </c>
      <c r="E9" s="18">
        <v>5</v>
      </c>
      <c r="F9" s="5">
        <f>(F8/3*2+F8/3*2+H2*2)</f>
        <v>126.66666666666667</v>
      </c>
      <c r="G9" s="18">
        <v>4</v>
      </c>
      <c r="H9" s="18">
        <v>0.35</v>
      </c>
      <c r="I9" s="18"/>
      <c r="J9" s="5">
        <f>F9*G9*H9</f>
        <v>177.33333333333334</v>
      </c>
    </row>
    <row r="10" spans="2:10">
      <c r="D10" s="18" t="s">
        <v>60</v>
      </c>
      <c r="E10" s="18">
        <v>5</v>
      </c>
      <c r="F10" s="18">
        <f>180</f>
        <v>180</v>
      </c>
      <c r="G10" s="18">
        <v>2</v>
      </c>
      <c r="H10" s="18">
        <v>0.35</v>
      </c>
      <c r="I10" s="18"/>
      <c r="J10" s="5">
        <f>F10*G10*H10</f>
        <v>125.99999999999999</v>
      </c>
    </row>
    <row r="11" spans="2:10">
      <c r="D11" s="18" t="s">
        <v>9</v>
      </c>
      <c r="E11" s="18"/>
      <c r="F11" s="18"/>
      <c r="G11" s="18"/>
      <c r="H11" s="18"/>
      <c r="I11" s="18"/>
      <c r="J11" s="5">
        <v>5</v>
      </c>
    </row>
    <row r="12" spans="2:10">
      <c r="D12" s="18" t="s">
        <v>10</v>
      </c>
      <c r="E12" s="18"/>
      <c r="F12" s="8">
        <f>E2*4+E13+F7*2</f>
        <v>938</v>
      </c>
      <c r="G12" s="18"/>
      <c r="H12" s="18">
        <v>7.6999999999999999E-2</v>
      </c>
      <c r="I12" s="18"/>
      <c r="J12" s="5">
        <f>H12*F12</f>
        <v>72.225999999999999</v>
      </c>
    </row>
    <row r="13" spans="2:10">
      <c r="D13" s="18" t="s">
        <v>11</v>
      </c>
      <c r="E13" s="18">
        <v>88</v>
      </c>
      <c r="F13" s="18">
        <f>E7*4+5</f>
        <v>365</v>
      </c>
      <c r="G13" s="18">
        <v>1</v>
      </c>
      <c r="H13" s="19">
        <v>7.3000000000000001E-3</v>
      </c>
      <c r="I13" s="18"/>
      <c r="J13" s="5">
        <f>(E13*F13*G13*H13)-I13</f>
        <v>234.476</v>
      </c>
    </row>
    <row r="14" spans="2:10">
      <c r="D14" s="18" t="s">
        <v>69</v>
      </c>
      <c r="E14" s="18">
        <v>173</v>
      </c>
      <c r="F14" s="18">
        <v>241</v>
      </c>
      <c r="G14" s="18">
        <v>2</v>
      </c>
      <c r="H14" s="18">
        <v>7.0000000000000001E-3</v>
      </c>
      <c r="I14" s="18">
        <v>0.95</v>
      </c>
      <c r="J14" s="5">
        <f>(E14*F14*G14*H14)*I14</f>
        <v>554.51689999999996</v>
      </c>
    </row>
    <row r="15" spans="2:10">
      <c r="D15" s="18" t="s">
        <v>13</v>
      </c>
      <c r="E15" s="18">
        <v>1</v>
      </c>
      <c r="F15" s="18">
        <v>130</v>
      </c>
      <c r="G15" s="18">
        <v>1</v>
      </c>
      <c r="H15" s="18">
        <v>0.05</v>
      </c>
      <c r="I15" s="18"/>
      <c r="J15" s="5">
        <f>F15*G15*H15</f>
        <v>6.5</v>
      </c>
    </row>
    <row r="16" spans="2:10">
      <c r="D16" s="44" t="s">
        <v>12</v>
      </c>
      <c r="E16" s="45"/>
      <c r="F16" s="45"/>
      <c r="G16" s="45"/>
      <c r="H16" s="45"/>
      <c r="I16" s="46"/>
      <c r="J16" s="5">
        <f>SUM(J7:J15)</f>
        <v>2256.0522333333333</v>
      </c>
    </row>
    <row r="18" spans="2:4">
      <c r="D18" s="1" t="s">
        <v>50</v>
      </c>
    </row>
    <row r="19" spans="2:4">
      <c r="B19" s="1" t="s">
        <v>45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8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7" t="s">
        <v>4</v>
      </c>
      <c r="F1" s="17" t="s">
        <v>15</v>
      </c>
      <c r="G1" s="17" t="s">
        <v>16</v>
      </c>
      <c r="H1" s="17" t="s">
        <v>17</v>
      </c>
      <c r="I1" s="2"/>
      <c r="J1" s="17"/>
    </row>
    <row r="2" spans="2:10">
      <c r="D2" s="47"/>
      <c r="E2" s="17">
        <v>90</v>
      </c>
      <c r="F2" s="17">
        <v>65</v>
      </c>
      <c r="G2" s="17">
        <v>90</v>
      </c>
      <c r="H2" s="17">
        <v>20</v>
      </c>
      <c r="I2" s="17"/>
      <c r="J2" s="17"/>
    </row>
    <row r="3" spans="2:10">
      <c r="D3" s="17" t="s">
        <v>22</v>
      </c>
      <c r="E3" s="48" t="s">
        <v>68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7" t="s">
        <v>7</v>
      </c>
    </row>
    <row r="7" spans="2:10">
      <c r="D7" s="17" t="s">
        <v>1</v>
      </c>
      <c r="E7" s="17">
        <v>90</v>
      </c>
      <c r="F7" s="17">
        <f>90+65+90</f>
        <v>245</v>
      </c>
      <c r="G7" s="17">
        <v>2</v>
      </c>
      <c r="H7" s="17">
        <v>1.7000000000000001E-2</v>
      </c>
      <c r="I7" s="17"/>
      <c r="J7" s="5">
        <f>(E7*F7*G7*H7)-I7</f>
        <v>749.7</v>
      </c>
    </row>
    <row r="8" spans="2:10">
      <c r="D8" s="17" t="s">
        <v>8</v>
      </c>
      <c r="E8" s="17">
        <v>90</v>
      </c>
      <c r="F8" s="17">
        <v>65</v>
      </c>
      <c r="G8" s="17">
        <v>4</v>
      </c>
      <c r="H8" s="17">
        <v>1.7000000000000001E-2</v>
      </c>
      <c r="I8" s="5"/>
      <c r="J8" s="5">
        <f>((E8*F8)-I8)*G8*H8</f>
        <v>397.8</v>
      </c>
    </row>
    <row r="9" spans="2:10">
      <c r="D9" s="17" t="s">
        <v>65</v>
      </c>
      <c r="E9" s="17">
        <v>5</v>
      </c>
      <c r="F9" s="5">
        <f>(F8/3*2+F8/3*2+H2*2)</f>
        <v>126.66666666666667</v>
      </c>
      <c r="G9" s="17">
        <v>4</v>
      </c>
      <c r="H9" s="17">
        <v>0.35</v>
      </c>
      <c r="I9" s="17"/>
      <c r="J9" s="5">
        <f>F9*G9*H9</f>
        <v>177.33333333333334</v>
      </c>
    </row>
    <row r="10" spans="2:10">
      <c r="D10" s="17" t="s">
        <v>60</v>
      </c>
      <c r="E10" s="17">
        <v>5</v>
      </c>
      <c r="F10" s="17">
        <f>180</f>
        <v>180</v>
      </c>
      <c r="G10" s="17">
        <v>2</v>
      </c>
      <c r="H10" s="17">
        <v>0.35</v>
      </c>
      <c r="I10" s="17"/>
      <c r="J10" s="5">
        <f>F10*G10*H10</f>
        <v>125.99999999999999</v>
      </c>
    </row>
    <row r="11" spans="2:10">
      <c r="D11" s="17" t="s">
        <v>9</v>
      </c>
      <c r="E11" s="17"/>
      <c r="F11" s="17"/>
      <c r="G11" s="17"/>
      <c r="H11" s="17"/>
      <c r="I11" s="17"/>
      <c r="J11" s="5">
        <v>5</v>
      </c>
    </row>
    <row r="12" spans="2:10">
      <c r="D12" s="17" t="s">
        <v>10</v>
      </c>
      <c r="E12" s="17"/>
      <c r="F12" s="8">
        <f>E2*4+E13+F7*2</f>
        <v>938</v>
      </c>
      <c r="G12" s="17"/>
      <c r="H12" s="17">
        <v>7.6999999999999999E-2</v>
      </c>
      <c r="I12" s="17"/>
      <c r="J12" s="5">
        <f>H12*F12</f>
        <v>72.225999999999999</v>
      </c>
    </row>
    <row r="13" spans="2:10">
      <c r="D13" s="17" t="s">
        <v>11</v>
      </c>
      <c r="E13" s="17">
        <v>88</v>
      </c>
      <c r="F13" s="17">
        <f>E7*4+5</f>
        <v>365</v>
      </c>
      <c r="G13" s="17">
        <v>1</v>
      </c>
      <c r="H13" s="19">
        <v>7.3000000000000001E-3</v>
      </c>
      <c r="I13" s="17"/>
      <c r="J13" s="5">
        <f>(E13*F13*G13*H13)-I13</f>
        <v>234.476</v>
      </c>
    </row>
    <row r="14" spans="2:10">
      <c r="D14" s="17" t="s">
        <v>13</v>
      </c>
      <c r="E14" s="17">
        <v>1</v>
      </c>
      <c r="F14" s="17">
        <v>130</v>
      </c>
      <c r="G14" s="17">
        <v>1</v>
      </c>
      <c r="H14" s="17">
        <v>0.05</v>
      </c>
      <c r="I14" s="17"/>
      <c r="J14" s="5">
        <f>F14*G14*H14</f>
        <v>6.5</v>
      </c>
    </row>
    <row r="15" spans="2:10">
      <c r="D15" s="44" t="s">
        <v>12</v>
      </c>
      <c r="E15" s="45"/>
      <c r="F15" s="45"/>
      <c r="G15" s="45"/>
      <c r="H15" s="45"/>
      <c r="I15" s="46"/>
      <c r="J15" s="5">
        <f>SUM(J7:J14)</f>
        <v>1769.0353333333333</v>
      </c>
    </row>
    <row r="17" spans="2:4">
      <c r="D17" s="1" t="s">
        <v>50</v>
      </c>
    </row>
    <row r="18" spans="2:4">
      <c r="B18" s="1" t="s">
        <v>45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8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8" t="s">
        <v>4</v>
      </c>
      <c r="F1" s="18" t="s">
        <v>15</v>
      </c>
      <c r="G1" s="18" t="s">
        <v>16</v>
      </c>
      <c r="H1" s="18" t="s">
        <v>17</v>
      </c>
      <c r="I1" s="2"/>
      <c r="J1" s="18"/>
    </row>
    <row r="2" spans="2:10">
      <c r="D2" s="47"/>
      <c r="E2" s="18">
        <v>90</v>
      </c>
      <c r="F2" s="18">
        <v>65</v>
      </c>
      <c r="G2" s="18">
        <v>90</v>
      </c>
      <c r="H2" s="18">
        <v>20</v>
      </c>
      <c r="I2" s="18"/>
      <c r="J2" s="18"/>
    </row>
    <row r="3" spans="2:10">
      <c r="D3" s="18" t="s">
        <v>22</v>
      </c>
      <c r="E3" s="48" t="s">
        <v>59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8" t="s">
        <v>7</v>
      </c>
    </row>
    <row r="7" spans="2:10">
      <c r="D7" s="18" t="s">
        <v>1</v>
      </c>
      <c r="E7" s="18">
        <v>90</v>
      </c>
      <c r="F7" s="18">
        <f>90+65+90</f>
        <v>245</v>
      </c>
      <c r="G7" s="18">
        <v>2</v>
      </c>
      <c r="H7" s="18">
        <v>1.7999999999999999E-2</v>
      </c>
      <c r="I7" s="18"/>
      <c r="J7" s="5">
        <f>(E7*F7*G7*H7)-I7</f>
        <v>793.8</v>
      </c>
    </row>
    <row r="8" spans="2:10">
      <c r="D8" s="18" t="s">
        <v>8</v>
      </c>
      <c r="E8" s="18">
        <v>90</v>
      </c>
      <c r="F8" s="18">
        <v>65</v>
      </c>
      <c r="G8" s="18">
        <v>4</v>
      </c>
      <c r="H8" s="18">
        <v>1.7999999999999999E-2</v>
      </c>
      <c r="I8" s="5"/>
      <c r="J8" s="5">
        <f>((E8*F8)-I8)*G8*H8</f>
        <v>421.2</v>
      </c>
    </row>
    <row r="9" spans="2:10">
      <c r="D9" s="18" t="s">
        <v>65</v>
      </c>
      <c r="E9" s="18">
        <v>5</v>
      </c>
      <c r="F9" s="5">
        <f>(F8/3*2+F8/3*2+H2*2)</f>
        <v>126.66666666666667</v>
      </c>
      <c r="G9" s="18">
        <v>4</v>
      </c>
      <c r="H9" s="18">
        <v>0.35</v>
      </c>
      <c r="I9" s="18"/>
      <c r="J9" s="5">
        <f>F9*G9*H9</f>
        <v>177.33333333333334</v>
      </c>
    </row>
    <row r="10" spans="2:10">
      <c r="D10" s="18" t="s">
        <v>60</v>
      </c>
      <c r="E10" s="18">
        <v>5</v>
      </c>
      <c r="F10" s="18">
        <f>180</f>
        <v>180</v>
      </c>
      <c r="G10" s="18">
        <v>2</v>
      </c>
      <c r="H10" s="18">
        <v>0.35</v>
      </c>
      <c r="I10" s="18"/>
      <c r="J10" s="5">
        <f>F10*G10*H10</f>
        <v>125.99999999999999</v>
      </c>
    </row>
    <row r="11" spans="2:10">
      <c r="D11" s="18" t="s">
        <v>9</v>
      </c>
      <c r="E11" s="18"/>
      <c r="F11" s="18"/>
      <c r="G11" s="18"/>
      <c r="H11" s="18"/>
      <c r="I11" s="18"/>
      <c r="J11" s="5">
        <v>5</v>
      </c>
    </row>
    <row r="12" spans="2:10">
      <c r="D12" s="18" t="s">
        <v>10</v>
      </c>
      <c r="E12" s="18"/>
      <c r="F12" s="8">
        <f>E2*4+E13+F7*2</f>
        <v>938</v>
      </c>
      <c r="G12" s="18"/>
      <c r="H12" s="18">
        <v>7.6999999999999999E-2</v>
      </c>
      <c r="I12" s="18"/>
      <c r="J12" s="5">
        <f>H12*F12</f>
        <v>72.225999999999999</v>
      </c>
    </row>
    <row r="13" spans="2:10">
      <c r="D13" s="18" t="s">
        <v>11</v>
      </c>
      <c r="E13" s="18">
        <v>88</v>
      </c>
      <c r="F13" s="18">
        <f>E7*4+5</f>
        <v>365</v>
      </c>
      <c r="G13" s="18">
        <v>1</v>
      </c>
      <c r="H13" s="19">
        <v>7.3000000000000001E-3</v>
      </c>
      <c r="I13" s="18"/>
      <c r="J13" s="5">
        <f>(E13*F13*G13*H13)-I13</f>
        <v>234.476</v>
      </c>
    </row>
    <row r="14" spans="2:10">
      <c r="D14" s="18" t="s">
        <v>13</v>
      </c>
      <c r="E14" s="18">
        <v>1</v>
      </c>
      <c r="F14" s="18">
        <v>130</v>
      </c>
      <c r="G14" s="18">
        <v>1</v>
      </c>
      <c r="H14" s="18">
        <v>0.05</v>
      </c>
      <c r="I14" s="18"/>
      <c r="J14" s="5">
        <f>F14*G14*H14</f>
        <v>6.5</v>
      </c>
    </row>
    <row r="15" spans="2:10">
      <c r="D15" s="44" t="s">
        <v>12</v>
      </c>
      <c r="E15" s="45"/>
      <c r="F15" s="45"/>
      <c r="G15" s="45"/>
      <c r="H15" s="45"/>
      <c r="I15" s="46"/>
      <c r="J15" s="5">
        <f>SUM(J7:J14)</f>
        <v>1836.5353333333333</v>
      </c>
    </row>
    <row r="17" spans="2:4">
      <c r="D17" s="1" t="s">
        <v>50</v>
      </c>
    </row>
    <row r="18" spans="2:4">
      <c r="B18" s="1" t="s">
        <v>45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8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8" t="s">
        <v>4</v>
      </c>
      <c r="F1" s="18" t="s">
        <v>15</v>
      </c>
      <c r="G1" s="18" t="s">
        <v>16</v>
      </c>
      <c r="H1" s="18" t="s">
        <v>17</v>
      </c>
      <c r="I1" s="2"/>
      <c r="J1" s="18"/>
    </row>
    <row r="2" spans="2:10">
      <c r="D2" s="47"/>
      <c r="E2" s="18">
        <v>89</v>
      </c>
      <c r="F2" s="18">
        <v>80</v>
      </c>
      <c r="G2" s="18">
        <v>89</v>
      </c>
      <c r="H2" s="18">
        <v>20</v>
      </c>
      <c r="I2" s="18"/>
      <c r="J2" s="18"/>
    </row>
    <row r="3" spans="2:10">
      <c r="D3" s="18" t="s">
        <v>22</v>
      </c>
      <c r="E3" s="48" t="s">
        <v>67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8" t="s">
        <v>7</v>
      </c>
    </row>
    <row r="7" spans="2:10">
      <c r="D7" s="18" t="s">
        <v>1</v>
      </c>
      <c r="E7" s="18">
        <f>E2</f>
        <v>89</v>
      </c>
      <c r="F7" s="18">
        <f>90+65+90</f>
        <v>245</v>
      </c>
      <c r="G7" s="18">
        <v>2</v>
      </c>
      <c r="H7" s="18">
        <v>1.4999999999999999E-2</v>
      </c>
      <c r="I7" s="18"/>
      <c r="J7" s="5">
        <f>(E7*F7*G7*H7)-I7</f>
        <v>654.15</v>
      </c>
    </row>
    <row r="8" spans="2:10">
      <c r="D8" s="18" t="s">
        <v>8</v>
      </c>
      <c r="E8" s="18">
        <f>E2</f>
        <v>89</v>
      </c>
      <c r="F8" s="18">
        <f>F2</f>
        <v>80</v>
      </c>
      <c r="G8" s="18">
        <v>4</v>
      </c>
      <c r="H8" s="18">
        <v>1.4999999999999999E-2</v>
      </c>
      <c r="I8" s="5"/>
      <c r="J8" s="5">
        <f>((E8*F8)-I8)*G8*H8</f>
        <v>427.2</v>
      </c>
    </row>
    <row r="9" spans="2:10">
      <c r="D9" s="18" t="s">
        <v>65</v>
      </c>
      <c r="E9" s="18">
        <v>5</v>
      </c>
      <c r="F9" s="5">
        <f>(F8/3*2+F8/3*2+H2*2)</f>
        <v>146.66666666666669</v>
      </c>
      <c r="G9" s="18">
        <v>4</v>
      </c>
      <c r="H9" s="18">
        <v>0.35</v>
      </c>
      <c r="I9" s="18"/>
      <c r="J9" s="5">
        <f>F9*G9*H9</f>
        <v>205.33333333333334</v>
      </c>
    </row>
    <row r="10" spans="2:10">
      <c r="D10" s="18" t="s">
        <v>9</v>
      </c>
      <c r="E10" s="18"/>
      <c r="F10" s="18"/>
      <c r="G10" s="18"/>
      <c r="H10" s="18"/>
      <c r="I10" s="18"/>
      <c r="J10" s="5">
        <v>5</v>
      </c>
    </row>
    <row r="11" spans="2:10">
      <c r="D11" s="18" t="s">
        <v>10</v>
      </c>
      <c r="E11" s="18"/>
      <c r="F11" s="8">
        <f>E2*4+E12+F7*2</f>
        <v>934</v>
      </c>
      <c r="G11" s="18"/>
      <c r="H11" s="18">
        <v>7.6999999999999999E-2</v>
      </c>
      <c r="I11" s="18"/>
      <c r="J11" s="5">
        <f>H11*F11</f>
        <v>71.917999999999992</v>
      </c>
    </row>
    <row r="12" spans="2:10">
      <c r="D12" s="18" t="s">
        <v>11</v>
      </c>
      <c r="E12" s="18">
        <v>88</v>
      </c>
      <c r="F12" s="18">
        <f>E7*4+5</f>
        <v>361</v>
      </c>
      <c r="G12" s="18">
        <v>1</v>
      </c>
      <c r="H12" s="19">
        <v>7.3000000000000001E-3</v>
      </c>
      <c r="I12" s="18"/>
      <c r="J12" s="5">
        <f>(E12*F12*G12*H12)-I12</f>
        <v>231.90639999999999</v>
      </c>
    </row>
    <row r="13" spans="2:10">
      <c r="D13" s="18" t="s">
        <v>69</v>
      </c>
      <c r="E13" s="18">
        <v>190</v>
      </c>
      <c r="F13" s="18">
        <v>211</v>
      </c>
      <c r="G13" s="18">
        <v>2</v>
      </c>
      <c r="H13" s="18">
        <v>8.0000000000000002E-3</v>
      </c>
      <c r="I13" s="18">
        <v>0.95</v>
      </c>
      <c r="J13" s="5">
        <f>(E13*F13*G13*H13)*I13</f>
        <v>609.36800000000005</v>
      </c>
    </row>
    <row r="14" spans="2:10">
      <c r="D14" s="18" t="s">
        <v>13</v>
      </c>
      <c r="E14" s="18">
        <v>1</v>
      </c>
      <c r="F14" s="18">
        <v>130</v>
      </c>
      <c r="G14" s="18">
        <v>1</v>
      </c>
      <c r="H14" s="18">
        <v>0.05</v>
      </c>
      <c r="I14" s="18"/>
      <c r="J14" s="5">
        <f>F14*G14*H14</f>
        <v>6.5</v>
      </c>
    </row>
    <row r="15" spans="2:10">
      <c r="D15" s="44" t="s">
        <v>12</v>
      </c>
      <c r="E15" s="45"/>
      <c r="F15" s="45"/>
      <c r="G15" s="45"/>
      <c r="H15" s="45"/>
      <c r="I15" s="46"/>
      <c r="J15" s="5">
        <f>SUM(J7:J14)</f>
        <v>2211.3757333333333</v>
      </c>
    </row>
    <row r="17" spans="2:4">
      <c r="D17" s="1" t="s">
        <v>50</v>
      </c>
    </row>
    <row r="18" spans="2:4">
      <c r="B18" s="1" t="s">
        <v>45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8"/>
  <sheetViews>
    <sheetView workbookViewId="0">
      <selection activeCell="G11" sqref="G11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8" t="s">
        <v>4</v>
      </c>
      <c r="F1" s="18" t="s">
        <v>15</v>
      </c>
      <c r="G1" s="18" t="s">
        <v>16</v>
      </c>
      <c r="H1" s="18" t="s">
        <v>17</v>
      </c>
      <c r="I1" s="2"/>
      <c r="J1" s="18"/>
    </row>
    <row r="2" spans="2:10">
      <c r="D2" s="47"/>
      <c r="E2" s="18">
        <v>89</v>
      </c>
      <c r="F2" s="18">
        <v>80</v>
      </c>
      <c r="G2" s="18">
        <v>89</v>
      </c>
      <c r="H2" s="18">
        <v>20</v>
      </c>
      <c r="I2" s="18"/>
      <c r="J2" s="18"/>
    </row>
    <row r="3" spans="2:10">
      <c r="D3" s="18" t="s">
        <v>22</v>
      </c>
      <c r="E3" s="48" t="s">
        <v>70</v>
      </c>
      <c r="F3" s="48"/>
      <c r="G3" s="2"/>
      <c r="H3" s="48" t="s">
        <v>66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8" t="s">
        <v>7</v>
      </c>
    </row>
    <row r="7" spans="2:10">
      <c r="D7" s="18" t="s">
        <v>1</v>
      </c>
      <c r="E7" s="18">
        <f>E2</f>
        <v>89</v>
      </c>
      <c r="F7" s="18">
        <f>90+65+90</f>
        <v>245</v>
      </c>
      <c r="G7" s="18">
        <v>2</v>
      </c>
      <c r="H7" s="18">
        <v>1.6E-2</v>
      </c>
      <c r="I7" s="18"/>
      <c r="J7" s="5">
        <f>(E7*F7*G7*H7)-I7</f>
        <v>697.76</v>
      </c>
    </row>
    <row r="8" spans="2:10">
      <c r="D8" s="18" t="s">
        <v>8</v>
      </c>
      <c r="E8" s="18">
        <f>E2</f>
        <v>89</v>
      </c>
      <c r="F8" s="18">
        <f>F2</f>
        <v>80</v>
      </c>
      <c r="G8" s="18">
        <v>4</v>
      </c>
      <c r="H8" s="18">
        <v>1.6E-2</v>
      </c>
      <c r="I8" s="5"/>
      <c r="J8" s="5">
        <f>((E8*F8)-I8)*G8*H8</f>
        <v>455.68</v>
      </c>
    </row>
    <row r="9" spans="2:10">
      <c r="D9" s="18" t="s">
        <v>65</v>
      </c>
      <c r="E9" s="18">
        <v>5</v>
      </c>
      <c r="F9" s="5">
        <f>(F8/3*2+F8/3*2+H2*2)</f>
        <v>146.66666666666669</v>
      </c>
      <c r="G9" s="18">
        <v>4</v>
      </c>
      <c r="H9" s="18">
        <v>0.35</v>
      </c>
      <c r="I9" s="18"/>
      <c r="J9" s="5">
        <f>F9*G9*H9</f>
        <v>205.33333333333334</v>
      </c>
    </row>
    <row r="10" spans="2:10">
      <c r="D10" s="18" t="s">
        <v>9</v>
      </c>
      <c r="E10" s="18"/>
      <c r="F10" s="18"/>
      <c r="G10" s="18"/>
      <c r="H10" s="18"/>
      <c r="I10" s="18"/>
      <c r="J10" s="5">
        <v>5</v>
      </c>
    </row>
    <row r="11" spans="2:10">
      <c r="D11" s="18" t="s">
        <v>10</v>
      </c>
      <c r="E11" s="18"/>
      <c r="F11" s="8">
        <f>E2*4+E12+F7*2</f>
        <v>934</v>
      </c>
      <c r="G11" s="18"/>
      <c r="H11" s="18">
        <v>7.6999999999999999E-2</v>
      </c>
      <c r="I11" s="18"/>
      <c r="J11" s="5">
        <f>H11*F11</f>
        <v>71.917999999999992</v>
      </c>
    </row>
    <row r="12" spans="2:10">
      <c r="D12" s="18" t="s">
        <v>11</v>
      </c>
      <c r="E12" s="18">
        <v>88</v>
      </c>
      <c r="F12" s="18">
        <f>E7*4+5</f>
        <v>361</v>
      </c>
      <c r="G12" s="18">
        <v>1</v>
      </c>
      <c r="H12" s="19">
        <v>7.3000000000000001E-3</v>
      </c>
      <c r="I12" s="18"/>
      <c r="J12" s="5">
        <f>(E12*F12*G12*H12)-I12</f>
        <v>231.90639999999999</v>
      </c>
    </row>
    <row r="13" spans="2:10">
      <c r="D13" s="18" t="s">
        <v>69</v>
      </c>
      <c r="E13" s="18">
        <v>190</v>
      </c>
      <c r="F13" s="18">
        <v>211</v>
      </c>
      <c r="G13" s="18">
        <v>2</v>
      </c>
      <c r="H13" s="18">
        <v>8.0000000000000002E-3</v>
      </c>
      <c r="I13" s="18">
        <v>0.95</v>
      </c>
      <c r="J13" s="5">
        <f>(E13*F13*G13*H13)*I13</f>
        <v>609.36800000000005</v>
      </c>
    </row>
    <row r="14" spans="2:10">
      <c r="D14" s="18" t="s">
        <v>13</v>
      </c>
      <c r="E14" s="18">
        <v>1</v>
      </c>
      <c r="F14" s="18">
        <v>130</v>
      </c>
      <c r="G14" s="18">
        <v>1</v>
      </c>
      <c r="H14" s="18">
        <v>0.05</v>
      </c>
      <c r="I14" s="18"/>
      <c r="J14" s="5">
        <f>F14*G14*H14</f>
        <v>6.5</v>
      </c>
    </row>
    <row r="15" spans="2:10">
      <c r="D15" s="44" t="s">
        <v>12</v>
      </c>
      <c r="E15" s="45"/>
      <c r="F15" s="45"/>
      <c r="G15" s="45"/>
      <c r="H15" s="45"/>
      <c r="I15" s="46"/>
      <c r="J15" s="5">
        <f>SUM(J7:J14)</f>
        <v>2283.4657333333334</v>
      </c>
    </row>
    <row r="17" spans="2:4">
      <c r="D17" s="1" t="s">
        <v>50</v>
      </c>
    </row>
    <row r="18" spans="2:4">
      <c r="B18" s="1" t="s">
        <v>45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9"/>
  <sheetViews>
    <sheetView workbookViewId="0">
      <selection activeCell="J15" sqref="J15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5" t="s">
        <v>4</v>
      </c>
      <c r="F1" s="15" t="s">
        <v>15</v>
      </c>
      <c r="G1" s="15" t="s">
        <v>16</v>
      </c>
      <c r="H1" s="15" t="s">
        <v>17</v>
      </c>
      <c r="I1" s="2"/>
      <c r="J1" s="15"/>
    </row>
    <row r="2" spans="2:10">
      <c r="D2" s="47"/>
      <c r="E2" s="15">
        <v>90</v>
      </c>
      <c r="F2" s="15">
        <v>65</v>
      </c>
      <c r="G2" s="15">
        <v>90</v>
      </c>
      <c r="H2" s="15">
        <v>20</v>
      </c>
      <c r="I2" s="15"/>
      <c r="J2" s="15"/>
    </row>
    <row r="3" spans="2:10">
      <c r="D3" s="15" t="s">
        <v>22</v>
      </c>
      <c r="E3" s="48" t="s">
        <v>59</v>
      </c>
      <c r="F3" s="48"/>
      <c r="G3" s="2"/>
      <c r="H3" s="48" t="s">
        <v>47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5" t="s">
        <v>7</v>
      </c>
    </row>
    <row r="7" spans="2:10">
      <c r="D7" s="15" t="s">
        <v>1</v>
      </c>
      <c r="E7" s="15">
        <v>90</v>
      </c>
      <c r="F7" s="15">
        <f>90+65+90</f>
        <v>245</v>
      </c>
      <c r="G7" s="15">
        <v>2</v>
      </c>
      <c r="H7" s="15">
        <v>1.6E-2</v>
      </c>
      <c r="I7" s="15"/>
      <c r="J7" s="5">
        <f>(E7*F7*G7*H7)-I7</f>
        <v>705.6</v>
      </c>
    </row>
    <row r="8" spans="2:10">
      <c r="D8" s="15" t="s">
        <v>8</v>
      </c>
      <c r="E8" s="15">
        <v>90</v>
      </c>
      <c r="F8" s="15">
        <v>65</v>
      </c>
      <c r="G8" s="15">
        <v>4</v>
      </c>
      <c r="H8" s="15">
        <v>1.6E-2</v>
      </c>
      <c r="I8" s="5"/>
      <c r="J8" s="5">
        <f>((E8*F8)-I8)*G8*H8</f>
        <v>374.40000000000003</v>
      </c>
    </row>
    <row r="9" spans="2:10">
      <c r="D9" s="15" t="s">
        <v>55</v>
      </c>
      <c r="E9" s="15">
        <v>5</v>
      </c>
      <c r="F9" s="15">
        <f>(F8+F8+H2*2)</f>
        <v>170</v>
      </c>
      <c r="G9" s="15">
        <v>4</v>
      </c>
      <c r="H9" s="15">
        <v>0.35</v>
      </c>
      <c r="I9" s="15"/>
      <c r="J9" s="5">
        <f>F9*G9*H9</f>
        <v>237.99999999999997</v>
      </c>
    </row>
    <row r="10" spans="2:10">
      <c r="D10" s="15" t="s">
        <v>60</v>
      </c>
      <c r="E10" s="15">
        <v>5</v>
      </c>
      <c r="F10" s="15">
        <f>180</f>
        <v>180</v>
      </c>
      <c r="G10" s="15">
        <v>2</v>
      </c>
      <c r="H10" s="15">
        <v>0.35</v>
      </c>
      <c r="I10" s="15"/>
      <c r="J10" s="5">
        <f>F10*G10*H10</f>
        <v>125.99999999999999</v>
      </c>
    </row>
    <row r="11" spans="2:10">
      <c r="D11" s="15" t="s">
        <v>9</v>
      </c>
      <c r="E11" s="15"/>
      <c r="F11" s="15"/>
      <c r="G11" s="15"/>
      <c r="H11" s="15"/>
      <c r="I11" s="15"/>
      <c r="J11" s="5">
        <v>5</v>
      </c>
    </row>
    <row r="12" spans="2:10">
      <c r="D12" s="15" t="s">
        <v>10</v>
      </c>
      <c r="E12" s="15"/>
      <c r="F12" s="8">
        <f>E2*4+E13+F7*2</f>
        <v>938</v>
      </c>
      <c r="G12" s="15"/>
      <c r="H12" s="15">
        <v>7.6999999999999999E-2</v>
      </c>
      <c r="I12" s="15"/>
      <c r="J12" s="5">
        <f>H12*F12</f>
        <v>72.225999999999999</v>
      </c>
    </row>
    <row r="13" spans="2:10">
      <c r="D13" s="15" t="s">
        <v>11</v>
      </c>
      <c r="E13" s="15">
        <v>88</v>
      </c>
      <c r="F13" s="15">
        <f>E7*4+5</f>
        <v>365</v>
      </c>
      <c r="G13" s="15">
        <v>1</v>
      </c>
      <c r="H13" s="15">
        <v>7.7999999999999996E-3</v>
      </c>
      <c r="I13" s="15"/>
      <c r="J13" s="5">
        <f>(E13*F13*G13*H13)-I13</f>
        <v>250.536</v>
      </c>
    </row>
    <row r="14" spans="2:10">
      <c r="D14" s="15" t="s">
        <v>64</v>
      </c>
      <c r="E14" s="15">
        <v>173</v>
      </c>
      <c r="F14" s="15">
        <v>241</v>
      </c>
      <c r="G14" s="15">
        <v>2</v>
      </c>
      <c r="H14" s="15">
        <v>7.0000000000000001E-3</v>
      </c>
      <c r="I14" s="15">
        <v>0.95</v>
      </c>
      <c r="J14" s="5">
        <f>(E14*F14*G14*H14*I14)</f>
        <v>554.51689999999996</v>
      </c>
    </row>
    <row r="15" spans="2:10">
      <c r="D15" s="15" t="s">
        <v>13</v>
      </c>
      <c r="E15" s="15">
        <v>1</v>
      </c>
      <c r="F15" s="15">
        <v>130</v>
      </c>
      <c r="G15" s="15">
        <v>1</v>
      </c>
      <c r="H15" s="15">
        <v>0.05</v>
      </c>
      <c r="I15" s="15"/>
      <c r="J15" s="5">
        <f>F15*G15*H15</f>
        <v>6.5</v>
      </c>
    </row>
    <row r="16" spans="2:10">
      <c r="D16" s="44" t="s">
        <v>12</v>
      </c>
      <c r="E16" s="45"/>
      <c r="F16" s="45"/>
      <c r="G16" s="45"/>
      <c r="H16" s="45"/>
      <c r="I16" s="46"/>
      <c r="J16" s="5">
        <f>SUM(J7:J15)</f>
        <v>2332.7789000000002</v>
      </c>
    </row>
    <row r="18" spans="2:4">
      <c r="D18" s="1" t="s">
        <v>50</v>
      </c>
    </row>
    <row r="19" spans="2:4">
      <c r="B19" s="1" t="s">
        <v>45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1:J19"/>
  <sheetViews>
    <sheetView workbookViewId="0">
      <selection activeCell="J19" sqref="J19"/>
    </sheetView>
  </sheetViews>
  <sheetFormatPr defaultRowHeight="15"/>
  <cols>
    <col min="1" max="2" width="9.140625" style="1"/>
    <col min="3" max="3" width="20" style="1" customWidth="1"/>
    <col min="4" max="4" width="26.85546875" style="1" customWidth="1"/>
    <col min="5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0">
      <c r="D1" s="47" t="s">
        <v>37</v>
      </c>
      <c r="E1" s="16" t="s">
        <v>4</v>
      </c>
      <c r="F1" s="16" t="s">
        <v>15</v>
      </c>
      <c r="G1" s="16" t="s">
        <v>16</v>
      </c>
      <c r="H1" s="16" t="s">
        <v>17</v>
      </c>
      <c r="I1" s="2"/>
      <c r="J1" s="16"/>
    </row>
    <row r="2" spans="2:10">
      <c r="D2" s="47"/>
      <c r="E2" s="16">
        <v>90</v>
      </c>
      <c r="F2" s="16">
        <v>65</v>
      </c>
      <c r="G2" s="16">
        <v>90</v>
      </c>
      <c r="H2" s="16">
        <v>20</v>
      </c>
      <c r="I2" s="16"/>
      <c r="J2" s="16"/>
    </row>
    <row r="3" spans="2:10">
      <c r="D3" s="16" t="s">
        <v>22</v>
      </c>
      <c r="E3" s="48" t="s">
        <v>59</v>
      </c>
      <c r="F3" s="48"/>
      <c r="G3" s="2"/>
      <c r="H3" s="48" t="s">
        <v>47</v>
      </c>
      <c r="I3" s="48"/>
      <c r="J3" s="48"/>
    </row>
    <row r="5" spans="2:10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0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16" t="s">
        <v>7</v>
      </c>
    </row>
    <row r="7" spans="2:10">
      <c r="D7" s="16" t="s">
        <v>1</v>
      </c>
      <c r="E7" s="16">
        <v>90</v>
      </c>
      <c r="F7" s="16">
        <f>90+65+90</f>
        <v>245</v>
      </c>
      <c r="G7" s="16">
        <v>2</v>
      </c>
      <c r="H7" s="16">
        <v>1.6E-2</v>
      </c>
      <c r="I7" s="16"/>
      <c r="J7" s="5">
        <f>(E7*F7*G7*H7)-I7</f>
        <v>705.6</v>
      </c>
    </row>
    <row r="8" spans="2:10">
      <c r="D8" s="16" t="s">
        <v>8</v>
      </c>
      <c r="E8" s="16">
        <v>90</v>
      </c>
      <c r="F8" s="16">
        <v>65</v>
      </c>
      <c r="G8" s="16">
        <v>4</v>
      </c>
      <c r="H8" s="16">
        <v>1.6E-2</v>
      </c>
      <c r="I8" s="5"/>
      <c r="J8" s="5">
        <f>((E8*F8)-I8)*G8*H8</f>
        <v>374.40000000000003</v>
      </c>
    </row>
    <row r="9" spans="2:10">
      <c r="D9" s="16" t="s">
        <v>55</v>
      </c>
      <c r="E9" s="16">
        <v>5</v>
      </c>
      <c r="F9" s="16">
        <f>(F8+F8+H2*2)</f>
        <v>170</v>
      </c>
      <c r="G9" s="16">
        <v>4</v>
      </c>
      <c r="H9" s="16">
        <v>0.35</v>
      </c>
      <c r="I9" s="16"/>
      <c r="J9" s="5">
        <f>F9*G9*H9</f>
        <v>237.99999999999997</v>
      </c>
    </row>
    <row r="10" spans="2:10">
      <c r="D10" s="16" t="s">
        <v>60</v>
      </c>
      <c r="E10" s="16">
        <v>5</v>
      </c>
      <c r="F10" s="16">
        <f>180</f>
        <v>180</v>
      </c>
      <c r="G10" s="16">
        <v>2</v>
      </c>
      <c r="H10" s="16">
        <v>0.35</v>
      </c>
      <c r="I10" s="16"/>
      <c r="J10" s="5"/>
    </row>
    <row r="11" spans="2:10">
      <c r="D11" s="16" t="s">
        <v>9</v>
      </c>
      <c r="E11" s="16"/>
      <c r="F11" s="16"/>
      <c r="G11" s="16"/>
      <c r="H11" s="16"/>
      <c r="I11" s="16"/>
      <c r="J11" s="5">
        <v>5</v>
      </c>
    </row>
    <row r="12" spans="2:10">
      <c r="D12" s="16" t="s">
        <v>10</v>
      </c>
      <c r="E12" s="16"/>
      <c r="F12" s="8">
        <f>E2*4+E13+F7*2</f>
        <v>938</v>
      </c>
      <c r="G12" s="16"/>
      <c r="H12" s="16">
        <v>7.6999999999999999E-2</v>
      </c>
      <c r="I12" s="16"/>
      <c r="J12" s="5">
        <f>H12*F12</f>
        <v>72.225999999999999</v>
      </c>
    </row>
    <row r="13" spans="2:10">
      <c r="D13" s="16" t="s">
        <v>11</v>
      </c>
      <c r="E13" s="16">
        <v>88</v>
      </c>
      <c r="F13" s="16">
        <f>E7*4+5</f>
        <v>365</v>
      </c>
      <c r="G13" s="16">
        <v>1</v>
      </c>
      <c r="H13" s="16">
        <v>7.7999999999999996E-3</v>
      </c>
      <c r="I13" s="16"/>
      <c r="J13" s="5">
        <f>(E13*F13*G13*H13)-I13</f>
        <v>250.536</v>
      </c>
    </row>
    <row r="14" spans="2:10">
      <c r="D14" s="16" t="s">
        <v>64</v>
      </c>
      <c r="E14" s="16">
        <v>173</v>
      </c>
      <c r="F14" s="16">
        <v>241</v>
      </c>
      <c r="G14" s="16">
        <v>2</v>
      </c>
      <c r="H14" s="16">
        <v>7.0000000000000001E-3</v>
      </c>
      <c r="I14" s="16">
        <v>0.95</v>
      </c>
      <c r="J14" s="5"/>
    </row>
    <row r="15" spans="2:10">
      <c r="D15" s="16" t="s">
        <v>13</v>
      </c>
      <c r="E15" s="16">
        <v>1</v>
      </c>
      <c r="F15" s="16">
        <v>130</v>
      </c>
      <c r="G15" s="16">
        <v>1</v>
      </c>
      <c r="H15" s="16">
        <v>0.05</v>
      </c>
      <c r="I15" s="16"/>
      <c r="J15" s="5">
        <f>F15*G15*H15</f>
        <v>6.5</v>
      </c>
    </row>
    <row r="16" spans="2:10">
      <c r="D16" s="44" t="s">
        <v>12</v>
      </c>
      <c r="E16" s="45"/>
      <c r="F16" s="45"/>
      <c r="G16" s="45"/>
      <c r="H16" s="45"/>
      <c r="I16" s="46"/>
      <c r="J16" s="5">
        <f>SUM(J7:J15)</f>
        <v>1652.2620000000002</v>
      </c>
    </row>
    <row r="18" spans="2:4">
      <c r="D18" s="1" t="s">
        <v>50</v>
      </c>
    </row>
    <row r="19" spans="2:4">
      <c r="B19" s="1" t="s">
        <v>45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B1:K14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>
      <c r="D1" s="47" t="s">
        <v>36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>
      <c r="D2" s="47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>
      <c r="D3" s="6" t="s">
        <v>22</v>
      </c>
      <c r="E3" s="48" t="s">
        <v>23</v>
      </c>
      <c r="F3" s="48"/>
      <c r="G3" s="2"/>
      <c r="H3" s="48" t="s">
        <v>24</v>
      </c>
      <c r="I3" s="48"/>
      <c r="J3" s="48"/>
    </row>
    <row r="5" spans="2:11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>
      <c r="D7" s="6" t="s">
        <v>1</v>
      </c>
      <c r="E7" s="6">
        <v>90</v>
      </c>
      <c r="F7" s="6">
        <f>E7+F2*2</f>
        <v>370</v>
      </c>
      <c r="G7" s="6">
        <v>2</v>
      </c>
      <c r="H7" s="6">
        <v>1.4E-2</v>
      </c>
      <c r="I7" s="6"/>
      <c r="J7" s="5">
        <f>(E7*F7*G7*H7)-I7</f>
        <v>932.4</v>
      </c>
    </row>
    <row r="8" spans="2:11">
      <c r="D8" s="6" t="s">
        <v>29</v>
      </c>
      <c r="E8" s="6">
        <v>90</v>
      </c>
      <c r="F8" s="6">
        <v>140</v>
      </c>
      <c r="G8" s="6">
        <v>4</v>
      </c>
      <c r="H8" s="6">
        <v>1.6E-2</v>
      </c>
      <c r="I8" s="5"/>
      <c r="J8" s="5">
        <f>((E8*F8)-I8)*G8*H8</f>
        <v>806.4</v>
      </c>
    </row>
    <row r="9" spans="2:11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2:11">
      <c r="D10" s="6" t="s">
        <v>9</v>
      </c>
      <c r="E10" s="6"/>
      <c r="F10" s="6"/>
      <c r="G10" s="6"/>
      <c r="H10" s="6"/>
      <c r="I10" s="6"/>
      <c r="J10" s="5">
        <v>5</v>
      </c>
    </row>
    <row r="11" spans="2:11">
      <c r="D11" s="6" t="s">
        <v>10</v>
      </c>
      <c r="E11" s="6"/>
      <c r="F11" s="8">
        <f>F7*2+E12</f>
        <v>818</v>
      </c>
      <c r="G11" s="6"/>
      <c r="H11" s="6">
        <v>7.6999999999999999E-2</v>
      </c>
      <c r="I11" s="6"/>
      <c r="J11" s="5">
        <f>H11*F11</f>
        <v>62.985999999999997</v>
      </c>
    </row>
    <row r="12" spans="2:11">
      <c r="D12" s="6" t="s">
        <v>11</v>
      </c>
      <c r="E12" s="6">
        <v>78</v>
      </c>
      <c r="F12" s="6">
        <f>E7*4+5</f>
        <v>365</v>
      </c>
      <c r="G12" s="6">
        <v>1</v>
      </c>
      <c r="H12" s="6">
        <v>9.4999999999999998E-3</v>
      </c>
      <c r="I12" s="6"/>
      <c r="J12" s="5">
        <f>(E12*F12*G12*H12)-I12</f>
        <v>270.46499999999997</v>
      </c>
    </row>
    <row r="13" spans="2:11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5">
        <f>F13*G13*H13</f>
        <v>6.5</v>
      </c>
    </row>
    <row r="14" spans="2:11">
      <c r="D14" s="44" t="s">
        <v>12</v>
      </c>
      <c r="E14" s="45"/>
      <c r="F14" s="45"/>
      <c r="G14" s="45"/>
      <c r="H14" s="45"/>
      <c r="I14" s="46"/>
      <c r="J14" s="5">
        <f>SUM(J7:J13)</f>
        <v>2349.7510000000002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7" sqref="E17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7" sqref="E17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90</v>
      </c>
      <c r="F2" s="6">
        <v>140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>
      <c r="D3" s="6" t="s">
        <v>22</v>
      </c>
      <c r="E3" s="48" t="s">
        <v>28</v>
      </c>
      <c r="F3" s="48"/>
      <c r="G3" s="2"/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>
      <c r="D7" s="6" t="s">
        <v>1</v>
      </c>
      <c r="E7" s="6">
        <v>90</v>
      </c>
      <c r="F7" s="6">
        <f>140*2+90</f>
        <v>370</v>
      </c>
      <c r="G7" s="6">
        <v>4</v>
      </c>
      <c r="H7" s="6">
        <v>1.4E-2</v>
      </c>
      <c r="I7" s="6"/>
      <c r="J7" s="5">
        <f>(E7*F7*G7*H7)-I7</f>
        <v>1864.8</v>
      </c>
    </row>
    <row r="8" spans="4:11">
      <c r="D8" s="6" t="s">
        <v>29</v>
      </c>
      <c r="E8" s="6">
        <v>90</v>
      </c>
      <c r="F8" s="6">
        <v>140</v>
      </c>
      <c r="G8" s="6">
        <v>1</v>
      </c>
      <c r="H8" s="6">
        <v>1.6E-2</v>
      </c>
      <c r="I8" s="5"/>
      <c r="J8" s="5">
        <f>((E8*F8)-I8)*G8*H8</f>
        <v>201.6</v>
      </c>
    </row>
    <row r="9" spans="4:11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>
      <c r="D10" s="6" t="s">
        <v>9</v>
      </c>
      <c r="E10" s="6"/>
      <c r="F10" s="6"/>
      <c r="G10" s="6"/>
      <c r="H10" s="6"/>
      <c r="I10" s="6"/>
      <c r="J10" s="5">
        <v>5</v>
      </c>
    </row>
    <row r="11" spans="4:11">
      <c r="D11" s="6" t="s">
        <v>10</v>
      </c>
      <c r="E11" s="6"/>
      <c r="F11" s="8">
        <f>E2*8+F2*4+J2*2+I2*3.14</f>
        <v>1505.6</v>
      </c>
      <c r="G11" s="6"/>
      <c r="H11" s="6">
        <v>7.6999999999999999E-2</v>
      </c>
      <c r="I11" s="6"/>
      <c r="J11" s="5">
        <f>H11*F11</f>
        <v>115.93119999999999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6" t="s">
        <v>25</v>
      </c>
      <c r="E14" s="6">
        <v>95</v>
      </c>
      <c r="F14" s="6">
        <v>95</v>
      </c>
      <c r="G14" s="6">
        <v>1</v>
      </c>
      <c r="H14" s="6">
        <v>9.4999999999999998E-3</v>
      </c>
      <c r="I14" s="6"/>
      <c r="J14" s="5">
        <f>(E14*F14*G14*H14)-I14</f>
        <v>85.737499999999997</v>
      </c>
    </row>
    <row r="15" spans="4:11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2552.0687000000003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20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 ht="30">
      <c r="D3" s="6" t="s">
        <v>22</v>
      </c>
      <c r="E3" s="48" t="s">
        <v>30</v>
      </c>
      <c r="F3" s="48"/>
      <c r="G3" s="2" t="s">
        <v>31</v>
      </c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>
      <c r="D7" s="6" t="s">
        <v>1</v>
      </c>
      <c r="E7" s="6">
        <v>110</v>
      </c>
      <c r="F7" s="6">
        <v>140</v>
      </c>
      <c r="G7" s="6">
        <v>4</v>
      </c>
      <c r="H7" s="6">
        <v>1.4E-2</v>
      </c>
      <c r="I7" s="6"/>
      <c r="J7" s="5">
        <f>(E7*F7*G7*H7)-I7</f>
        <v>862.4</v>
      </c>
    </row>
    <row r="8" spans="4:11">
      <c r="D8" s="6" t="s">
        <v>8</v>
      </c>
      <c r="E8" s="6">
        <v>115</v>
      </c>
      <c r="F8" s="6">
        <v>115</v>
      </c>
      <c r="G8" s="6">
        <v>1</v>
      </c>
      <c r="H8" s="6">
        <v>1.6E-2</v>
      </c>
      <c r="I8" s="5"/>
      <c r="J8" s="5">
        <f>((E8*F8)-I8)*G8*H8</f>
        <v>211.6</v>
      </c>
    </row>
    <row r="9" spans="4:11">
      <c r="D9" s="6" t="s">
        <v>14</v>
      </c>
      <c r="E9" s="6">
        <v>5</v>
      </c>
      <c r="F9" s="6">
        <f>F7*0.33+F7*0.67+H2*2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>
      <c r="D10" s="6" t="s">
        <v>9</v>
      </c>
      <c r="E10" s="6"/>
      <c r="F10" s="6"/>
      <c r="G10" s="6"/>
      <c r="H10" s="6"/>
      <c r="I10" s="6"/>
      <c r="J10" s="5">
        <v>5</v>
      </c>
    </row>
    <row r="11" spans="4:11">
      <c r="D11" s="6" t="s">
        <v>10</v>
      </c>
      <c r="E11" s="6"/>
      <c r="F11" s="8">
        <f>E2*8+F7*4+J2*2+I2*3.14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1611.8887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D1:K16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4:11" ht="30">
      <c r="D1" s="47" t="s">
        <v>21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4:11">
      <c r="D2" s="47"/>
      <c r="E2" s="6">
        <v>110</v>
      </c>
      <c r="F2" s="6">
        <v>140</v>
      </c>
      <c r="G2" s="6">
        <v>110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4:11">
      <c r="D3" s="6" t="s">
        <v>22</v>
      </c>
      <c r="E3" s="48" t="s">
        <v>32</v>
      </c>
      <c r="F3" s="48"/>
      <c r="G3" s="2"/>
      <c r="H3" s="48" t="s">
        <v>24</v>
      </c>
      <c r="I3" s="48"/>
      <c r="J3" s="48"/>
    </row>
    <row r="5" spans="4:11">
      <c r="D5" s="48" t="s">
        <v>0</v>
      </c>
      <c r="E5" s="44" t="s">
        <v>2</v>
      </c>
      <c r="F5" s="45"/>
      <c r="G5" s="45"/>
      <c r="H5" s="45"/>
      <c r="I5" s="45"/>
      <c r="J5" s="46"/>
    </row>
    <row r="6" spans="4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4:11">
      <c r="D7" s="6" t="s">
        <v>1</v>
      </c>
      <c r="E7" s="6">
        <v>110</v>
      </c>
      <c r="F7" s="6">
        <f>140*2+E7</f>
        <v>390</v>
      </c>
      <c r="G7" s="6">
        <v>4</v>
      </c>
      <c r="H7" s="6">
        <v>1.4E-2</v>
      </c>
      <c r="I7" s="6"/>
      <c r="J7" s="5">
        <f>(E7*F7*G7*H7)-I7</f>
        <v>2402.4</v>
      </c>
    </row>
    <row r="8" spans="4:11">
      <c r="D8" s="6" t="s">
        <v>29</v>
      </c>
      <c r="E8" s="6">
        <v>110</v>
      </c>
      <c r="F8" s="6">
        <v>140</v>
      </c>
      <c r="G8" s="6">
        <v>1</v>
      </c>
      <c r="H8" s="6">
        <v>1.6E-2</v>
      </c>
      <c r="I8" s="5"/>
      <c r="J8" s="5">
        <f>((E8*F8)-I8)*G8*H8</f>
        <v>246.4</v>
      </c>
    </row>
    <row r="9" spans="4:11">
      <c r="D9" s="6" t="s">
        <v>14</v>
      </c>
      <c r="E9" s="6">
        <v>5</v>
      </c>
      <c r="F9" s="6">
        <f>F2*0.33+F2*0.67+H2*2</f>
        <v>190</v>
      </c>
      <c r="G9" s="6">
        <v>4</v>
      </c>
      <c r="H9" s="6">
        <v>0.35</v>
      </c>
      <c r="I9" s="6"/>
      <c r="J9" s="5">
        <f>F9*G9*H9</f>
        <v>266</v>
      </c>
    </row>
    <row r="10" spans="4:11">
      <c r="D10" s="6" t="s">
        <v>9</v>
      </c>
      <c r="E10" s="6"/>
      <c r="F10" s="6"/>
      <c r="G10" s="6"/>
      <c r="H10" s="6"/>
      <c r="I10" s="6"/>
      <c r="J10" s="5">
        <v>5</v>
      </c>
    </row>
    <row r="11" spans="4:11">
      <c r="D11" s="6" t="s">
        <v>10</v>
      </c>
      <c r="E11" s="6"/>
      <c r="F11" s="8">
        <f>E2*8+F2*4+J2*2+I2*3.14</f>
        <v>1665.6</v>
      </c>
      <c r="G11" s="6"/>
      <c r="H11" s="6">
        <v>7.6999999999999999E-2</v>
      </c>
      <c r="I11" s="6"/>
      <c r="J11" s="5">
        <f>H11*F11</f>
        <v>128.25119999999998</v>
      </c>
    </row>
    <row r="12" spans="4:11">
      <c r="D12" s="6" t="s">
        <v>26</v>
      </c>
      <c r="E12" s="6">
        <v>65</v>
      </c>
      <c r="F12" s="8">
        <v>53</v>
      </c>
      <c r="G12" s="6">
        <v>2</v>
      </c>
      <c r="H12" s="6">
        <v>9.4999999999999998E-3</v>
      </c>
      <c r="I12" s="6"/>
      <c r="J12" s="5"/>
    </row>
    <row r="13" spans="4:11">
      <c r="D13" s="6" t="s">
        <v>27</v>
      </c>
      <c r="E13" s="6">
        <v>65</v>
      </c>
      <c r="F13" s="8">
        <v>53</v>
      </c>
      <c r="G13" s="6">
        <v>2</v>
      </c>
      <c r="H13" s="6">
        <v>9.4999999999999998E-3</v>
      </c>
      <c r="I13" s="6"/>
      <c r="J13" s="5"/>
    </row>
    <row r="14" spans="4:11">
      <c r="D14" s="6" t="s">
        <v>25</v>
      </c>
      <c r="E14" s="6">
        <v>115</v>
      </c>
      <c r="F14" s="6">
        <v>115</v>
      </c>
      <c r="G14" s="6">
        <v>1</v>
      </c>
      <c r="H14" s="6">
        <v>9.4999999999999998E-3</v>
      </c>
      <c r="I14" s="6"/>
      <c r="J14" s="5">
        <f>(E14*F14*G14*H14)-I14</f>
        <v>125.6375</v>
      </c>
    </row>
    <row r="15" spans="4:11">
      <c r="D15" s="6" t="s">
        <v>13</v>
      </c>
      <c r="E15" s="6">
        <v>2</v>
      </c>
      <c r="F15" s="6">
        <v>130</v>
      </c>
      <c r="G15" s="6">
        <v>2</v>
      </c>
      <c r="H15" s="6">
        <v>0.05</v>
      </c>
      <c r="I15" s="6"/>
      <c r="J15" s="5">
        <f>F15*G15*H15</f>
        <v>13</v>
      </c>
    </row>
    <row r="16" spans="4:11">
      <c r="D16" s="44" t="s">
        <v>12</v>
      </c>
      <c r="E16" s="45"/>
      <c r="F16" s="45"/>
      <c r="G16" s="45"/>
      <c r="H16" s="45"/>
      <c r="I16" s="46"/>
      <c r="J16" s="5">
        <f>SUM(J7:J15)</f>
        <v>3186.6887000000002</v>
      </c>
    </row>
  </sheetData>
  <mergeCells count="6">
    <mergeCell ref="D16:I16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B1:K14"/>
  <sheetViews>
    <sheetView workbookViewId="0">
      <selection activeCell="E17" sqref="E17"/>
    </sheetView>
  </sheetViews>
  <sheetFormatPr defaultRowHeight="15"/>
  <cols>
    <col min="1" max="2" width="9.140625" style="1"/>
    <col min="3" max="8" width="20" style="1" customWidth="1"/>
    <col min="9" max="9" width="19.28515625" style="1" customWidth="1"/>
    <col min="10" max="10" width="19.7109375" style="1" customWidth="1"/>
    <col min="11" max="16384" width="9.140625" style="1"/>
  </cols>
  <sheetData>
    <row r="1" spans="2:11" ht="30">
      <c r="D1" s="47" t="s">
        <v>34</v>
      </c>
      <c r="E1" s="6" t="s">
        <v>4</v>
      </c>
      <c r="F1" s="6" t="s">
        <v>15</v>
      </c>
      <c r="G1" s="6" t="s">
        <v>16</v>
      </c>
      <c r="H1" s="6" t="s">
        <v>17</v>
      </c>
      <c r="I1" s="2" t="s">
        <v>18</v>
      </c>
      <c r="J1" s="6" t="s">
        <v>19</v>
      </c>
      <c r="K1" s="1">
        <f>3.14*40</f>
        <v>125.60000000000001</v>
      </c>
    </row>
    <row r="2" spans="2:11">
      <c r="D2" s="47"/>
      <c r="E2" s="6">
        <v>90</v>
      </c>
      <c r="F2" s="6">
        <v>120</v>
      </c>
      <c r="G2" s="6">
        <v>90</v>
      </c>
      <c r="H2" s="6">
        <v>25</v>
      </c>
      <c r="I2" s="6">
        <v>40</v>
      </c>
      <c r="J2" s="6">
        <v>50</v>
      </c>
      <c r="K2" s="1">
        <f>K1/2</f>
        <v>62.800000000000004</v>
      </c>
    </row>
    <row r="3" spans="2:11" ht="30">
      <c r="D3" s="6" t="s">
        <v>22</v>
      </c>
      <c r="E3" s="48" t="s">
        <v>23</v>
      </c>
      <c r="F3" s="48"/>
      <c r="G3" s="2" t="s">
        <v>33</v>
      </c>
      <c r="H3" s="48" t="s">
        <v>24</v>
      </c>
      <c r="I3" s="48"/>
      <c r="J3" s="48"/>
    </row>
    <row r="5" spans="2:11">
      <c r="B5"/>
      <c r="D5" s="48" t="s">
        <v>0</v>
      </c>
      <c r="E5" s="44" t="s">
        <v>2</v>
      </c>
      <c r="F5" s="45"/>
      <c r="G5" s="45"/>
      <c r="H5" s="45"/>
      <c r="I5" s="45"/>
      <c r="J5" s="46"/>
    </row>
    <row r="6" spans="2:11" ht="30">
      <c r="D6" s="48"/>
      <c r="E6" s="2" t="s">
        <v>4</v>
      </c>
      <c r="F6" s="2" t="s">
        <v>5</v>
      </c>
      <c r="G6" s="2" t="s">
        <v>3</v>
      </c>
      <c r="H6" s="2" t="s">
        <v>6</v>
      </c>
      <c r="I6" s="2"/>
      <c r="J6" s="6" t="s">
        <v>7</v>
      </c>
    </row>
    <row r="7" spans="2:11">
      <c r="D7" s="6" t="s">
        <v>1</v>
      </c>
      <c r="E7" s="6">
        <v>90</v>
      </c>
      <c r="F7" s="6">
        <v>120</v>
      </c>
      <c r="G7" s="6">
        <v>4</v>
      </c>
      <c r="H7" s="6">
        <v>1.4E-2</v>
      </c>
      <c r="I7" s="6"/>
      <c r="J7" s="6">
        <f>(E7*F7*G7*H7)-I7</f>
        <v>604.80000000000007</v>
      </c>
    </row>
    <row r="8" spans="2:11">
      <c r="D8" s="6" t="s">
        <v>8</v>
      </c>
      <c r="E8" s="6">
        <v>95</v>
      </c>
      <c r="F8" s="6">
        <v>95</v>
      </c>
      <c r="G8" s="6">
        <v>1</v>
      </c>
      <c r="H8" s="6">
        <v>1.6E-2</v>
      </c>
      <c r="I8" s="5"/>
      <c r="J8" s="4">
        <f>((E8*F8)-I8)*G8*H8</f>
        <v>144.4</v>
      </c>
    </row>
    <row r="9" spans="2:11">
      <c r="D9" s="6" t="s">
        <v>14</v>
      </c>
      <c r="E9" s="6">
        <v>5</v>
      </c>
      <c r="F9" s="6">
        <f>F7*0.33+F7*0.67+H2*2</f>
        <v>170</v>
      </c>
      <c r="G9" s="6">
        <v>4</v>
      </c>
      <c r="H9" s="6">
        <v>0.35</v>
      </c>
      <c r="I9" s="6"/>
      <c r="J9" s="6">
        <f>F9*G9*H9</f>
        <v>237.99999999999997</v>
      </c>
    </row>
    <row r="10" spans="2:11">
      <c r="D10" s="6" t="s">
        <v>9</v>
      </c>
      <c r="E10" s="6"/>
      <c r="F10" s="6"/>
      <c r="G10" s="6"/>
      <c r="H10" s="6"/>
      <c r="I10" s="6"/>
      <c r="J10" s="6">
        <v>5</v>
      </c>
    </row>
    <row r="11" spans="2:11">
      <c r="D11" s="6" t="s">
        <v>10</v>
      </c>
      <c r="E11" s="6"/>
      <c r="F11" s="8">
        <f>E2*8+E12</f>
        <v>808</v>
      </c>
      <c r="G11" s="6"/>
      <c r="H11" s="6">
        <v>7.6999999999999999E-2</v>
      </c>
      <c r="I11" s="6"/>
      <c r="J11" s="6">
        <f>H11*F11</f>
        <v>62.216000000000001</v>
      </c>
    </row>
    <row r="12" spans="2:11">
      <c r="D12" s="6" t="s">
        <v>11</v>
      </c>
      <c r="E12" s="6">
        <v>88</v>
      </c>
      <c r="F12" s="6">
        <f>E7*4+5</f>
        <v>365</v>
      </c>
      <c r="G12" s="6">
        <v>1</v>
      </c>
      <c r="H12" s="6">
        <v>9.4999999999999998E-3</v>
      </c>
      <c r="I12" s="6"/>
      <c r="J12" s="4">
        <f>(E12*F12*G12*H12)-I12</f>
        <v>305.14</v>
      </c>
    </row>
    <row r="13" spans="2:11">
      <c r="D13" s="6" t="s">
        <v>13</v>
      </c>
      <c r="E13" s="6">
        <v>2</v>
      </c>
      <c r="F13" s="6">
        <v>130</v>
      </c>
      <c r="G13" s="6">
        <v>1</v>
      </c>
      <c r="H13" s="6">
        <v>0.05</v>
      </c>
      <c r="I13" s="6"/>
      <c r="J13" s="6">
        <f>F13*G13*H13</f>
        <v>6.5</v>
      </c>
    </row>
    <row r="14" spans="2:11">
      <c r="D14" s="44" t="s">
        <v>12</v>
      </c>
      <c r="E14" s="45"/>
      <c r="F14" s="45"/>
      <c r="G14" s="45"/>
      <c r="H14" s="45"/>
      <c r="I14" s="46"/>
      <c r="J14" s="5">
        <f>SUM(J7:J13)</f>
        <v>1366.056</v>
      </c>
    </row>
  </sheetData>
  <mergeCells count="6">
    <mergeCell ref="D14:I14"/>
    <mergeCell ref="D1:D2"/>
    <mergeCell ref="E3:F3"/>
    <mergeCell ref="H3:J3"/>
    <mergeCell ref="D5:D6"/>
    <mergeCell ref="E5:J5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7" sqref="E17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7" sqref="E17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theme="0" tint="-0.34998626667073579"/>
  </sheetPr>
  <dimension ref="B2:K19"/>
  <sheetViews>
    <sheetView topLeftCell="D1" workbookViewId="0">
      <selection activeCell="K9" activeCellId="2" sqref="K4 K6 K9"/>
    </sheetView>
  </sheetViews>
  <sheetFormatPr defaultRowHeight="15"/>
  <cols>
    <col min="1" max="2" width="9.140625" style="1"/>
    <col min="3" max="3" width="20" style="1" customWidth="1"/>
    <col min="4" max="5" width="26.85546875" style="1" customWidth="1"/>
    <col min="6" max="9" width="20" style="1" customWidth="1"/>
    <col min="10" max="10" width="19.28515625" style="1" customWidth="1"/>
    <col min="11" max="11" width="19.7109375" style="1" customWidth="1"/>
    <col min="12" max="16384" width="9.140625" style="1"/>
  </cols>
  <sheetData>
    <row r="2" spans="2:11">
      <c r="B2"/>
      <c r="D2" s="48" t="s">
        <v>0</v>
      </c>
      <c r="E2" s="20"/>
      <c r="F2" s="44" t="s">
        <v>2</v>
      </c>
      <c r="G2" s="45"/>
      <c r="H2" s="45"/>
      <c r="I2" s="45"/>
      <c r="J2" s="45"/>
      <c r="K2" s="46"/>
    </row>
    <row r="3" spans="2:11" ht="30">
      <c r="D3" s="48"/>
      <c r="E3" s="21"/>
      <c r="F3" s="2" t="s">
        <v>4</v>
      </c>
      <c r="G3" s="2" t="s">
        <v>5</v>
      </c>
      <c r="H3" s="2" t="s">
        <v>78</v>
      </c>
      <c r="I3" s="2" t="s">
        <v>6</v>
      </c>
      <c r="J3" s="2"/>
      <c r="K3" s="21" t="s">
        <v>7</v>
      </c>
    </row>
    <row r="4" spans="2:11">
      <c r="D4" s="49" t="s">
        <v>8</v>
      </c>
      <c r="E4" s="21" t="s">
        <v>73</v>
      </c>
      <c r="F4" s="21">
        <v>310</v>
      </c>
      <c r="G4" s="21">
        <v>1310</v>
      </c>
      <c r="H4" s="21">
        <v>1</v>
      </c>
      <c r="I4" s="21">
        <v>9.4999999999999998E-3</v>
      </c>
      <c r="J4" s="5"/>
      <c r="K4" s="5">
        <f>((F4*G4)-J4)*H4*I4</f>
        <v>3857.95</v>
      </c>
    </row>
    <row r="5" spans="2:11">
      <c r="D5" s="50"/>
      <c r="E5" s="21" t="s">
        <v>75</v>
      </c>
      <c r="F5" s="21">
        <v>5</v>
      </c>
      <c r="G5" s="21">
        <v>105</v>
      </c>
      <c r="H5" s="21">
        <f>8+8+3+3</f>
        <v>22</v>
      </c>
      <c r="I5" s="21">
        <v>0.05</v>
      </c>
      <c r="J5" s="5"/>
      <c r="K5" s="23">
        <f>H5*G5*I5</f>
        <v>115.5</v>
      </c>
    </row>
    <row r="6" spans="2:11">
      <c r="D6" s="49" t="s">
        <v>74</v>
      </c>
      <c r="E6" s="21" t="s">
        <v>73</v>
      </c>
      <c r="F6" s="21">
        <v>220</v>
      </c>
      <c r="G6" s="5">
        <v>1310</v>
      </c>
      <c r="H6" s="21">
        <v>2</v>
      </c>
      <c r="I6" s="21">
        <v>9.4999999999999998E-3</v>
      </c>
      <c r="J6" s="21"/>
      <c r="K6" s="5">
        <f>((F6*G6)-J6)*H6*I6</f>
        <v>5475.8</v>
      </c>
    </row>
    <row r="7" spans="2:11">
      <c r="D7" s="51"/>
      <c r="E7" s="21" t="s">
        <v>76</v>
      </c>
      <c r="F7" s="21">
        <v>5</v>
      </c>
      <c r="G7" s="21">
        <v>35</v>
      </c>
      <c r="H7" s="21">
        <f>(13+25+4)*2</f>
        <v>84</v>
      </c>
      <c r="I7" s="21">
        <v>0.05</v>
      </c>
      <c r="J7" s="21"/>
      <c r="K7" s="23">
        <f>H7*G7*I7</f>
        <v>147</v>
      </c>
    </row>
    <row r="8" spans="2:11">
      <c r="D8" s="50"/>
      <c r="E8" s="21" t="s">
        <v>75</v>
      </c>
      <c r="F8" s="21">
        <v>5</v>
      </c>
      <c r="G8" s="8">
        <v>305</v>
      </c>
      <c r="H8" s="21">
        <v>26</v>
      </c>
      <c r="I8" s="21">
        <v>0.05</v>
      </c>
      <c r="J8" s="21"/>
      <c r="K8" s="23">
        <f>H8*G8*I8</f>
        <v>396.5</v>
      </c>
    </row>
    <row r="9" spans="2:11">
      <c r="D9" s="49" t="s">
        <v>77</v>
      </c>
      <c r="E9" s="21" t="s">
        <v>73</v>
      </c>
      <c r="F9" s="21">
        <v>214</v>
      </c>
      <c r="G9" s="5">
        <v>310</v>
      </c>
      <c r="H9" s="21">
        <v>2</v>
      </c>
      <c r="I9" s="21">
        <v>9.4999999999999998E-3</v>
      </c>
      <c r="J9" s="21"/>
      <c r="K9" s="5">
        <f>((F9*G9)-J9)*H9*I9</f>
        <v>1260.46</v>
      </c>
    </row>
    <row r="10" spans="2:11">
      <c r="D10" s="51"/>
      <c r="E10" s="21" t="s">
        <v>76</v>
      </c>
      <c r="F10" s="21">
        <v>5</v>
      </c>
      <c r="G10" s="21">
        <v>35</v>
      </c>
      <c r="H10" s="21">
        <v>8</v>
      </c>
      <c r="I10" s="21">
        <v>0.05</v>
      </c>
      <c r="J10" s="21"/>
      <c r="K10" s="23">
        <f>H10*G10*I10</f>
        <v>14</v>
      </c>
    </row>
    <row r="11" spans="2:11">
      <c r="D11" s="50"/>
      <c r="E11" s="21" t="s">
        <v>75</v>
      </c>
      <c r="F11" s="21">
        <v>5</v>
      </c>
      <c r="G11" s="8">
        <v>305</v>
      </c>
      <c r="H11" s="21">
        <v>8</v>
      </c>
      <c r="I11" s="21">
        <v>0.05</v>
      </c>
      <c r="J11" s="21"/>
      <c r="K11" s="23">
        <f>H11*G11*I11</f>
        <v>122</v>
      </c>
    </row>
    <row r="12" spans="2:11">
      <c r="D12" s="52" t="s">
        <v>79</v>
      </c>
      <c r="E12" s="21" t="s">
        <v>73</v>
      </c>
      <c r="F12" s="21">
        <v>186</v>
      </c>
      <c r="G12" s="21">
        <v>1310</v>
      </c>
      <c r="H12" s="21">
        <v>2</v>
      </c>
      <c r="I12" s="22">
        <v>9.4999999999999998E-3</v>
      </c>
      <c r="J12" s="21"/>
      <c r="K12" s="5">
        <f>((F12*G12)-J12)*H12*I12</f>
        <v>4629.54</v>
      </c>
    </row>
    <row r="13" spans="2:11">
      <c r="D13" s="53"/>
      <c r="E13" s="21" t="s">
        <v>75</v>
      </c>
      <c r="F13" s="21">
        <v>5</v>
      </c>
      <c r="G13" s="21">
        <v>205</v>
      </c>
      <c r="H13" s="21">
        <v>26</v>
      </c>
      <c r="I13" s="22">
        <v>0.05</v>
      </c>
      <c r="J13" s="21"/>
      <c r="K13" s="23">
        <f>H13*G13*I13</f>
        <v>266.5</v>
      </c>
    </row>
    <row r="14" spans="2:11">
      <c r="D14" s="49" t="s">
        <v>80</v>
      </c>
      <c r="E14" s="21" t="s">
        <v>73</v>
      </c>
      <c r="F14" s="22">
        <v>192</v>
      </c>
      <c r="G14" s="22">
        <v>310</v>
      </c>
      <c r="H14" s="22">
        <v>2</v>
      </c>
      <c r="I14" s="22">
        <v>9.4999999999999998E-3</v>
      </c>
      <c r="J14" s="21"/>
      <c r="K14" s="5">
        <f>((F14*G14)-J14)*H14*I14</f>
        <v>1130.8799999999999</v>
      </c>
    </row>
    <row r="15" spans="2:11">
      <c r="D15" s="50"/>
      <c r="E15" s="21" t="s">
        <v>75</v>
      </c>
      <c r="F15" s="21">
        <v>5</v>
      </c>
      <c r="G15" s="21">
        <v>205</v>
      </c>
      <c r="H15" s="21">
        <v>8</v>
      </c>
      <c r="I15" s="22">
        <v>0.05</v>
      </c>
      <c r="J15" s="21"/>
      <c r="K15" s="23">
        <f>H15*G15*I15</f>
        <v>82</v>
      </c>
    </row>
    <row r="16" spans="2:11">
      <c r="D16" s="21" t="s">
        <v>81</v>
      </c>
      <c r="E16" s="21"/>
      <c r="F16" s="21"/>
      <c r="G16" s="21">
        <f>1300*8+8*310+4*220</f>
        <v>13760</v>
      </c>
      <c r="H16" s="21"/>
      <c r="I16" s="22">
        <v>0.05</v>
      </c>
      <c r="J16" s="21"/>
      <c r="K16" s="5">
        <f>I16*G16</f>
        <v>688</v>
      </c>
    </row>
    <row r="17" spans="4:11">
      <c r="D17" s="44" t="s">
        <v>12</v>
      </c>
      <c r="E17" s="45"/>
      <c r="F17" s="45"/>
      <c r="G17" s="45"/>
      <c r="H17" s="45"/>
      <c r="I17" s="45"/>
      <c r="J17" s="46"/>
      <c r="K17" s="5">
        <f>SUM(K4:K16)</f>
        <v>18186.13</v>
      </c>
    </row>
    <row r="19" spans="4:11">
      <c r="D19" s="1" t="s">
        <v>72</v>
      </c>
      <c r="H19" s="1">
        <f>(G4*H4+G6*H6+G9*H9+G12*H12+G14*H14)/100</f>
        <v>77.900000000000006</v>
      </c>
    </row>
  </sheetData>
  <mergeCells count="8">
    <mergeCell ref="D14:D15"/>
    <mergeCell ref="D2:D3"/>
    <mergeCell ref="F2:K2"/>
    <mergeCell ref="D17:J17"/>
    <mergeCell ref="D4:D5"/>
    <mergeCell ref="D6:D8"/>
    <mergeCell ref="D9:D11"/>
    <mergeCell ref="D12:D13"/>
  </mergeCells>
  <pageMargins left="0.7" right="0.7" top="0.75" bottom="0.75" header="0.3" footer="0.3"/>
  <pageSetup paperSize="9" orientation="portrait" horizontalDpi="180" verticalDpi="180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P4"/>
  <sheetViews>
    <sheetView tabSelected="1" topLeftCell="ET1" zoomScale="80" zoomScaleNormal="80" workbookViewId="0">
      <selection activeCell="FP4" sqref="FP4"/>
    </sheetView>
  </sheetViews>
  <sheetFormatPr defaultRowHeight="15"/>
  <cols>
    <col min="32" max="32" width="11.5703125" bestFit="1" customWidth="1"/>
    <col min="80" max="88" width="19.5703125" customWidth="1"/>
    <col min="95" max="95" width="11.5703125" bestFit="1" customWidth="1"/>
    <col min="97" max="97" width="11.5703125" bestFit="1" customWidth="1"/>
    <col min="99" max="100" width="14.140625" customWidth="1"/>
    <col min="101" max="101" width="19.140625" customWidth="1"/>
    <col min="102" max="109" width="19.5703125" customWidth="1"/>
    <col min="116" max="116" width="11.5703125" bestFit="1" customWidth="1"/>
    <col min="118" max="118" width="11.5703125" bestFit="1" customWidth="1"/>
    <col min="122" max="122" width="19.7109375" customWidth="1"/>
    <col min="123" max="130" width="19.5703125" customWidth="1"/>
    <col min="137" max="137" width="11.5703125" bestFit="1" customWidth="1"/>
    <col min="139" max="139" width="11.5703125" bestFit="1" customWidth="1"/>
    <col min="143" max="143" width="18.7109375" customWidth="1"/>
    <col min="144" max="151" width="19.5703125" customWidth="1"/>
    <col min="158" max="158" width="11.5703125" bestFit="1" customWidth="1"/>
    <col min="160" max="160" width="11.5703125" bestFit="1" customWidth="1"/>
    <col min="172" max="172" width="9.28515625" bestFit="1" customWidth="1"/>
  </cols>
  <sheetData>
    <row r="1" spans="1:172" ht="252.75" thickBot="1">
      <c r="A1" s="24" t="s">
        <v>82</v>
      </c>
      <c r="B1" s="24" t="s">
        <v>83</v>
      </c>
      <c r="C1" s="24" t="s">
        <v>84</v>
      </c>
      <c r="D1" s="24" t="s">
        <v>96</v>
      </c>
      <c r="E1" s="24" t="s">
        <v>85</v>
      </c>
      <c r="F1" s="24" t="s">
        <v>95</v>
      </c>
      <c r="G1" s="24" t="s">
        <v>97</v>
      </c>
      <c r="H1" s="24" t="s">
        <v>98</v>
      </c>
      <c r="I1" s="24" t="s">
        <v>114</v>
      </c>
      <c r="J1" s="24" t="s">
        <v>115</v>
      </c>
      <c r="K1" s="24" t="s">
        <v>117</v>
      </c>
      <c r="L1" s="24" t="s">
        <v>118</v>
      </c>
      <c r="M1" s="24" t="s">
        <v>112</v>
      </c>
      <c r="N1" s="24" t="s">
        <v>101</v>
      </c>
      <c r="O1" s="24" t="s">
        <v>102</v>
      </c>
      <c r="P1" s="24" t="s">
        <v>125</v>
      </c>
      <c r="Q1" s="24" t="s">
        <v>126</v>
      </c>
      <c r="R1" s="24" t="s">
        <v>99</v>
      </c>
      <c r="S1" s="24" t="s">
        <v>103</v>
      </c>
      <c r="T1" s="24" t="s">
        <v>100</v>
      </c>
      <c r="U1" s="24" t="s">
        <v>104</v>
      </c>
      <c r="V1" s="24" t="s">
        <v>86</v>
      </c>
      <c r="W1" s="24" t="s">
        <v>87</v>
      </c>
      <c r="X1" s="25" t="s">
        <v>88</v>
      </c>
      <c r="Y1" s="25" t="s">
        <v>88</v>
      </c>
      <c r="Z1" s="25" t="s">
        <v>88</v>
      </c>
      <c r="AA1" s="25" t="s">
        <v>88</v>
      </c>
      <c r="AB1" s="24" t="s">
        <v>89</v>
      </c>
      <c r="AC1" s="24" t="s">
        <v>90</v>
      </c>
      <c r="AD1" s="25" t="s">
        <v>106</v>
      </c>
      <c r="AE1" s="30" t="s">
        <v>107</v>
      </c>
      <c r="AF1" s="29" t="s">
        <v>121</v>
      </c>
      <c r="AG1" s="29" t="s">
        <v>119</v>
      </c>
      <c r="AH1" s="30" t="s">
        <v>124</v>
      </c>
      <c r="AI1" s="25" t="s">
        <v>171</v>
      </c>
      <c r="AJ1" s="25" t="s">
        <v>172</v>
      </c>
      <c r="AK1" s="25" t="s">
        <v>173</v>
      </c>
      <c r="AL1" s="25" t="s">
        <v>171</v>
      </c>
      <c r="AM1" s="25" t="s">
        <v>174</v>
      </c>
      <c r="AN1" s="25" t="s">
        <v>175</v>
      </c>
      <c r="AO1" s="25" t="s">
        <v>176</v>
      </c>
      <c r="AP1" s="25" t="s">
        <v>170</v>
      </c>
      <c r="AQ1" s="25" t="s">
        <v>178</v>
      </c>
      <c r="AR1" s="25" t="s">
        <v>179</v>
      </c>
      <c r="AS1" s="25" t="s">
        <v>180</v>
      </c>
      <c r="AT1" s="25" t="s">
        <v>181</v>
      </c>
      <c r="AU1" s="25" t="s">
        <v>182</v>
      </c>
      <c r="AV1" s="25" t="s">
        <v>183</v>
      </c>
      <c r="AW1" s="25" t="s">
        <v>184</v>
      </c>
      <c r="AX1" s="25" t="s">
        <v>185</v>
      </c>
      <c r="AY1" s="25" t="s">
        <v>186</v>
      </c>
      <c r="AZ1" s="25" t="s">
        <v>187</v>
      </c>
      <c r="BA1" s="25" t="s">
        <v>185</v>
      </c>
      <c r="BB1" s="25" t="s">
        <v>188</v>
      </c>
      <c r="BC1" s="30" t="s">
        <v>123</v>
      </c>
      <c r="BD1" s="25" t="s">
        <v>171</v>
      </c>
      <c r="BE1" s="25" t="s">
        <v>172</v>
      </c>
      <c r="BF1" s="25" t="s">
        <v>173</v>
      </c>
      <c r="BG1" s="25" t="s">
        <v>171</v>
      </c>
      <c r="BH1" s="25" t="s">
        <v>174</v>
      </c>
      <c r="BI1" s="25" t="s">
        <v>175</v>
      </c>
      <c r="BJ1" s="25" t="s">
        <v>176</v>
      </c>
      <c r="BK1" s="25" t="s">
        <v>170</v>
      </c>
      <c r="BL1" s="25" t="s">
        <v>178</v>
      </c>
      <c r="BM1" s="25" t="s">
        <v>179</v>
      </c>
      <c r="BN1" s="25" t="s">
        <v>180</v>
      </c>
      <c r="BO1" s="25" t="s">
        <v>181</v>
      </c>
      <c r="BP1" s="25" t="s">
        <v>182</v>
      </c>
      <c r="BQ1" s="25" t="s">
        <v>183</v>
      </c>
      <c r="BR1" s="25" t="s">
        <v>184</v>
      </c>
      <c r="BS1" s="25" t="s">
        <v>185</v>
      </c>
      <c r="BT1" s="25" t="s">
        <v>186</v>
      </c>
      <c r="BU1" s="25" t="s">
        <v>187</v>
      </c>
      <c r="BV1" s="25" t="s">
        <v>185</v>
      </c>
      <c r="BW1" s="25" t="s">
        <v>188</v>
      </c>
      <c r="BX1" s="29" t="s">
        <v>127</v>
      </c>
      <c r="BY1" s="29" t="s">
        <v>128</v>
      </c>
      <c r="BZ1" s="29" t="s">
        <v>120</v>
      </c>
      <c r="CA1" s="29" t="s">
        <v>122</v>
      </c>
      <c r="CB1" s="24" t="s">
        <v>131</v>
      </c>
      <c r="CC1" s="25" t="s">
        <v>148</v>
      </c>
      <c r="CD1" s="25" t="s">
        <v>145</v>
      </c>
      <c r="CE1" s="25" t="s">
        <v>146</v>
      </c>
      <c r="CF1" s="25" t="s">
        <v>147</v>
      </c>
      <c r="CG1" s="30" t="s">
        <v>149</v>
      </c>
      <c r="CH1" s="25" t="s">
        <v>150</v>
      </c>
      <c r="CI1" s="25" t="s">
        <v>151</v>
      </c>
      <c r="CJ1" s="25" t="s">
        <v>152</v>
      </c>
      <c r="CK1" s="25" t="s">
        <v>153</v>
      </c>
      <c r="CL1" s="25" t="s">
        <v>154</v>
      </c>
      <c r="CM1" s="25" t="s">
        <v>155</v>
      </c>
      <c r="CN1" s="25" t="s">
        <v>156</v>
      </c>
      <c r="CO1" s="25" t="s">
        <v>157</v>
      </c>
      <c r="CP1" s="25" t="s">
        <v>158</v>
      </c>
      <c r="CQ1" s="29" t="s">
        <v>159</v>
      </c>
      <c r="CR1" s="29" t="s">
        <v>160</v>
      </c>
      <c r="CS1" s="29" t="s">
        <v>161</v>
      </c>
      <c r="CT1" s="29" t="s">
        <v>162</v>
      </c>
      <c r="CU1" s="29" t="s">
        <v>132</v>
      </c>
      <c r="CV1" s="29" t="s">
        <v>135</v>
      </c>
      <c r="CW1" s="25" t="s">
        <v>129</v>
      </c>
      <c r="CX1" s="25" t="s">
        <v>148</v>
      </c>
      <c r="CY1" s="25" t="s">
        <v>145</v>
      </c>
      <c r="CZ1" s="25" t="s">
        <v>146</v>
      </c>
      <c r="DA1" s="25" t="s">
        <v>147</v>
      </c>
      <c r="DB1" s="30" t="s">
        <v>149</v>
      </c>
      <c r="DC1" s="25" t="s">
        <v>150</v>
      </c>
      <c r="DD1" s="25" t="s">
        <v>151</v>
      </c>
      <c r="DE1" s="25" t="s">
        <v>152</v>
      </c>
      <c r="DF1" s="25" t="s">
        <v>153</v>
      </c>
      <c r="DG1" s="25" t="s">
        <v>154</v>
      </c>
      <c r="DH1" s="25" t="s">
        <v>155</v>
      </c>
      <c r="DI1" s="25" t="s">
        <v>156</v>
      </c>
      <c r="DJ1" s="25" t="s">
        <v>157</v>
      </c>
      <c r="DK1" s="25" t="s">
        <v>158</v>
      </c>
      <c r="DL1" s="29" t="s">
        <v>159</v>
      </c>
      <c r="DM1" s="29" t="s">
        <v>160</v>
      </c>
      <c r="DN1" s="29" t="s">
        <v>161</v>
      </c>
      <c r="DO1" s="29" t="s">
        <v>162</v>
      </c>
      <c r="DP1" s="29" t="s">
        <v>133</v>
      </c>
      <c r="DQ1" s="29" t="s">
        <v>134</v>
      </c>
      <c r="DR1" s="25" t="s">
        <v>130</v>
      </c>
      <c r="DS1" s="25" t="s">
        <v>148</v>
      </c>
      <c r="DT1" s="25" t="s">
        <v>145</v>
      </c>
      <c r="DU1" s="25" t="s">
        <v>146</v>
      </c>
      <c r="DV1" s="25" t="s">
        <v>147</v>
      </c>
      <c r="DW1" s="30" t="s">
        <v>149</v>
      </c>
      <c r="DX1" s="25" t="s">
        <v>150</v>
      </c>
      <c r="DY1" s="25" t="s">
        <v>151</v>
      </c>
      <c r="DZ1" s="25" t="s">
        <v>152</v>
      </c>
      <c r="EA1" s="25" t="s">
        <v>153</v>
      </c>
      <c r="EB1" s="25" t="s">
        <v>154</v>
      </c>
      <c r="EC1" s="25" t="s">
        <v>155</v>
      </c>
      <c r="ED1" s="25" t="s">
        <v>156</v>
      </c>
      <c r="EE1" s="25" t="s">
        <v>157</v>
      </c>
      <c r="EF1" s="25" t="s">
        <v>158</v>
      </c>
      <c r="EG1" s="29" t="s">
        <v>159</v>
      </c>
      <c r="EH1" s="29" t="s">
        <v>160</v>
      </c>
      <c r="EI1" s="29" t="s">
        <v>161</v>
      </c>
      <c r="EJ1" s="29" t="s">
        <v>162</v>
      </c>
      <c r="EK1" s="29" t="s">
        <v>138</v>
      </c>
      <c r="EL1" s="29" t="s">
        <v>139</v>
      </c>
      <c r="EM1" s="25" t="s">
        <v>136</v>
      </c>
      <c r="EN1" s="25" t="s">
        <v>148</v>
      </c>
      <c r="EO1" s="25" t="s">
        <v>145</v>
      </c>
      <c r="EP1" s="25" t="s">
        <v>146</v>
      </c>
      <c r="EQ1" s="25" t="s">
        <v>147</v>
      </c>
      <c r="ER1" s="30" t="s">
        <v>149</v>
      </c>
      <c r="ES1" s="25" t="s">
        <v>150</v>
      </c>
      <c r="ET1" s="25" t="s">
        <v>151</v>
      </c>
      <c r="EU1" s="25" t="s">
        <v>152</v>
      </c>
      <c r="EV1" s="25" t="s">
        <v>153</v>
      </c>
      <c r="EW1" s="25" t="s">
        <v>154</v>
      </c>
      <c r="EX1" s="25" t="s">
        <v>155</v>
      </c>
      <c r="EY1" s="25" t="s">
        <v>156</v>
      </c>
      <c r="EZ1" s="25" t="s">
        <v>157</v>
      </c>
      <c r="FA1" s="25" t="s">
        <v>158</v>
      </c>
      <c r="FB1" s="29" t="s">
        <v>159</v>
      </c>
      <c r="FC1" s="29" t="s">
        <v>160</v>
      </c>
      <c r="FD1" s="29" t="s">
        <v>161</v>
      </c>
      <c r="FE1" s="29" t="s">
        <v>162</v>
      </c>
      <c r="FF1" s="29" t="s">
        <v>137</v>
      </c>
      <c r="FG1" s="29" t="s">
        <v>140</v>
      </c>
      <c r="FH1" s="36" t="s">
        <v>163</v>
      </c>
      <c r="FI1" s="36" t="s">
        <v>164</v>
      </c>
      <c r="FJ1" s="36" t="s">
        <v>165</v>
      </c>
      <c r="FK1" s="36" t="s">
        <v>166</v>
      </c>
      <c r="FL1" s="36" t="s">
        <v>167</v>
      </c>
      <c r="FM1" s="36" t="s">
        <v>168</v>
      </c>
      <c r="FN1" s="36" t="s">
        <v>169</v>
      </c>
      <c r="FO1" s="36" t="s">
        <v>190</v>
      </c>
      <c r="FP1" s="36" t="s">
        <v>195</v>
      </c>
    </row>
    <row r="2" spans="1:172" ht="26.25" thickBot="1">
      <c r="A2" s="26"/>
      <c r="B2" s="26" t="s">
        <v>93</v>
      </c>
      <c r="C2" s="26" t="s">
        <v>94</v>
      </c>
      <c r="D2" s="26" t="s">
        <v>110</v>
      </c>
      <c r="E2" s="26" t="s">
        <v>93</v>
      </c>
      <c r="F2" s="26">
        <v>300</v>
      </c>
      <c r="G2" s="26">
        <v>190</v>
      </c>
      <c r="H2" s="26">
        <v>1300</v>
      </c>
      <c r="I2" s="26">
        <v>160</v>
      </c>
      <c r="J2" s="26">
        <v>170</v>
      </c>
      <c r="K2" s="26">
        <v>0</v>
      </c>
      <c r="L2" s="26">
        <v>0</v>
      </c>
      <c r="M2" s="26">
        <v>1</v>
      </c>
      <c r="N2" s="26">
        <v>15</v>
      </c>
      <c r="O2" s="26">
        <v>92</v>
      </c>
      <c r="P2" s="26">
        <v>105</v>
      </c>
      <c r="Q2" s="26">
        <v>22</v>
      </c>
      <c r="R2" s="26">
        <v>305</v>
      </c>
      <c r="S2" s="26">
        <v>34</v>
      </c>
      <c r="T2" s="26">
        <v>205</v>
      </c>
      <c r="U2" s="26">
        <v>34</v>
      </c>
      <c r="V2" s="26">
        <v>95</v>
      </c>
      <c r="W2" s="26" t="s">
        <v>72</v>
      </c>
      <c r="X2" s="27" t="s">
        <v>105</v>
      </c>
      <c r="Y2" s="28">
        <f>1/1</f>
        <v>1</v>
      </c>
      <c r="Z2" s="27" t="s">
        <v>105</v>
      </c>
      <c r="AA2" s="28">
        <f>1/1</f>
        <v>1</v>
      </c>
      <c r="AB2" s="26">
        <v>5</v>
      </c>
      <c r="AC2" s="26"/>
      <c r="AD2">
        <f>H2*8+8*(F2+10)+4*(G2+30)</f>
        <v>13760</v>
      </c>
      <c r="AE2">
        <v>0.05</v>
      </c>
      <c r="AF2">
        <f>(AD2*AE2)/1000</f>
        <v>0.68799999999999994</v>
      </c>
      <c r="AG2">
        <f>AF2*AB2</f>
        <v>3.4399999999999995</v>
      </c>
      <c r="AH2">
        <v>5.0000000000000001E-3</v>
      </c>
      <c r="AI2" s="39">
        <v>1100</v>
      </c>
      <c r="AJ2" s="40">
        <v>3</v>
      </c>
      <c r="AK2" s="39">
        <v>34</v>
      </c>
      <c r="AL2" s="39">
        <v>900</v>
      </c>
      <c r="AM2" s="40" t="s">
        <v>177</v>
      </c>
      <c r="AN2" s="39">
        <v>20</v>
      </c>
      <c r="AO2" s="40">
        <f>AI2/9*AK2/1000*1.2</f>
        <v>4.9866666666666672</v>
      </c>
      <c r="AP2" s="39">
        <f>(AI2*(AK2/2)*5*0.95)/1000</f>
        <v>88.825000000000003</v>
      </c>
      <c r="AQ2" s="39" t="s">
        <v>189</v>
      </c>
      <c r="AR2" s="39">
        <v>5</v>
      </c>
      <c r="AS2" s="39">
        <f>AF2</f>
        <v>0.68799999999999994</v>
      </c>
      <c r="AT2" s="39">
        <v>9</v>
      </c>
      <c r="AU2" s="41">
        <v>0.02</v>
      </c>
      <c r="AV2" s="42">
        <v>1E-3</v>
      </c>
      <c r="AW2" s="39">
        <f>AK2</f>
        <v>34</v>
      </c>
      <c r="AX2" s="42">
        <f>AI2/1000</f>
        <v>1.1000000000000001</v>
      </c>
      <c r="AY2" s="43">
        <f>(((AW2*(AX2/AT2))*1)*AV2)+((((AW2*(AX2/AT2))*1)*AV2)*AU2)</f>
        <v>4.2386666666666666E-3</v>
      </c>
      <c r="AZ2" s="39">
        <v>10</v>
      </c>
      <c r="BA2" s="42">
        <f>AL2/1000</f>
        <v>0.9</v>
      </c>
      <c r="BB2" s="43">
        <f>AO2/1000-AY2</f>
        <v>7.480000000000004E-4</v>
      </c>
      <c r="BC2">
        <v>3.5000000000000003E-2</v>
      </c>
      <c r="BD2" s="39">
        <v>1800</v>
      </c>
      <c r="BE2" s="40">
        <v>4.5</v>
      </c>
      <c r="BF2" s="39">
        <v>160</v>
      </c>
      <c r="BG2" s="39">
        <v>900</v>
      </c>
      <c r="BH2" s="40" t="s">
        <v>177</v>
      </c>
      <c r="BI2" s="39">
        <v>10</v>
      </c>
      <c r="BJ2" s="40">
        <f>BD2/9*BF2/1000*1.1</f>
        <v>35.200000000000003</v>
      </c>
      <c r="BK2" s="39">
        <f>(BD2*(BF2/2)*5*0.95)/1000</f>
        <v>684</v>
      </c>
      <c r="BL2" s="39" t="s">
        <v>189</v>
      </c>
      <c r="BM2" s="39">
        <v>35</v>
      </c>
      <c r="BN2" s="39">
        <f>BA2</f>
        <v>0.9</v>
      </c>
      <c r="BO2" s="39">
        <v>9</v>
      </c>
      <c r="BP2" s="41">
        <v>0.02</v>
      </c>
      <c r="BQ2" s="42">
        <v>1E-3</v>
      </c>
      <c r="BR2" s="39">
        <f>BF2</f>
        <v>160</v>
      </c>
      <c r="BS2" s="42">
        <f>BD2/1000</f>
        <v>1.8</v>
      </c>
      <c r="BT2" s="43">
        <f>(((BR2*(BS2/BO2))*1)*BQ2)+((((BR2*(BS2/BO2))*1)*BQ2)*BP2)</f>
        <v>3.2640000000000002E-2</v>
      </c>
      <c r="BU2" s="39">
        <v>10</v>
      </c>
      <c r="BV2" s="42">
        <f>BG2/1000</f>
        <v>0.9</v>
      </c>
      <c r="BW2" s="43">
        <f>BJ2/1000-BT2</f>
        <v>2.5599999999999998E-3</v>
      </c>
      <c r="BX2">
        <f>(AH2*((N2*2+5)*O2))/100+((R2*S2*AH2)+(T2*U2*AH2))/100+(P2*Q2*AH2)/100</f>
        <v>1.1435</v>
      </c>
      <c r="BY2">
        <f>BX2*AB2</f>
        <v>5.7174999999999994</v>
      </c>
      <c r="CB2" s="26" t="s">
        <v>144</v>
      </c>
      <c r="CC2" s="32">
        <v>158</v>
      </c>
      <c r="CD2" s="34">
        <f>CE2/CH2+1</f>
        <v>1054.3333333333333</v>
      </c>
      <c r="CE2" s="32">
        <f>CC2*10*2</f>
        <v>3160</v>
      </c>
      <c r="CF2" s="32">
        <f>CC2*2/100</f>
        <v>3.16</v>
      </c>
      <c r="CG2" s="32">
        <v>9</v>
      </c>
      <c r="CH2" s="33">
        <v>3</v>
      </c>
      <c r="CI2" s="33">
        <v>950</v>
      </c>
      <c r="CJ2" s="33">
        <v>33</v>
      </c>
      <c r="CK2" s="33">
        <v>3</v>
      </c>
      <c r="CL2" s="33">
        <v>950</v>
      </c>
      <c r="CM2" s="33">
        <v>33</v>
      </c>
      <c r="CN2" s="35">
        <f>CI2/9*CJ2/100+CL2/9*CM2/100</f>
        <v>69.666666666666671</v>
      </c>
      <c r="CO2" s="33">
        <f t="shared" ref="CO2:CO3" si="0">(CJ2*(CI2/2)*5)*0.95/1000</f>
        <v>74.456249999999997</v>
      </c>
      <c r="CP2" s="33">
        <f>(CL2*(CM2/2)*5)*0.93/1000</f>
        <v>72.888750000000002</v>
      </c>
      <c r="CQ2" s="33">
        <f>(((CD2*(CI2/1000)/CG2))*CU2)*0.001</f>
        <v>1.4579087037037037</v>
      </c>
      <c r="CR2" s="33">
        <f>((CM2*10)*(CL2/1000/CG2)*CF2)*CU2*0.001</f>
        <v>1.4419606666666669</v>
      </c>
      <c r="CS2" s="33">
        <f>CQ2*AB2</f>
        <v>7.2895435185185189</v>
      </c>
      <c r="CT2" s="33">
        <f>CR2*AB2</f>
        <v>7.2098033333333342</v>
      </c>
      <c r="CU2">
        <f>(H2+10)/100</f>
        <v>13.1</v>
      </c>
      <c r="CV2">
        <f>CU2*AB2</f>
        <v>65.5</v>
      </c>
      <c r="CW2" s="26" t="s">
        <v>142</v>
      </c>
      <c r="CX2" s="32">
        <v>130</v>
      </c>
      <c r="CY2" s="34">
        <f>CZ2/DC2+1</f>
        <v>867.66666666666663</v>
      </c>
      <c r="CZ2" s="32">
        <f>CX2*10*2</f>
        <v>2600</v>
      </c>
      <c r="DA2" s="32">
        <f>CX2*2/100</f>
        <v>2.6</v>
      </c>
      <c r="DB2" s="32">
        <v>9</v>
      </c>
      <c r="DC2" s="33">
        <v>3</v>
      </c>
      <c r="DD2" s="33">
        <v>950</v>
      </c>
      <c r="DE2" s="33">
        <v>33</v>
      </c>
      <c r="DF2" s="33">
        <v>3</v>
      </c>
      <c r="DG2" s="33">
        <v>950</v>
      </c>
      <c r="DH2" s="33">
        <v>33</v>
      </c>
      <c r="DI2" s="35">
        <f>DD2/9*DE2/100+DG2/9*DH2/100</f>
        <v>69.666666666666671</v>
      </c>
      <c r="DJ2" s="33">
        <f>(DC2*(DD2/2)*5)*0.95/1000</f>
        <v>6.7687499999999998</v>
      </c>
      <c r="DK2" s="33">
        <f>(DG2*(DH2/2)*5)*0.93/1000</f>
        <v>72.888750000000002</v>
      </c>
      <c r="DL2" s="33">
        <f>(((CY2*(DD2/1000)/DB2))*DP2)*0.001</f>
        <v>2.9674199999999997</v>
      </c>
      <c r="DM2" s="33">
        <f>((DH2*10)*(DG2/1000/DB2)*DA2)*DP2*0.001</f>
        <v>2.9343600000000003</v>
      </c>
      <c r="DN2" s="33">
        <f>DL2*CK2</f>
        <v>8.9022599999999983</v>
      </c>
      <c r="DO2" s="33">
        <f>DM2*CK2</f>
        <v>8.8030800000000013</v>
      </c>
      <c r="DP2">
        <f>(((H2+10)+(F2+10))*2)/100</f>
        <v>32.4</v>
      </c>
      <c r="DQ2">
        <f>DP2*AB2</f>
        <v>162</v>
      </c>
      <c r="DR2" s="26" t="s">
        <v>141</v>
      </c>
      <c r="DS2" s="32">
        <v>98</v>
      </c>
      <c r="DT2" s="34">
        <f>DU2/DX2+1</f>
        <v>654.33333333333337</v>
      </c>
      <c r="DU2" s="32">
        <f>DS2*10*2</f>
        <v>1960</v>
      </c>
      <c r="DV2" s="32">
        <f>DS2*2/100</f>
        <v>1.96</v>
      </c>
      <c r="DW2" s="32">
        <v>9</v>
      </c>
      <c r="DX2" s="33">
        <v>3</v>
      </c>
      <c r="DY2" s="33">
        <v>950</v>
      </c>
      <c r="DZ2" s="33">
        <v>33</v>
      </c>
      <c r="EA2" s="33">
        <v>3</v>
      </c>
      <c r="EB2" s="33">
        <v>950</v>
      </c>
      <c r="EC2" s="33">
        <v>33</v>
      </c>
      <c r="ED2" s="35">
        <f>DY2/9*DZ2/100+EB2/9*EC2/100</f>
        <v>69.666666666666671</v>
      </c>
      <c r="EE2" s="33">
        <f>(DX2*(DY2/2)*5)*0.95/1000</f>
        <v>6.7687499999999998</v>
      </c>
      <c r="EF2" s="33">
        <f>(EB2*(EC2/2)*5)*0.93/1000</f>
        <v>72.888750000000002</v>
      </c>
      <c r="EG2" s="33">
        <f>(((DT2*(DY2/1000)/DW2))*EK2)*0.001</f>
        <v>2.2378199999999997</v>
      </c>
      <c r="EH2" s="33">
        <f>((EC2*10)*(EB2/1000/DW2)*DV2)*EK2*0.001</f>
        <v>2.212056</v>
      </c>
      <c r="EI2" s="33">
        <f>EG2*DF2</f>
        <v>6.7134599999999995</v>
      </c>
      <c r="EJ2" s="33">
        <f>EH2*DF2</f>
        <v>6.6361679999999996</v>
      </c>
      <c r="EK2">
        <f>(((F2+10)+(H2+10))*2)/100</f>
        <v>32.4</v>
      </c>
      <c r="EL2">
        <f>EK2*AB2</f>
        <v>162</v>
      </c>
      <c r="EN2" s="32"/>
      <c r="EO2" s="34">
        <f>EP2/ES2</f>
        <v>0</v>
      </c>
      <c r="EP2" s="32">
        <f>EN2*10*2</f>
        <v>0</v>
      </c>
      <c r="EQ2" s="32">
        <f>EN2*2/100</f>
        <v>0</v>
      </c>
      <c r="ER2" s="32">
        <v>9</v>
      </c>
      <c r="ES2" s="33">
        <v>3</v>
      </c>
      <c r="ET2" s="33">
        <v>950</v>
      </c>
      <c r="EU2" s="33">
        <v>33</v>
      </c>
      <c r="EV2" s="33">
        <v>3</v>
      </c>
      <c r="EW2" s="33">
        <v>950</v>
      </c>
      <c r="EX2" s="33">
        <v>33</v>
      </c>
      <c r="EY2" s="35">
        <f>ET2/9*EU2/100+EW2/9*EX2/100</f>
        <v>69.666666666666671</v>
      </c>
      <c r="EZ2" s="33">
        <f>(ES2*(ET2/2)*5)*0.95/1000</f>
        <v>6.7687499999999998</v>
      </c>
      <c r="FA2" s="33">
        <f>(EW2*(EX2/2)*5)*0.93/1000</f>
        <v>72.888750000000002</v>
      </c>
      <c r="FB2" s="33">
        <f>(((EO2*(ET2/1000)/ER2))*FF2)*0.001</f>
        <v>0</v>
      </c>
      <c r="FC2" s="33">
        <f>((EX2*10)*(EW2/1000/ER2)*EQ2)*FF2*0.001</f>
        <v>0</v>
      </c>
      <c r="FD2" s="33">
        <f>FB2*EA2</f>
        <v>0</v>
      </c>
      <c r="FE2" s="33">
        <f>FC2*EA2</f>
        <v>0</v>
      </c>
      <c r="FG2">
        <f>FF2*AB2</f>
        <v>0</v>
      </c>
      <c r="FH2">
        <f>CV2+DQ2+EL2+FG2</f>
        <v>389.5</v>
      </c>
      <c r="FI2" s="37">
        <f>CS2+CT2+DN2+DO2+EI2+EJ2+FD2+FE2+BY2*80/100+CA2*90/100</f>
        <v>50.128314851851847</v>
      </c>
      <c r="FJ2" s="38">
        <f>BY2</f>
        <v>5.7174999999999994</v>
      </c>
      <c r="FK2" s="38">
        <f>CA2</f>
        <v>0</v>
      </c>
      <c r="FL2" s="38">
        <f>((FJ2*20)/100)+((FK2*10)/100)</f>
        <v>1.1435</v>
      </c>
      <c r="FM2">
        <f>AG2</f>
        <v>3.4399999999999995</v>
      </c>
      <c r="FO2">
        <f>CV2+DQ2+EL2+FG2</f>
        <v>389.5</v>
      </c>
      <c r="FP2" s="38">
        <f>(((F2+10)*(H2+10))*1*V2/10000000)+(((F2+10)*(G2+30))*2*V2/10000000)+(((H2+10)*(G2+30))*2*V2/10000000)+(((F2+10)*(I2+30))*2*V2/10000000)+(((H2+10)*(J2+20))*2*V2/10000000)+BX2+AF2</f>
        <v>18.309249999999999</v>
      </c>
    </row>
    <row r="3" spans="1:172" ht="64.5" thickBot="1">
      <c r="A3" s="26"/>
      <c r="B3" s="26" t="s">
        <v>108</v>
      </c>
      <c r="C3" s="26" t="s">
        <v>109</v>
      </c>
      <c r="D3" s="26" t="s">
        <v>111</v>
      </c>
      <c r="E3" s="26" t="s">
        <v>116</v>
      </c>
      <c r="F3" s="26">
        <v>90</v>
      </c>
      <c r="G3" s="26">
        <v>65</v>
      </c>
      <c r="H3" s="26">
        <v>90</v>
      </c>
      <c r="I3" s="26">
        <v>70</v>
      </c>
      <c r="J3" s="26">
        <v>90</v>
      </c>
      <c r="K3" s="26">
        <v>0</v>
      </c>
      <c r="L3" s="26">
        <v>0</v>
      </c>
      <c r="M3" s="26">
        <v>2</v>
      </c>
      <c r="N3" s="26">
        <v>30</v>
      </c>
      <c r="O3" s="26">
        <v>4</v>
      </c>
      <c r="P3" s="26">
        <v>0</v>
      </c>
      <c r="Q3" s="26">
        <v>0</v>
      </c>
      <c r="R3" s="26">
        <v>0</v>
      </c>
      <c r="S3" s="26">
        <v>0</v>
      </c>
      <c r="T3" s="26">
        <v>130</v>
      </c>
      <c r="U3" s="26">
        <v>1</v>
      </c>
      <c r="V3" s="26">
        <v>160</v>
      </c>
      <c r="W3" s="26" t="s">
        <v>91</v>
      </c>
      <c r="X3" s="27" t="s">
        <v>113</v>
      </c>
      <c r="Y3" s="28">
        <f>1/3</f>
        <v>0.33333333333333331</v>
      </c>
      <c r="Z3" s="27" t="s">
        <v>92</v>
      </c>
      <c r="AA3" s="28">
        <f>2/3</f>
        <v>0.66666666666666663</v>
      </c>
      <c r="AB3" s="26">
        <v>5</v>
      </c>
      <c r="AC3" s="26"/>
      <c r="AD3">
        <f>(F3+G3*2)*2+(I3+3)+(J3*4+5)</f>
        <v>878</v>
      </c>
      <c r="AE3">
        <v>7.6999999999999999E-2</v>
      </c>
      <c r="AF3" s="31">
        <f>(AD3*AE3)/1000</f>
        <v>6.7605999999999999E-2</v>
      </c>
      <c r="AG3" s="31">
        <f>AF3*AB3</f>
        <v>0.33803</v>
      </c>
      <c r="AH3">
        <v>5.0000000000000001E-3</v>
      </c>
      <c r="AI3" s="39">
        <v>1100</v>
      </c>
      <c r="AJ3" s="40">
        <v>3</v>
      </c>
      <c r="AK3" s="39">
        <v>34</v>
      </c>
      <c r="AL3" s="39">
        <v>900</v>
      </c>
      <c r="AM3" s="40" t="s">
        <v>177</v>
      </c>
      <c r="AN3" s="39">
        <v>20</v>
      </c>
      <c r="AO3" s="40">
        <f>AI3/9*AK3/1000*1.2</f>
        <v>4.9866666666666672</v>
      </c>
      <c r="AP3" s="39">
        <f>(AI3*(AK3/2)*5*0.95)/1000</f>
        <v>88.825000000000003</v>
      </c>
      <c r="AQ3" s="39" t="s">
        <v>189</v>
      </c>
      <c r="AR3" s="39">
        <v>5</v>
      </c>
      <c r="AS3" s="39">
        <f>AF3</f>
        <v>6.7605999999999999E-2</v>
      </c>
      <c r="AT3" s="39">
        <v>9</v>
      </c>
      <c r="AU3" s="41">
        <v>0.02</v>
      </c>
      <c r="AV3" s="42">
        <v>1E-3</v>
      </c>
      <c r="AW3" s="39">
        <f>AK3</f>
        <v>34</v>
      </c>
      <c r="AX3" s="42">
        <f>AI3/1000</f>
        <v>1.1000000000000001</v>
      </c>
      <c r="AY3" s="43">
        <f>(((AW3*(AX3/AT3))*1)*AV3)+((((AW3*(AX3/AT3))*1)*AV3)*AU3)</f>
        <v>4.2386666666666666E-3</v>
      </c>
      <c r="AZ3" s="39">
        <v>10</v>
      </c>
      <c r="BA3" s="42">
        <f>AL3/1000</f>
        <v>0.9</v>
      </c>
      <c r="BB3" s="43">
        <f>AO3/1000-AY3</f>
        <v>7.480000000000004E-4</v>
      </c>
      <c r="BC3">
        <v>3.5000000000000003E-2</v>
      </c>
      <c r="BD3" s="39">
        <v>1800</v>
      </c>
      <c r="BE3" s="40">
        <v>4.5</v>
      </c>
      <c r="BF3" s="39">
        <v>160</v>
      </c>
      <c r="BG3" s="39">
        <v>900</v>
      </c>
      <c r="BH3" s="40" t="s">
        <v>177</v>
      </c>
      <c r="BI3" s="39">
        <v>10</v>
      </c>
      <c r="BJ3" s="40">
        <f>BD3/9*BF3/1000*1.1</f>
        <v>35.200000000000003</v>
      </c>
      <c r="BK3" s="39">
        <f>(BD3*(BF3/2)*5*0.95)/1000</f>
        <v>684</v>
      </c>
      <c r="BL3" s="39" t="s">
        <v>189</v>
      </c>
      <c r="BM3" s="39">
        <v>35</v>
      </c>
      <c r="BN3" s="39">
        <f>BA3</f>
        <v>0.9</v>
      </c>
      <c r="BO3" s="39">
        <v>9</v>
      </c>
      <c r="BP3" s="41">
        <v>0.02</v>
      </c>
      <c r="BQ3" s="42">
        <v>1E-3</v>
      </c>
      <c r="BR3" s="39">
        <f>BF3</f>
        <v>160</v>
      </c>
      <c r="BS3" s="42">
        <f>BD3/1000</f>
        <v>1.8</v>
      </c>
      <c r="BT3" s="43">
        <f>(((BR3*(BS3/BO3))*1)*BQ3)+((((BR3*(BS3/BO3))*1)*BQ3)*BP3)</f>
        <v>3.2640000000000002E-2</v>
      </c>
      <c r="BU3" s="39">
        <v>10</v>
      </c>
      <c r="BV3" s="42">
        <f>BG3/1000</f>
        <v>0.9</v>
      </c>
      <c r="BW3" s="43">
        <f>BJ3/1000-BT3</f>
        <v>2.5599999999999998E-3</v>
      </c>
      <c r="BX3">
        <f>(T3*AH3)/100</f>
        <v>6.5000000000000006E-3</v>
      </c>
      <c r="BY3">
        <f>BX3*AB3</f>
        <v>3.2500000000000001E-2</v>
      </c>
      <c r="BZ3">
        <f>(((N3*2+G3*Y3+G3*AA3)*O3)*BC3)/100</f>
        <v>0.17499999999999999</v>
      </c>
      <c r="CA3">
        <f>BZ3*AB3</f>
        <v>0.875</v>
      </c>
      <c r="CB3" s="26" t="s">
        <v>143</v>
      </c>
      <c r="CC3" s="32">
        <v>90</v>
      </c>
      <c r="CD3" s="32">
        <f>CE3/CH3</f>
        <v>720</v>
      </c>
      <c r="CE3" s="32">
        <f>CC3*10*2</f>
        <v>1800</v>
      </c>
      <c r="CF3" s="32">
        <f>CC3*2/100</f>
        <v>1.8</v>
      </c>
      <c r="CG3" s="32">
        <v>9</v>
      </c>
      <c r="CH3" s="33">
        <v>2.5</v>
      </c>
      <c r="CI3" s="33">
        <v>1650</v>
      </c>
      <c r="CJ3" s="33">
        <v>40</v>
      </c>
      <c r="CK3" s="33">
        <v>4.5</v>
      </c>
      <c r="CL3" s="33">
        <v>1800</v>
      </c>
      <c r="CM3" s="33">
        <v>44</v>
      </c>
      <c r="CN3" s="35">
        <f>CI3/9*CJ3/100+CL3/9*CM3/100</f>
        <v>161.33333333333334</v>
      </c>
      <c r="CO3" s="33">
        <f t="shared" si="0"/>
        <v>156.75</v>
      </c>
      <c r="CP3" s="33">
        <f t="shared" ref="CP3" si="1">(CL3*(CM3/2)*5)*0.93/1000</f>
        <v>184.14</v>
      </c>
      <c r="CQ3" s="33">
        <f>(((CD3*(CI3/1000)/CG3))*CU3)*0.001</f>
        <v>0.29040000000000005</v>
      </c>
      <c r="CR3" s="33">
        <f>((CM3*10)*(CL3/1000/CG3)*CF3)*CU3*0.001</f>
        <v>0.34848000000000001</v>
      </c>
      <c r="CS3" s="33">
        <f>CQ3*AB3</f>
        <v>1.4520000000000002</v>
      </c>
      <c r="CT3" s="33">
        <f>CR3*AB3</f>
        <v>1.7423999999999999</v>
      </c>
      <c r="CU3">
        <f>(G3+G3+F3)/100</f>
        <v>2.2000000000000002</v>
      </c>
      <c r="CV3">
        <f>CU3*AB3</f>
        <v>11</v>
      </c>
      <c r="CW3" s="26" t="s">
        <v>143</v>
      </c>
      <c r="CX3" s="32">
        <v>90</v>
      </c>
      <c r="CY3" s="32">
        <f>CZ3/DC3</f>
        <v>720</v>
      </c>
      <c r="CZ3" s="32">
        <f>CX3*10*2</f>
        <v>1800</v>
      </c>
      <c r="DA3" s="32">
        <f>CX3*2/100</f>
        <v>1.8</v>
      </c>
      <c r="DB3" s="32">
        <v>9</v>
      </c>
      <c r="DC3" s="33">
        <v>2.5</v>
      </c>
      <c r="DD3" s="33">
        <v>1650</v>
      </c>
      <c r="DE3" s="33">
        <v>40</v>
      </c>
      <c r="DF3" s="33">
        <v>4.5</v>
      </c>
      <c r="DG3" s="33">
        <v>1800</v>
      </c>
      <c r="DH3" s="33">
        <v>44</v>
      </c>
      <c r="DI3" s="35">
        <f>DD3/9*DE3/100+DG3/9*DH3/100</f>
        <v>161.33333333333334</v>
      </c>
      <c r="DJ3" s="33">
        <f t="shared" ref="DJ3" si="2">(DC3*(DD3/2)*5)*0.95/1000</f>
        <v>9.796875</v>
      </c>
      <c r="DK3" s="33">
        <f t="shared" ref="DK3" si="3">(DG3*(DH3/2)*5)*0.93/1000</f>
        <v>184.14</v>
      </c>
      <c r="DL3" s="33">
        <f>(((CY3*(DD3/1000)/DB3))*DP3)*0.001</f>
        <v>0.1716</v>
      </c>
      <c r="DM3" s="33">
        <f>((DH3*10)*(DG3/1000/DB3)*DA3)*DP3*0.001</f>
        <v>0.20592000000000002</v>
      </c>
      <c r="DN3" s="33">
        <f>DL3*CK3</f>
        <v>0.7722</v>
      </c>
      <c r="DO3" s="33">
        <f>DM3*CK3</f>
        <v>0.92664000000000013</v>
      </c>
      <c r="DP3">
        <f>(G3*2)/100</f>
        <v>1.3</v>
      </c>
      <c r="DQ3">
        <f>DP3*AB3</f>
        <v>6.5</v>
      </c>
      <c r="DS3" s="32"/>
      <c r="DT3" s="32">
        <f>DU3/DX3</f>
        <v>0</v>
      </c>
      <c r="DU3" s="32">
        <f>DS3*10*2</f>
        <v>0</v>
      </c>
      <c r="DV3" s="32">
        <f>DS3*2/100</f>
        <v>0</v>
      </c>
      <c r="DW3" s="32">
        <v>9</v>
      </c>
      <c r="DX3" s="33">
        <v>3</v>
      </c>
      <c r="DY3" s="33">
        <v>950</v>
      </c>
      <c r="DZ3" s="33">
        <v>33</v>
      </c>
      <c r="EA3" s="33">
        <v>3</v>
      </c>
      <c r="EB3" s="33">
        <v>950</v>
      </c>
      <c r="EC3" s="33">
        <v>33</v>
      </c>
      <c r="ED3" s="35">
        <f>DY3/9*DZ3/100+EB3/9*EC3/100</f>
        <v>69.666666666666671</v>
      </c>
      <c r="EE3" s="33">
        <f>(DX3*(DY3/2)*5)*0.95/1000</f>
        <v>6.7687499999999998</v>
      </c>
      <c r="EF3" s="33">
        <f>(EB3*(EC3/2)*5)*0.93/1000</f>
        <v>72.888750000000002</v>
      </c>
      <c r="EG3" s="33">
        <f>(((DT3*(DY3/1000)/DW3))*EK3)*0.001</f>
        <v>0</v>
      </c>
      <c r="EH3" s="33">
        <f>((EC3*10)*(EB3/1000/DW3)*DV3)*EK3*0.001</f>
        <v>0</v>
      </c>
      <c r="EI3" s="33">
        <f>EG3*DF3</f>
        <v>0</v>
      </c>
      <c r="EJ3" s="33">
        <f>EH3*DF3</f>
        <v>0</v>
      </c>
      <c r="EL3">
        <f>EK3*AB3</f>
        <v>0</v>
      </c>
      <c r="EM3" s="26" t="s">
        <v>141</v>
      </c>
      <c r="EN3" s="32">
        <v>98</v>
      </c>
      <c r="EO3" s="34">
        <f>EP3/ES3+1</f>
        <v>654.33333333333337</v>
      </c>
      <c r="EP3" s="32">
        <f>EN3*10*2</f>
        <v>1960</v>
      </c>
      <c r="EQ3" s="32">
        <f>EN3*2/100</f>
        <v>1.96</v>
      </c>
      <c r="ER3" s="32">
        <v>9</v>
      </c>
      <c r="ES3" s="33">
        <v>3</v>
      </c>
      <c r="ET3" s="33">
        <v>950</v>
      </c>
      <c r="EU3" s="33">
        <v>33</v>
      </c>
      <c r="EV3" s="33">
        <v>3</v>
      </c>
      <c r="EW3" s="33">
        <v>950</v>
      </c>
      <c r="EX3" s="33">
        <v>33</v>
      </c>
      <c r="EY3" s="35">
        <f>ET3/9*EU3/100+EW3/9*EX3/100</f>
        <v>69.666666666666671</v>
      </c>
      <c r="EZ3" s="33">
        <f>(ES3*(ET3/2)*5)*0.95/1000</f>
        <v>6.7687499999999998</v>
      </c>
      <c r="FA3" s="33">
        <f>(EW3*(EX3/2)*5)*0.93/1000</f>
        <v>72.888750000000002</v>
      </c>
      <c r="FB3" s="33">
        <f>(((EO3*(ET3/1000)/ER3))*FF3)*0.001</f>
        <v>0.25210009259259258</v>
      </c>
      <c r="FC3" s="33">
        <f>((EX3*10)*(EW3/1000/ER3)*EQ3)*FF3*0.001</f>
        <v>0.24919766666666671</v>
      </c>
      <c r="FD3" s="33">
        <f>FB3*EA3</f>
        <v>0.75630027777777775</v>
      </c>
      <c r="FE3" s="33">
        <f>FC3*EA3</f>
        <v>0.74759300000000017</v>
      </c>
      <c r="FF3">
        <f>(J3*4+5)/100</f>
        <v>3.65</v>
      </c>
      <c r="FG3">
        <f>FF3*AB3</f>
        <v>18.25</v>
      </c>
      <c r="FH3">
        <f>CV3+DQ3+EL3+FG3</f>
        <v>35.75</v>
      </c>
      <c r="FI3" s="37">
        <f>CS3+CT3+DN3+DO3+EI3+EJ3+FD3+FE3+BY3*80/100+CA3*90/100</f>
        <v>7.2106332777777773</v>
      </c>
      <c r="FJ3" s="38">
        <f>BY3</f>
        <v>3.2500000000000001E-2</v>
      </c>
      <c r="FK3" s="38">
        <f>CA3</f>
        <v>0.875</v>
      </c>
      <c r="FL3" s="38">
        <f>((FJ3*20)/100)+((FK3*10)/100)</f>
        <v>9.4E-2</v>
      </c>
      <c r="FN3" s="31">
        <f>AG3</f>
        <v>0.33803</v>
      </c>
      <c r="FO3">
        <f>EL3+FG3</f>
        <v>18.25</v>
      </c>
      <c r="FP3" s="31">
        <f>((F3*(F3+G3*2))*2*V3/10000000)+((G3*H3*4))*V3/10000000+AF3+BZ3+(((I3+3)*((J3*4)+5))*0.0000095)+0.005+BX3</f>
        <v>1.5152334999999999</v>
      </c>
    </row>
    <row r="4" spans="1:172" ht="77.25" thickBot="1">
      <c r="A4" s="26"/>
      <c r="B4" s="26" t="s">
        <v>191</v>
      </c>
      <c r="C4" s="26" t="s">
        <v>109</v>
      </c>
      <c r="D4" s="26" t="s">
        <v>192</v>
      </c>
      <c r="E4" s="26" t="s">
        <v>193</v>
      </c>
      <c r="F4" s="26">
        <v>150</v>
      </c>
      <c r="G4" s="26">
        <v>140</v>
      </c>
      <c r="H4" s="26">
        <v>75</v>
      </c>
      <c r="I4" s="26"/>
      <c r="J4" s="26"/>
      <c r="K4" s="26">
        <v>0</v>
      </c>
      <c r="L4" s="26">
        <v>0</v>
      </c>
      <c r="M4" s="26">
        <v>2</v>
      </c>
      <c r="N4" s="26">
        <v>50</v>
      </c>
      <c r="O4" s="26">
        <v>2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160</v>
      </c>
      <c r="W4" s="26" t="s">
        <v>72</v>
      </c>
      <c r="X4" s="27" t="s">
        <v>105</v>
      </c>
      <c r="Y4" s="28"/>
      <c r="Z4" s="27" t="s">
        <v>105</v>
      </c>
      <c r="AA4" s="28"/>
      <c r="AB4" s="26">
        <v>5</v>
      </c>
      <c r="AC4" s="26"/>
      <c r="AD4">
        <f>(20*3)*2+(53*4)</f>
        <v>332</v>
      </c>
      <c r="AE4">
        <v>7.6999999999999999E-2</v>
      </c>
      <c r="AF4" s="31">
        <f>(AD4*AE4)/1000</f>
        <v>2.5564E-2</v>
      </c>
      <c r="AG4" s="31">
        <f>AF4*AB4</f>
        <v>0.12781999999999999</v>
      </c>
      <c r="AH4">
        <v>5.0000000000000001E-3</v>
      </c>
      <c r="AI4" s="39">
        <v>1100</v>
      </c>
      <c r="AJ4" s="40">
        <v>3</v>
      </c>
      <c r="AK4" s="39">
        <v>34</v>
      </c>
      <c r="AL4" s="39">
        <v>900</v>
      </c>
      <c r="AM4" s="40" t="s">
        <v>177</v>
      </c>
      <c r="AN4" s="39">
        <v>20</v>
      </c>
      <c r="AO4" s="40">
        <f>AI4/9*AK4/1000*1.2</f>
        <v>4.9866666666666672</v>
      </c>
      <c r="AP4" s="39">
        <f>(AI4*(AK4/2)*5*0.95)/1000</f>
        <v>88.825000000000003</v>
      </c>
      <c r="AQ4" s="39" t="s">
        <v>189</v>
      </c>
      <c r="AR4" s="39">
        <v>5</v>
      </c>
      <c r="AS4" s="39">
        <f>AF4</f>
        <v>2.5564E-2</v>
      </c>
      <c r="AT4" s="39">
        <v>9</v>
      </c>
      <c r="AU4" s="41">
        <v>0.02</v>
      </c>
      <c r="AV4" s="42">
        <v>1E-3</v>
      </c>
      <c r="AW4" s="39">
        <f>AK4</f>
        <v>34</v>
      </c>
      <c r="AX4" s="42">
        <f>AI4/1000</f>
        <v>1.1000000000000001</v>
      </c>
      <c r="AY4" s="43">
        <f>(((AW4*(AX4/AT4))*1)*AV4)+((((AW4*(AX4/AT4))*1)*AV4)*AU4)</f>
        <v>4.2386666666666666E-3</v>
      </c>
      <c r="AZ4" s="39">
        <v>10</v>
      </c>
      <c r="BA4" s="42">
        <f>AL4/1000</f>
        <v>0.9</v>
      </c>
      <c r="BB4" s="43">
        <f>AO4/1000-AY4</f>
        <v>7.480000000000004E-4</v>
      </c>
      <c r="BC4">
        <v>3.5000000000000003E-2</v>
      </c>
      <c r="BD4" s="39">
        <v>1800</v>
      </c>
      <c r="BE4" s="40">
        <v>4.5</v>
      </c>
      <c r="BF4" s="39">
        <v>160</v>
      </c>
      <c r="BG4" s="39">
        <v>900</v>
      </c>
      <c r="BH4" s="40" t="s">
        <v>177</v>
      </c>
      <c r="BI4" s="39">
        <v>10</v>
      </c>
      <c r="BJ4" s="40">
        <f>BD4/9*BF4/1000*1.1</f>
        <v>35.200000000000003</v>
      </c>
      <c r="BK4" s="39">
        <f>(BD4*(BF4/2)*5*0.95)/1000</f>
        <v>684</v>
      </c>
      <c r="BL4" s="39" t="s">
        <v>189</v>
      </c>
      <c r="BM4" s="39">
        <v>35</v>
      </c>
      <c r="BN4" s="39">
        <f>BA4</f>
        <v>0.9</v>
      </c>
      <c r="BO4" s="39">
        <v>9</v>
      </c>
      <c r="BP4" s="41">
        <v>0.02</v>
      </c>
      <c r="BQ4" s="42">
        <v>1E-3</v>
      </c>
      <c r="BR4" s="39">
        <f>BF4</f>
        <v>160</v>
      </c>
      <c r="BS4" s="42">
        <f>BD4/1000</f>
        <v>1.8</v>
      </c>
      <c r="BT4" s="43">
        <f>(((BR4*(BS4/BO4))*1)*BQ4)+((((BR4*(BS4/BO4))*1)*BQ4)*BP4)</f>
        <v>3.2640000000000002E-2</v>
      </c>
      <c r="BU4" s="39">
        <v>10</v>
      </c>
      <c r="BV4" s="42">
        <f>BG4/1000</f>
        <v>0.9</v>
      </c>
      <c r="BW4" s="43">
        <f>BJ4/1000-BT4</f>
        <v>2.5599999999999998E-3</v>
      </c>
      <c r="CB4" s="26" t="s">
        <v>194</v>
      </c>
      <c r="CC4" s="32">
        <v>150</v>
      </c>
      <c r="CD4" s="32">
        <f>CE4/CH4</f>
        <v>1200</v>
      </c>
      <c r="CE4" s="32">
        <f>CC4*10*2</f>
        <v>3000</v>
      </c>
      <c r="CF4" s="32">
        <f>CC4*2/100</f>
        <v>3</v>
      </c>
      <c r="CG4" s="32">
        <v>9</v>
      </c>
      <c r="CH4" s="33">
        <v>2.5</v>
      </c>
      <c r="CI4" s="33">
        <v>1800</v>
      </c>
      <c r="CJ4" s="33">
        <v>40</v>
      </c>
      <c r="CK4" s="33">
        <v>2.5</v>
      </c>
      <c r="CL4" s="33">
        <v>1800</v>
      </c>
      <c r="CM4" s="33">
        <v>40</v>
      </c>
      <c r="CN4" s="35">
        <f>CI4/9*CJ4/100+CL4/9*CM4/100</f>
        <v>160</v>
      </c>
      <c r="CO4" s="33">
        <f>(CJ4*(CI4/2)*5)*0.95/1000</f>
        <v>171</v>
      </c>
      <c r="CP4" s="33">
        <f t="shared" ref="CP4" si="4">(CL4*(CM4/2)*5)*0.93/1000</f>
        <v>167.4</v>
      </c>
      <c r="CQ4" s="33">
        <f>(((CD4*(CI4/1000)/CG4))*CU4)*0.001</f>
        <v>0.63600000000000001</v>
      </c>
      <c r="CR4" s="33">
        <f>((CM4*10)*(CL4/1000/CG4)*CF4)*CU4*0.001</f>
        <v>0.63600000000000001</v>
      </c>
      <c r="CS4" s="33">
        <f>CQ4*AB4</f>
        <v>3.18</v>
      </c>
      <c r="CT4" s="33">
        <f>CR4*AB4</f>
        <v>3.18</v>
      </c>
      <c r="CU4">
        <f>(G4+(N4+20)+55)/100</f>
        <v>2.65</v>
      </c>
      <c r="CV4">
        <f>CU4*AB4</f>
        <v>13.25</v>
      </c>
      <c r="CW4" s="26"/>
      <c r="CX4" s="32"/>
      <c r="CY4" s="32">
        <f>CZ4/DC4</f>
        <v>0</v>
      </c>
      <c r="CZ4" s="32">
        <f>CX4*10*2</f>
        <v>0</v>
      </c>
      <c r="DA4" s="32">
        <f>CX4*2/100</f>
        <v>0</v>
      </c>
      <c r="DB4" s="32">
        <v>9</v>
      </c>
      <c r="DC4" s="33">
        <v>2.5</v>
      </c>
      <c r="DD4" s="33">
        <v>1650</v>
      </c>
      <c r="DE4" s="33">
        <v>40</v>
      </c>
      <c r="DF4" s="33">
        <v>4.5</v>
      </c>
      <c r="DG4" s="33">
        <v>1800</v>
      </c>
      <c r="DH4" s="33">
        <v>44</v>
      </c>
      <c r="DI4" s="35">
        <f>DD4/9*DE4/100+DG4/9*DH4/100</f>
        <v>161.33333333333334</v>
      </c>
      <c r="DJ4" s="33">
        <f t="shared" ref="DJ4" si="5">(DC4*(DD4/2)*5)*0.95/1000</f>
        <v>9.796875</v>
      </c>
      <c r="DK4" s="33">
        <f t="shared" ref="DK4" si="6">(DG4*(DH4/2)*5)*0.93/1000</f>
        <v>184.14</v>
      </c>
      <c r="DL4" s="33">
        <f>(((CY4*(DD4/1000)/DB4))*DP4)*0.001</f>
        <v>0</v>
      </c>
      <c r="DM4" s="33">
        <f>((DH4*10)*(DG4/1000/DB4)*DA4)*DP4*0.001</f>
        <v>0</v>
      </c>
      <c r="DN4" s="33">
        <f>DL4*CK4</f>
        <v>0</v>
      </c>
      <c r="DO4" s="33">
        <f>DM4*CK4</f>
        <v>0</v>
      </c>
      <c r="DQ4">
        <f>DP4*AB4</f>
        <v>0</v>
      </c>
      <c r="DS4" s="32"/>
      <c r="DT4" s="32">
        <f>DU4/DX4</f>
        <v>0</v>
      </c>
      <c r="DU4" s="32">
        <f>DS4*10*2</f>
        <v>0</v>
      </c>
      <c r="DV4" s="32">
        <f>DS4*2/100</f>
        <v>0</v>
      </c>
      <c r="DW4" s="32">
        <v>9</v>
      </c>
      <c r="DX4" s="33">
        <v>3</v>
      </c>
      <c r="DY4" s="33">
        <v>950</v>
      </c>
      <c r="DZ4" s="33">
        <v>33</v>
      </c>
      <c r="EA4" s="33">
        <v>3</v>
      </c>
      <c r="EB4" s="33">
        <v>950</v>
      </c>
      <c r="EC4" s="33">
        <v>33</v>
      </c>
      <c r="ED4" s="35">
        <f>DY4/9*DZ4/100+EB4/9*EC4/100</f>
        <v>69.666666666666671</v>
      </c>
      <c r="EE4" s="33">
        <f>(DX4*(DY4/2)*5)*0.95/1000</f>
        <v>6.7687499999999998</v>
      </c>
      <c r="EF4" s="33">
        <f>(EB4*(EC4/2)*5)*0.93/1000</f>
        <v>72.888750000000002</v>
      </c>
      <c r="EG4" s="33">
        <f>(((DT4*(DY4/1000)/DW4))*EK4)*0.001</f>
        <v>0</v>
      </c>
      <c r="EH4" s="33">
        <f>((EC4*10)*(EB4/1000/DW4)*DV4)*EK4*0.001</f>
        <v>0</v>
      </c>
      <c r="EI4" s="33">
        <f>EG4*DF4</f>
        <v>0</v>
      </c>
      <c r="EJ4" s="33">
        <f>EH4*DF4</f>
        <v>0</v>
      </c>
      <c r="EL4">
        <f>EK4*AB4</f>
        <v>0</v>
      </c>
      <c r="EM4" s="26"/>
      <c r="EN4" s="32"/>
      <c r="EO4" s="34">
        <v>0</v>
      </c>
      <c r="EP4" s="32">
        <f>EN4*10*2</f>
        <v>0</v>
      </c>
      <c r="EQ4" s="32">
        <f>EN4*2/100</f>
        <v>0</v>
      </c>
      <c r="ER4" s="32">
        <v>9</v>
      </c>
      <c r="ES4" s="33">
        <v>3</v>
      </c>
      <c r="ET4" s="33">
        <v>950</v>
      </c>
      <c r="EU4" s="33">
        <v>33</v>
      </c>
      <c r="EV4" s="33">
        <v>3</v>
      </c>
      <c r="EW4" s="33">
        <v>950</v>
      </c>
      <c r="EX4" s="33">
        <v>33</v>
      </c>
      <c r="EY4" s="35">
        <f>ET4/9*EU4/100+EW4/9*EX4/100</f>
        <v>69.666666666666671</v>
      </c>
      <c r="EZ4" s="33">
        <f>(ES4*(ET4/2)*5)*0.95/1000</f>
        <v>6.7687499999999998</v>
      </c>
      <c r="FA4" s="33">
        <f>(EW4*(EX4/2)*5)*0.93/1000</f>
        <v>72.888750000000002</v>
      </c>
      <c r="FB4" s="33">
        <f>(((EO4*(ET4/1000)/ER4))*FF4)*0.001</f>
        <v>0</v>
      </c>
      <c r="FC4" s="33">
        <f>((EX4*10)*(EW4/1000/ER4)*EQ4)*FF4*0.001</f>
        <v>0</v>
      </c>
      <c r="FD4" s="33">
        <f>FB4*EA4</f>
        <v>0</v>
      </c>
      <c r="FE4" s="33">
        <f>FC4*EA4</f>
        <v>0</v>
      </c>
      <c r="FG4">
        <f>FF4*AB4</f>
        <v>0</v>
      </c>
      <c r="FH4">
        <f>CV4+DQ4+EL4+FG4</f>
        <v>13.25</v>
      </c>
      <c r="FI4" s="37">
        <f>CS4+CT4+DN4+DO4+EI4+EJ4+FD4+FE4+BY4*80/100+CA4*90/100</f>
        <v>6.36</v>
      </c>
      <c r="FJ4" s="38">
        <f>BY4</f>
        <v>0</v>
      </c>
      <c r="FK4" s="38">
        <f>CA4</f>
        <v>0</v>
      </c>
      <c r="FL4" s="38">
        <f>((FJ4*20)/100)+((FK4*10)/100)</f>
        <v>0</v>
      </c>
      <c r="FN4" s="31">
        <f>AG4</f>
        <v>0.12781999999999999</v>
      </c>
      <c r="FO4">
        <f>EL4+FG4</f>
        <v>0</v>
      </c>
      <c r="FP4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90-90-140(1)</vt:lpstr>
      <vt:lpstr>90-90-140(2)</vt:lpstr>
      <vt:lpstr>90-90-140(3)</vt:lpstr>
      <vt:lpstr>110-110-140(1)</vt:lpstr>
      <vt:lpstr>110-110-140(2)</vt:lpstr>
      <vt:lpstr>90-90-120(1)</vt:lpstr>
      <vt:lpstr>90-90-120 (2)</vt:lpstr>
      <vt:lpstr>80-80-120(1)</vt:lpstr>
      <vt:lpstr>80-80-120 (2)</vt:lpstr>
      <vt:lpstr>110-110-105-4 (2)</vt:lpstr>
      <vt:lpstr>ERG 150</vt:lpstr>
      <vt:lpstr>90-90-150-2</vt:lpstr>
      <vt:lpstr>90-90-100-2 </vt:lpstr>
      <vt:lpstr>Лист7</vt:lpstr>
      <vt:lpstr>ERG 160 </vt:lpstr>
      <vt:lpstr>ERG 150 с вкл</vt:lpstr>
      <vt:lpstr>ERG 160 с вкл </vt:lpstr>
      <vt:lpstr>ERG 170 </vt:lpstr>
      <vt:lpstr>ERG 180  </vt:lpstr>
      <vt:lpstr>ERG 150 с вкл   (2)</vt:lpstr>
      <vt:lpstr>ERG 160 с вкл  (2)</vt:lpstr>
      <vt:lpstr>ERG вкл</vt:lpstr>
      <vt:lpstr>ERG без вкл</vt:lpstr>
      <vt:lpstr>90-90-140 (2)</vt:lpstr>
      <vt:lpstr>Лист2</vt:lpstr>
      <vt:lpstr>Лист3</vt:lpstr>
      <vt:lpstr>90-90-140(4)</vt:lpstr>
      <vt:lpstr>110-110-140(3)</vt:lpstr>
      <vt:lpstr>110-110-140(4)</vt:lpstr>
      <vt:lpstr>90-90-120(2)</vt:lpstr>
      <vt:lpstr>Лист2 (2)</vt:lpstr>
      <vt:lpstr>Лист3 (2)</vt:lpstr>
      <vt:lpstr>ввмр</vt:lpstr>
      <vt:lpstr>план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2026-03-01T15:58:30Z</dcterms:modified>
</cp:coreProperties>
</file>